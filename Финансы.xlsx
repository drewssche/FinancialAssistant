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C56D11D-1C00-4BB6-A676-F7C3E9C3E2F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Финансы" sheetId="4" r:id="rId1"/>
    <sheet name="Бюджет" sheetId="5" r:id="rId2"/>
    <sheet name="Долги" sheetId="8" r:id="rId3"/>
    <sheet name="Подписки" sheetId="9" r:id="rId4"/>
  </sheets>
  <definedNames>
    <definedName name="_xlnm._FilterDatabase" localSheetId="2" hidden="1">Долги!$B$2:$L$16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8" l="1"/>
  <c r="K15" i="8"/>
  <c r="F15" i="8" s="1"/>
  <c r="K14" i="8"/>
  <c r="F14" i="8"/>
  <c r="F13" i="8"/>
  <c r="F12" i="8"/>
  <c r="F11" i="8"/>
  <c r="K10" i="8"/>
  <c r="F10" i="8" s="1"/>
  <c r="K9" i="8"/>
  <c r="F9" i="8"/>
  <c r="K8" i="8"/>
  <c r="F8" i="8"/>
  <c r="K7" i="8"/>
  <c r="F7" i="8"/>
  <c r="F6" i="8"/>
  <c r="F5" i="8"/>
  <c r="F4" i="8"/>
  <c r="F3" i="8"/>
  <c r="I239" i="5"/>
  <c r="J239" i="5" s="1"/>
  <c r="J237" i="5"/>
  <c r="I237" i="5"/>
  <c r="I235" i="5"/>
  <c r="J235" i="5" s="1"/>
  <c r="I233" i="5"/>
  <c r="J233" i="5" s="1"/>
  <c r="I231" i="5"/>
  <c r="J231" i="5" s="1"/>
  <c r="I229" i="5"/>
  <c r="K229" i="5" s="1"/>
  <c r="I225" i="5"/>
  <c r="J225" i="5" s="1"/>
  <c r="I223" i="5"/>
  <c r="J223" i="5" s="1"/>
  <c r="J221" i="5"/>
  <c r="I221" i="5"/>
  <c r="I219" i="5"/>
  <c r="J219" i="5" s="1"/>
  <c r="I217" i="5"/>
  <c r="I213" i="5"/>
  <c r="J213" i="5" s="1"/>
  <c r="I211" i="5"/>
  <c r="J211" i="5" s="1"/>
  <c r="J209" i="5"/>
  <c r="I209" i="5"/>
  <c r="J207" i="5"/>
  <c r="I207" i="5"/>
  <c r="I205" i="5"/>
  <c r="J201" i="5"/>
  <c r="I201" i="5"/>
  <c r="I199" i="5"/>
  <c r="J199" i="5" s="1"/>
  <c r="J197" i="5"/>
  <c r="I197" i="5"/>
  <c r="I195" i="5"/>
  <c r="J195" i="5" s="1"/>
  <c r="J193" i="5"/>
  <c r="I193" i="5"/>
  <c r="K191" i="5"/>
  <c r="J191" i="5"/>
  <c r="I191" i="5"/>
  <c r="I187" i="5"/>
  <c r="J187" i="5" s="1"/>
  <c r="J185" i="5"/>
  <c r="I185" i="5"/>
  <c r="I183" i="5"/>
  <c r="J183" i="5" s="1"/>
  <c r="I181" i="5"/>
  <c r="J181" i="5" s="1"/>
  <c r="I179" i="5"/>
  <c r="K179" i="5" s="1"/>
  <c r="J175" i="5"/>
  <c r="I175" i="5"/>
  <c r="I173" i="5"/>
  <c r="J173" i="5" s="1"/>
  <c r="I171" i="5"/>
  <c r="J171" i="5" s="1"/>
  <c r="I169" i="5"/>
  <c r="K167" i="5" s="1"/>
  <c r="I167" i="5"/>
  <c r="J167" i="5" s="1"/>
  <c r="I163" i="5"/>
  <c r="J163" i="5" s="1"/>
  <c r="I161" i="5"/>
  <c r="J161" i="5" s="1"/>
  <c r="I159" i="5"/>
  <c r="J159" i="5" s="1"/>
  <c r="J157" i="5"/>
  <c r="I157" i="5"/>
  <c r="J155" i="5"/>
  <c r="I155" i="5"/>
  <c r="J153" i="5"/>
  <c r="I153" i="5"/>
  <c r="K153" i="5" s="1"/>
  <c r="J149" i="5"/>
  <c r="I149" i="5"/>
  <c r="I147" i="5"/>
  <c r="J147" i="5" s="1"/>
  <c r="J145" i="5"/>
  <c r="I145" i="5"/>
  <c r="J143" i="5"/>
  <c r="I143" i="5"/>
  <c r="I141" i="5"/>
  <c r="K141" i="5" s="1"/>
  <c r="J137" i="5"/>
  <c r="I137" i="5"/>
  <c r="I135" i="5"/>
  <c r="J135" i="5" s="1"/>
  <c r="J133" i="5"/>
  <c r="I133" i="5"/>
  <c r="G133" i="5"/>
  <c r="I131" i="5"/>
  <c r="J131" i="5" s="1"/>
  <c r="I129" i="5"/>
  <c r="J125" i="5"/>
  <c r="I125" i="5"/>
  <c r="I123" i="5"/>
  <c r="J123" i="5" s="1"/>
  <c r="J121" i="5"/>
  <c r="I121" i="5"/>
  <c r="I119" i="5"/>
  <c r="J119" i="5" s="1"/>
  <c r="J117" i="5"/>
  <c r="I117" i="5"/>
  <c r="I115" i="5"/>
  <c r="J111" i="5"/>
  <c r="I111" i="5"/>
  <c r="J109" i="5"/>
  <c r="I109" i="5"/>
  <c r="I107" i="5"/>
  <c r="J107" i="5" s="1"/>
  <c r="J105" i="5"/>
  <c r="I105" i="5"/>
  <c r="I103" i="5"/>
  <c r="J99" i="5"/>
  <c r="I99" i="5"/>
  <c r="I97" i="5"/>
  <c r="J97" i="5" s="1"/>
  <c r="I95" i="5"/>
  <c r="J95" i="5" s="1"/>
  <c r="I93" i="5"/>
  <c r="J93" i="5" s="1"/>
  <c r="K91" i="5"/>
  <c r="I91" i="5"/>
  <c r="J91" i="5" s="1"/>
  <c r="I87" i="5"/>
  <c r="J87" i="5" s="1"/>
  <c r="I85" i="5"/>
  <c r="J85" i="5" s="1"/>
  <c r="I83" i="5"/>
  <c r="J83" i="5" s="1"/>
  <c r="J81" i="5"/>
  <c r="I81" i="5"/>
  <c r="I79" i="5"/>
  <c r="K79" i="5" s="1"/>
  <c r="I75" i="5"/>
  <c r="J75" i="5" s="1"/>
  <c r="J73" i="5"/>
  <c r="I73" i="5"/>
  <c r="I71" i="5"/>
  <c r="J71" i="5" s="1"/>
  <c r="J69" i="5"/>
  <c r="I69" i="5"/>
  <c r="I67" i="5"/>
  <c r="J63" i="5"/>
  <c r="I63" i="5"/>
  <c r="I61" i="5"/>
  <c r="J61" i="5" s="1"/>
  <c r="J59" i="5"/>
  <c r="I59" i="5"/>
  <c r="I57" i="5"/>
  <c r="J57" i="5" s="1"/>
  <c r="K55" i="5"/>
  <c r="J55" i="5"/>
  <c r="I55" i="5"/>
  <c r="J51" i="5"/>
  <c r="I51" i="5"/>
  <c r="I49" i="5"/>
  <c r="J47" i="5"/>
  <c r="I47" i="5"/>
  <c r="I45" i="5"/>
  <c r="J45" i="5" s="1"/>
  <c r="J43" i="5"/>
  <c r="I43" i="5"/>
  <c r="I39" i="5"/>
  <c r="J39" i="5" s="1"/>
  <c r="J37" i="5"/>
  <c r="I37" i="5"/>
  <c r="I35" i="5"/>
  <c r="I33" i="5"/>
  <c r="J33" i="5" s="1"/>
  <c r="J31" i="5"/>
  <c r="I31" i="5"/>
  <c r="I27" i="5"/>
  <c r="J27" i="5" s="1"/>
  <c r="I25" i="5"/>
  <c r="J25" i="5" s="1"/>
  <c r="I23" i="5"/>
  <c r="J23" i="5" s="1"/>
  <c r="I21" i="5"/>
  <c r="J21" i="5" s="1"/>
  <c r="I19" i="5"/>
  <c r="J19" i="5" s="1"/>
  <c r="I15" i="5"/>
  <c r="J15" i="5" s="1"/>
  <c r="I13" i="5"/>
  <c r="K5" i="5" s="1"/>
  <c r="J11" i="5"/>
  <c r="I11" i="5"/>
  <c r="I9" i="5"/>
  <c r="J9" i="5" s="1"/>
  <c r="J7" i="5"/>
  <c r="I7" i="5"/>
  <c r="I5" i="5"/>
  <c r="J5" i="5" s="1"/>
  <c r="AI1650" i="4"/>
  <c r="AH1650" i="4"/>
  <c r="AG1650" i="4"/>
  <c r="AF1650" i="4"/>
  <c r="AE1650" i="4"/>
  <c r="AD1650" i="4"/>
  <c r="AC1650" i="4"/>
  <c r="AB1650" i="4"/>
  <c r="AA1650" i="4"/>
  <c r="Z1650" i="4"/>
  <c r="Y1650" i="4"/>
  <c r="X1650" i="4"/>
  <c r="W1650" i="4"/>
  <c r="V1650" i="4"/>
  <c r="U1650" i="4"/>
  <c r="T1650" i="4"/>
  <c r="S1650" i="4"/>
  <c r="R1650" i="4"/>
  <c r="Q1650" i="4"/>
  <c r="P1650" i="4"/>
  <c r="O1650" i="4"/>
  <c r="N1650" i="4"/>
  <c r="M1650" i="4"/>
  <c r="L1650" i="4"/>
  <c r="K1650" i="4"/>
  <c r="J1650" i="4"/>
  <c r="I1650" i="4"/>
  <c r="H1650" i="4"/>
  <c r="G1650" i="4"/>
  <c r="F1650" i="4"/>
  <c r="AM1649" i="4"/>
  <c r="AK1649" i="4"/>
  <c r="AK1648" i="4"/>
  <c r="AL1648" i="4" s="1"/>
  <c r="AM1647" i="4"/>
  <c r="AK1647" i="4"/>
  <c r="AK1646" i="4"/>
  <c r="AL1646" i="4" s="1"/>
  <c r="AN1646" i="4" s="1"/>
  <c r="AM1645" i="4"/>
  <c r="AK1645" i="4"/>
  <c r="AK1644" i="4"/>
  <c r="AL1644" i="4" s="1"/>
  <c r="AN1644" i="4" s="1"/>
  <c r="AK1643" i="4"/>
  <c r="AM1643" i="4" s="1"/>
  <c r="AK1642" i="4"/>
  <c r="AL1642" i="4" s="1"/>
  <c r="AL1641" i="4"/>
  <c r="AN1641" i="4" s="1"/>
  <c r="AK1641" i="4"/>
  <c r="AK1640" i="4"/>
  <c r="AM1640" i="4" s="1"/>
  <c r="AL1639" i="4"/>
  <c r="AN1639" i="4" s="1"/>
  <c r="AK1639" i="4"/>
  <c r="AK1638" i="4"/>
  <c r="AM1638" i="4" s="1"/>
  <c r="AN1637" i="4"/>
  <c r="AL1637" i="4"/>
  <c r="AK1637" i="4"/>
  <c r="AM1636" i="4"/>
  <c r="AK1636" i="4"/>
  <c r="AL1635" i="4"/>
  <c r="AN1635" i="4" s="1"/>
  <c r="AK1635" i="4"/>
  <c r="AM1634" i="4"/>
  <c r="AK1634" i="4"/>
  <c r="AK1633" i="4"/>
  <c r="AL1633" i="4" s="1"/>
  <c r="AN1633" i="4" s="1"/>
  <c r="AK1632" i="4"/>
  <c r="AM1632" i="4" s="1"/>
  <c r="AK1631" i="4"/>
  <c r="AL1631" i="4" s="1"/>
  <c r="AN1631" i="4" s="1"/>
  <c r="AK1630" i="4"/>
  <c r="AM1630" i="4" s="1"/>
  <c r="AK1629" i="4"/>
  <c r="AL1629" i="4" s="1"/>
  <c r="AN1629" i="4" s="1"/>
  <c r="AM1628" i="4"/>
  <c r="AK1628" i="4"/>
  <c r="AK1627" i="4"/>
  <c r="AL1627" i="4" s="1"/>
  <c r="AM1626" i="4"/>
  <c r="AK1626" i="4"/>
  <c r="AK1625" i="4"/>
  <c r="AL1625" i="4" s="1"/>
  <c r="AN1625" i="4" s="1"/>
  <c r="AM1624" i="4"/>
  <c r="AK1624" i="4"/>
  <c r="AK1623" i="4"/>
  <c r="AL1623" i="4" s="1"/>
  <c r="AN1623" i="4" s="1"/>
  <c r="AN1622" i="4"/>
  <c r="AM1622" i="4"/>
  <c r="AK1622" i="4"/>
  <c r="AK1621" i="4"/>
  <c r="AL1621" i="4" s="1"/>
  <c r="AN1621" i="4" s="1"/>
  <c r="AM1620" i="4"/>
  <c r="AK1620" i="4"/>
  <c r="AK1619" i="4"/>
  <c r="AL1619" i="4" s="1"/>
  <c r="AN1619" i="4" s="1"/>
  <c r="AM1618" i="4"/>
  <c r="AK1618" i="4"/>
  <c r="AK1617" i="4"/>
  <c r="AL1617" i="4" s="1"/>
  <c r="AN1617" i="4" s="1"/>
  <c r="AM1616" i="4"/>
  <c r="AK1616" i="4"/>
  <c r="AK1615" i="4"/>
  <c r="AL1615" i="4" s="1"/>
  <c r="AL1614" i="4"/>
  <c r="AN1614" i="4" s="1"/>
  <c r="AK1614" i="4"/>
  <c r="AL1613" i="4"/>
  <c r="AN1613" i="4" s="1"/>
  <c r="AK1613" i="4"/>
  <c r="AK1612" i="4"/>
  <c r="AM1612" i="4" s="1"/>
  <c r="AK1611" i="4"/>
  <c r="AL1611" i="4" s="1"/>
  <c r="AN1610" i="4"/>
  <c r="AM1610" i="4"/>
  <c r="AK1610" i="4"/>
  <c r="AK1609" i="4"/>
  <c r="AL1609" i="4" s="1"/>
  <c r="AN1609" i="4" s="1"/>
  <c r="AK1608" i="4"/>
  <c r="AM1608" i="4" s="1"/>
  <c r="AN1608" i="4" s="1"/>
  <c r="AI1607" i="4"/>
  <c r="AH1607" i="4"/>
  <c r="AG1607" i="4"/>
  <c r="AF1607" i="4"/>
  <c r="AE1607" i="4"/>
  <c r="AD1607" i="4"/>
  <c r="AC1607" i="4"/>
  <c r="AB1607" i="4"/>
  <c r="AA1607" i="4"/>
  <c r="Z1607" i="4"/>
  <c r="Y1607" i="4"/>
  <c r="X1607" i="4"/>
  <c r="W1607" i="4"/>
  <c r="V1607" i="4"/>
  <c r="U1607" i="4"/>
  <c r="T1607" i="4"/>
  <c r="S1607" i="4"/>
  <c r="R1607" i="4"/>
  <c r="Q1607" i="4"/>
  <c r="P1607" i="4"/>
  <c r="O1607" i="4"/>
  <c r="N1607" i="4"/>
  <c r="M1607" i="4"/>
  <c r="L1607" i="4"/>
  <c r="K1607" i="4"/>
  <c r="J1607" i="4"/>
  <c r="I1607" i="4"/>
  <c r="H1607" i="4"/>
  <c r="G1607" i="4"/>
  <c r="F1607" i="4"/>
  <c r="AK1606" i="4"/>
  <c r="AM1606" i="4" s="1"/>
  <c r="AL1605" i="4"/>
  <c r="AK1605" i="4"/>
  <c r="AL1604" i="4"/>
  <c r="AN1604" i="4" s="1"/>
  <c r="AK1604" i="4"/>
  <c r="AM1603" i="4"/>
  <c r="AK1603" i="4"/>
  <c r="AK1602" i="4"/>
  <c r="AL1602" i="4" s="1"/>
  <c r="AN1602" i="4" s="1"/>
  <c r="AM1601" i="4"/>
  <c r="AN1601" i="4" s="1"/>
  <c r="AK1601" i="4"/>
  <c r="AK1600" i="4"/>
  <c r="AM1600" i="4" s="1"/>
  <c r="AL1599" i="4"/>
  <c r="AK1599" i="4"/>
  <c r="AL1598" i="4"/>
  <c r="AN1598" i="4" s="1"/>
  <c r="AK1598" i="4"/>
  <c r="AI1592" i="4"/>
  <c r="AH1592" i="4"/>
  <c r="AG1592" i="4"/>
  <c r="AF1592" i="4"/>
  <c r="AB1592" i="4"/>
  <c r="AA1592" i="4"/>
  <c r="X1592" i="4"/>
  <c r="W1592" i="4"/>
  <c r="V1592" i="4"/>
  <c r="T1592" i="4"/>
  <c r="S1592" i="4"/>
  <c r="R1592" i="4"/>
  <c r="Q1592" i="4"/>
  <c r="P1592" i="4"/>
  <c r="O1592" i="4"/>
  <c r="M1592" i="4"/>
  <c r="L1592" i="4"/>
  <c r="K1592" i="4"/>
  <c r="J1592" i="4"/>
  <c r="I1592" i="4"/>
  <c r="G1592" i="4"/>
  <c r="AK1591" i="4"/>
  <c r="AM1591" i="4" s="1"/>
  <c r="AK1590" i="4"/>
  <c r="AL1590" i="4" s="1"/>
  <c r="AN1590" i="4" s="1"/>
  <c r="AM1589" i="4"/>
  <c r="AK1589" i="4"/>
  <c r="AK1588" i="4"/>
  <c r="AL1588" i="4" s="1"/>
  <c r="AM1587" i="4"/>
  <c r="AK1587" i="4"/>
  <c r="Q1587" i="4"/>
  <c r="AK1586" i="4"/>
  <c r="AL1586" i="4" s="1"/>
  <c r="AN1586" i="4" s="1"/>
  <c r="AK1585" i="4"/>
  <c r="AM1585" i="4" s="1"/>
  <c r="AK1584" i="4"/>
  <c r="AL1584" i="4" s="1"/>
  <c r="AN1584" i="4" s="1"/>
  <c r="AN1583" i="4"/>
  <c r="AL1583" i="4"/>
  <c r="AK1583" i="4"/>
  <c r="AK1582" i="4"/>
  <c r="AM1582" i="4" s="1"/>
  <c r="AN1581" i="4"/>
  <c r="AL1581" i="4"/>
  <c r="AK1581" i="4"/>
  <c r="AK1580" i="4"/>
  <c r="AM1580" i="4" s="1"/>
  <c r="AN1579" i="4"/>
  <c r="AK1579" i="4"/>
  <c r="AL1579" i="4" s="1"/>
  <c r="AL1578" i="4"/>
  <c r="AN1578" i="4" s="1"/>
  <c r="AK1578" i="4"/>
  <c r="AM1577" i="4"/>
  <c r="AK1577" i="4"/>
  <c r="AK1576" i="4"/>
  <c r="AL1576" i="4" s="1"/>
  <c r="AN1576" i="4" s="1"/>
  <c r="AM1575" i="4"/>
  <c r="AK1575" i="4"/>
  <c r="AK1574" i="4"/>
  <c r="AL1574" i="4" s="1"/>
  <c r="AM1573" i="4"/>
  <c r="AK1573" i="4"/>
  <c r="AK1572" i="4"/>
  <c r="AL1572" i="4" s="1"/>
  <c r="AN1572" i="4" s="1"/>
  <c r="AM1571" i="4"/>
  <c r="AK1571" i="4"/>
  <c r="AJ1570" i="4"/>
  <c r="U1570" i="4"/>
  <c r="AM1569" i="4"/>
  <c r="AK1569" i="4"/>
  <c r="Y1569" i="4"/>
  <c r="Y1592" i="4" s="1"/>
  <c r="AL1568" i="4"/>
  <c r="AN1568" i="4" s="1"/>
  <c r="T1568" i="4"/>
  <c r="AK1568" i="4" s="1"/>
  <c r="AK1567" i="4"/>
  <c r="AM1567" i="4" s="1"/>
  <c r="AN1566" i="4" s="1"/>
  <c r="AL1566" i="4"/>
  <c r="AK1566" i="4"/>
  <c r="N1565" i="4"/>
  <c r="AK1565" i="4" s="1"/>
  <c r="AM1565" i="4" s="1"/>
  <c r="AJ1564" i="4"/>
  <c r="AG1564" i="4"/>
  <c r="AE1564" i="4"/>
  <c r="AE1592" i="4" s="1"/>
  <c r="AD1564" i="4"/>
  <c r="AC1564" i="4"/>
  <c r="AC1592" i="4" s="1"/>
  <c r="AA1564" i="4"/>
  <c r="F1564" i="4"/>
  <c r="AM1563" i="4"/>
  <c r="AK1563" i="4"/>
  <c r="N1563" i="4"/>
  <c r="AJ1562" i="4"/>
  <c r="AJ1592" i="4" s="1"/>
  <c r="AE1562" i="4"/>
  <c r="AD1562" i="4"/>
  <c r="AD1592" i="4" s="1"/>
  <c r="AC1562" i="4"/>
  <c r="AA1562" i="4"/>
  <c r="Z1562" i="4"/>
  <c r="Z1592" i="4" s="1"/>
  <c r="T1562" i="4"/>
  <c r="H1562" i="4"/>
  <c r="F1562" i="4"/>
  <c r="F1592" i="4" s="1"/>
  <c r="AM1561" i="4"/>
  <c r="AK1561" i="4"/>
  <c r="AL1560" i="4"/>
  <c r="AN1560" i="4" s="1"/>
  <c r="AK1560" i="4"/>
  <c r="AK1559" i="4"/>
  <c r="AM1559" i="4" s="1"/>
  <c r="AN1559" i="4" s="1"/>
  <c r="AN1558" i="4"/>
  <c r="AL1558" i="4"/>
  <c r="AK1558" i="4"/>
  <c r="AK1557" i="4"/>
  <c r="AM1557" i="4" s="1"/>
  <c r="AL1556" i="4"/>
  <c r="AN1556" i="4" s="1"/>
  <c r="AK1556" i="4"/>
  <c r="AK1555" i="4"/>
  <c r="AM1555" i="4" s="1"/>
  <c r="AN1554" i="4" s="1"/>
  <c r="AL1554" i="4"/>
  <c r="AK1554" i="4"/>
  <c r="AK1553" i="4"/>
  <c r="AL1553" i="4" s="1"/>
  <c r="AN1553" i="4" s="1"/>
  <c r="AN1552" i="4"/>
  <c r="AL1552" i="4"/>
  <c r="AK1552" i="4"/>
  <c r="AK1551" i="4"/>
  <c r="AM1551" i="4" s="1"/>
  <c r="AA1551" i="4"/>
  <c r="AK1550" i="4"/>
  <c r="AL1550" i="4" s="1"/>
  <c r="AN1550" i="4" s="1"/>
  <c r="AK1549" i="4"/>
  <c r="AM1549" i="4" s="1"/>
  <c r="AK1548" i="4"/>
  <c r="AL1548" i="4" s="1"/>
  <c r="AN1547" i="4"/>
  <c r="AM1547" i="4"/>
  <c r="AK1547" i="4"/>
  <c r="AM1546" i="4"/>
  <c r="AL1545" i="4"/>
  <c r="AJ1544" i="4"/>
  <c r="AI1544" i="4"/>
  <c r="AH1544" i="4"/>
  <c r="AG1544" i="4"/>
  <c r="AF1544" i="4"/>
  <c r="AE1544" i="4"/>
  <c r="AD1544" i="4"/>
  <c r="AC1544" i="4"/>
  <c r="AB1544" i="4"/>
  <c r="AA1544" i="4"/>
  <c r="Z1544" i="4"/>
  <c r="Y1544" i="4"/>
  <c r="X1544" i="4"/>
  <c r="W1544" i="4"/>
  <c r="V1544" i="4"/>
  <c r="U1544" i="4"/>
  <c r="T1544" i="4"/>
  <c r="S1544" i="4"/>
  <c r="R1544" i="4"/>
  <c r="Q1544" i="4"/>
  <c r="P1544" i="4"/>
  <c r="O1544" i="4"/>
  <c r="N1544" i="4"/>
  <c r="M1544" i="4"/>
  <c r="L1544" i="4"/>
  <c r="K1544" i="4"/>
  <c r="J1544" i="4"/>
  <c r="I1544" i="4"/>
  <c r="H1544" i="4"/>
  <c r="G1544" i="4"/>
  <c r="F1544" i="4"/>
  <c r="AK1543" i="4"/>
  <c r="AM1543" i="4" s="1"/>
  <c r="AK1542" i="4"/>
  <c r="AL1542" i="4" s="1"/>
  <c r="AN1542" i="4" s="1"/>
  <c r="AM1541" i="4"/>
  <c r="AK1541" i="4"/>
  <c r="AK1540" i="4"/>
  <c r="AL1540" i="4" s="1"/>
  <c r="AN1540" i="4" s="1"/>
  <c r="AM1539" i="4"/>
  <c r="AK1539" i="4"/>
  <c r="AK1538" i="4"/>
  <c r="AL1538" i="4" s="1"/>
  <c r="AN1538" i="4" s="1"/>
  <c r="AK1537" i="4"/>
  <c r="AM1537" i="4" s="1"/>
  <c r="AN1537" i="4" s="1"/>
  <c r="AM1536" i="4"/>
  <c r="AK1536" i="4"/>
  <c r="AL1535" i="4"/>
  <c r="AN1535" i="4" s="1"/>
  <c r="AK1535" i="4"/>
  <c r="AK1534" i="4"/>
  <c r="AJ1528" i="4"/>
  <c r="AI1528" i="4"/>
  <c r="AH1528" i="4"/>
  <c r="AG1528" i="4"/>
  <c r="AE1528" i="4"/>
  <c r="AA1528" i="4"/>
  <c r="V1528" i="4"/>
  <c r="U1528" i="4"/>
  <c r="T1528" i="4"/>
  <c r="S1528" i="4"/>
  <c r="R1528" i="4"/>
  <c r="O1528" i="4"/>
  <c r="K1528" i="4"/>
  <c r="I1528" i="4"/>
  <c r="H1528" i="4"/>
  <c r="F1528" i="4"/>
  <c r="AK1527" i="4"/>
  <c r="AM1527" i="4" s="1"/>
  <c r="AL1526" i="4"/>
  <c r="AN1526" i="4" s="1"/>
  <c r="AK1526" i="4"/>
  <c r="AK1525" i="4"/>
  <c r="AM1525" i="4" s="1"/>
  <c r="AK1524" i="4"/>
  <c r="AL1524" i="4" s="1"/>
  <c r="AM1523" i="4"/>
  <c r="AK1523" i="4"/>
  <c r="AK1522" i="4"/>
  <c r="AL1522" i="4" s="1"/>
  <c r="AN1522" i="4" s="1"/>
  <c r="AM1521" i="4"/>
  <c r="AK1521" i="4"/>
  <c r="AL1520" i="4"/>
  <c r="AN1520" i="4" s="1"/>
  <c r="AK1520" i="4"/>
  <c r="AF1520" i="4"/>
  <c r="L1520" i="4"/>
  <c r="K1520" i="4"/>
  <c r="AK1519" i="4"/>
  <c r="AM1519" i="4" s="1"/>
  <c r="AN1518" i="4" s="1"/>
  <c r="AL1518" i="4"/>
  <c r="AK1518" i="4"/>
  <c r="S1518" i="4"/>
  <c r="AK1517" i="4"/>
  <c r="AM1517" i="4" s="1"/>
  <c r="AK1516" i="4"/>
  <c r="AL1516" i="4" s="1"/>
  <c r="AN1516" i="4" s="1"/>
  <c r="AM1515" i="4"/>
  <c r="AK1515" i="4"/>
  <c r="AL1514" i="4"/>
  <c r="AN1514" i="4" s="1"/>
  <c r="AK1514" i="4"/>
  <c r="AK1513" i="4"/>
  <c r="AL1513" i="4" s="1"/>
  <c r="AN1513" i="4" s="1"/>
  <c r="AC1513" i="4"/>
  <c r="Y1513" i="4"/>
  <c r="Y1528" i="4" s="1"/>
  <c r="AK1512" i="4"/>
  <c r="AL1512" i="4" s="1"/>
  <c r="AN1512" i="4" s="1"/>
  <c r="AM1511" i="4"/>
  <c r="AK1511" i="4"/>
  <c r="AL1510" i="4"/>
  <c r="AN1510" i="4" s="1"/>
  <c r="AK1510" i="4"/>
  <c r="AK1509" i="4"/>
  <c r="AM1509" i="4" s="1"/>
  <c r="AN1508" i="4" s="1"/>
  <c r="AK1508" i="4"/>
  <c r="AL1508" i="4" s="1"/>
  <c r="AK1507" i="4"/>
  <c r="AM1507" i="4" s="1"/>
  <c r="AA1506" i="4"/>
  <c r="AK1506" i="4" s="1"/>
  <c r="AL1506" i="4" s="1"/>
  <c r="AM1505" i="4"/>
  <c r="AK1505" i="4"/>
  <c r="AG1504" i="4"/>
  <c r="AF1504" i="4"/>
  <c r="AF1528" i="4" s="1"/>
  <c r="AD1504" i="4"/>
  <c r="Z1504" i="4"/>
  <c r="M1504" i="4"/>
  <c r="L1504" i="4"/>
  <c r="AK1504" i="4" s="1"/>
  <c r="AL1504" i="4" s="1"/>
  <c r="AN1504" i="4" s="1"/>
  <c r="AM1503" i="4"/>
  <c r="AK1503" i="4"/>
  <c r="AK1502" i="4"/>
  <c r="AL1502" i="4" s="1"/>
  <c r="AN1502" i="4" s="1"/>
  <c r="AM1501" i="4"/>
  <c r="AK1501" i="4"/>
  <c r="AK1500" i="4"/>
  <c r="AL1500" i="4" s="1"/>
  <c r="AN1500" i="4" s="1"/>
  <c r="AM1499" i="4"/>
  <c r="AK1499" i="4"/>
  <c r="AB1498" i="4"/>
  <c r="AB1528" i="4" s="1"/>
  <c r="Z1498" i="4"/>
  <c r="Z1528" i="4" s="1"/>
  <c r="X1498" i="4"/>
  <c r="X1528" i="4" s="1"/>
  <c r="W1498" i="4"/>
  <c r="S1498" i="4"/>
  <c r="P1498" i="4"/>
  <c r="N1498" i="4"/>
  <c r="N1528" i="4" s="1"/>
  <c r="J1498" i="4"/>
  <c r="G1498" i="4"/>
  <c r="AM1497" i="4"/>
  <c r="AK1497" i="4"/>
  <c r="AK1496" i="4"/>
  <c r="AL1496" i="4" s="1"/>
  <c r="AN1496" i="4" s="1"/>
  <c r="AB1496" i="4"/>
  <c r="W1496" i="4"/>
  <c r="W1528" i="4" s="1"/>
  <c r="Q1496" i="4"/>
  <c r="Q1528" i="4" s="1"/>
  <c r="P1496" i="4"/>
  <c r="P1528" i="4" s="1"/>
  <c r="K1496" i="4"/>
  <c r="J1496" i="4"/>
  <c r="AK1495" i="4"/>
  <c r="AM1495" i="4" s="1"/>
  <c r="AN1494" i="4"/>
  <c r="AK1494" i="4"/>
  <c r="AL1494" i="4" s="1"/>
  <c r="AM1493" i="4"/>
  <c r="AN1493" i="4" s="1"/>
  <c r="AK1493" i="4"/>
  <c r="AN1492" i="4"/>
  <c r="AL1492" i="4"/>
  <c r="AK1492" i="4"/>
  <c r="AK1491" i="4"/>
  <c r="AM1491" i="4" s="1"/>
  <c r="J1491" i="4"/>
  <c r="J1528" i="4" s="1"/>
  <c r="AD1490" i="4"/>
  <c r="AM1489" i="4"/>
  <c r="AK1489" i="4"/>
  <c r="AK1488" i="4"/>
  <c r="AL1488" i="4" s="1"/>
  <c r="AN1488" i="4" s="1"/>
  <c r="AK1487" i="4"/>
  <c r="AL1487" i="4" s="1"/>
  <c r="AN1487" i="4" s="1"/>
  <c r="AK1486" i="4"/>
  <c r="AL1486" i="4" s="1"/>
  <c r="AN1486" i="4" s="1"/>
  <c r="AM1485" i="4"/>
  <c r="AK1485" i="4"/>
  <c r="AC1484" i="4"/>
  <c r="AC1528" i="4" s="1"/>
  <c r="AA1484" i="4"/>
  <c r="M1484" i="4"/>
  <c r="AK1483" i="4"/>
  <c r="AM1483" i="4" s="1"/>
  <c r="AN1483" i="4" s="1"/>
  <c r="AN1482" i="4"/>
  <c r="AL1482" i="4"/>
  <c r="AK1482" i="4"/>
  <c r="AK1481" i="4"/>
  <c r="AM1480" i="4"/>
  <c r="AL1479" i="4"/>
  <c r="J1479" i="4"/>
  <c r="AJ1478" i="4"/>
  <c r="AI1478" i="4"/>
  <c r="AH1478" i="4"/>
  <c r="AG1478" i="4"/>
  <c r="AF1478" i="4"/>
  <c r="AE1478" i="4"/>
  <c r="AD1478" i="4"/>
  <c r="AC1478" i="4"/>
  <c r="AB1478" i="4"/>
  <c r="AA1478" i="4"/>
  <c r="Z1478" i="4"/>
  <c r="Y1478" i="4"/>
  <c r="X1478" i="4"/>
  <c r="W1478" i="4"/>
  <c r="V1478" i="4"/>
  <c r="U1478" i="4"/>
  <c r="T1478" i="4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AK1477" i="4"/>
  <c r="AM1477" i="4" s="1"/>
  <c r="AK1476" i="4"/>
  <c r="AL1476" i="4" s="1"/>
  <c r="AN1476" i="4" s="1"/>
  <c r="AM1475" i="4"/>
  <c r="AK1475" i="4"/>
  <c r="AK1474" i="4"/>
  <c r="AL1474" i="4" s="1"/>
  <c r="AM1473" i="4"/>
  <c r="AK1473" i="4"/>
  <c r="AK1472" i="4"/>
  <c r="AL1472" i="4" s="1"/>
  <c r="AN1472" i="4" s="1"/>
  <c r="AK1471" i="4"/>
  <c r="AM1471" i="4" s="1"/>
  <c r="AN1471" i="4" s="1"/>
  <c r="AM1470" i="4"/>
  <c r="AK1470" i="4"/>
  <c r="AL1469" i="4"/>
  <c r="AN1469" i="4" s="1"/>
  <c r="AK1469" i="4"/>
  <c r="AK1468" i="4"/>
  <c r="AO1462" i="4"/>
  <c r="AJ1462" i="4"/>
  <c r="AI1462" i="4"/>
  <c r="AH1462" i="4"/>
  <c r="AG1462" i="4"/>
  <c r="AE1462" i="4"/>
  <c r="AD1462" i="4"/>
  <c r="AB1462" i="4"/>
  <c r="AA1462" i="4"/>
  <c r="W1462" i="4"/>
  <c r="V1462" i="4"/>
  <c r="S1462" i="4"/>
  <c r="R1462" i="4"/>
  <c r="P1462" i="4"/>
  <c r="N1462" i="4"/>
  <c r="M1462" i="4"/>
  <c r="L1462" i="4"/>
  <c r="I1462" i="4"/>
  <c r="H1462" i="4"/>
  <c r="G1462" i="4"/>
  <c r="F1462" i="4"/>
  <c r="AK1461" i="4"/>
  <c r="AM1461" i="4" s="1"/>
  <c r="AN1460" i="4"/>
  <c r="AL1460" i="4"/>
  <c r="AK1460" i="4"/>
  <c r="AK1459" i="4"/>
  <c r="AM1459" i="4" s="1"/>
  <c r="AL1458" i="4"/>
  <c r="AK1458" i="4"/>
  <c r="AM1457" i="4"/>
  <c r="AK1457" i="4"/>
  <c r="X1456" i="4"/>
  <c r="AK1456" i="4" s="1"/>
  <c r="AL1456" i="4" s="1"/>
  <c r="AN1456" i="4" s="1"/>
  <c r="O1456" i="4"/>
  <c r="AK1455" i="4"/>
  <c r="AM1455" i="4" s="1"/>
  <c r="Q1454" i="4"/>
  <c r="AK1453" i="4"/>
  <c r="AM1453" i="4" s="1"/>
  <c r="AN1452" i="4" s="1"/>
  <c r="AL1452" i="4"/>
  <c r="AK1452" i="4"/>
  <c r="AM1451" i="4"/>
  <c r="AK1451" i="4"/>
  <c r="AL1450" i="4"/>
  <c r="AN1450" i="4" s="1"/>
  <c r="AK1450" i="4"/>
  <c r="AM1449" i="4"/>
  <c r="AK1449" i="4"/>
  <c r="AK1448" i="4"/>
  <c r="AL1448" i="4" s="1"/>
  <c r="AN1448" i="4" s="1"/>
  <c r="O1448" i="4"/>
  <c r="O1462" i="4" s="1"/>
  <c r="AK1447" i="4"/>
  <c r="AL1447" i="4" s="1"/>
  <c r="AN1447" i="4" s="1"/>
  <c r="AN1446" i="4"/>
  <c r="AL1446" i="4"/>
  <c r="AK1446" i="4"/>
  <c r="AK1445" i="4"/>
  <c r="AM1445" i="4" s="1"/>
  <c r="AN1444" i="4"/>
  <c r="AK1444" i="4"/>
  <c r="AL1444" i="4" s="1"/>
  <c r="AK1443" i="4"/>
  <c r="AM1443" i="4" s="1"/>
  <c r="AN1442" i="4" s="1"/>
  <c r="AL1442" i="4"/>
  <c r="AK1442" i="4"/>
  <c r="AK1441" i="4"/>
  <c r="AM1441" i="4" s="1"/>
  <c r="AN1440" i="4"/>
  <c r="AL1440" i="4"/>
  <c r="AK1440" i="4"/>
  <c r="AM1439" i="4"/>
  <c r="AK1439" i="4"/>
  <c r="AF1438" i="4"/>
  <c r="AB1438" i="4"/>
  <c r="T1438" i="4"/>
  <c r="T1462" i="4" s="1"/>
  <c r="J1438" i="4"/>
  <c r="AK1437" i="4"/>
  <c r="AM1437" i="4" s="1"/>
  <c r="AL1436" i="4"/>
  <c r="AK1436" i="4"/>
  <c r="AM1435" i="4"/>
  <c r="AK1435" i="4"/>
  <c r="AK1434" i="4"/>
  <c r="AL1434" i="4" s="1"/>
  <c r="AN1434" i="4" s="1"/>
  <c r="J1433" i="4"/>
  <c r="AH1432" i="4"/>
  <c r="AF1432" i="4"/>
  <c r="AF1462" i="4" s="1"/>
  <c r="AC1432" i="4"/>
  <c r="Z1432" i="4"/>
  <c r="Y1432" i="4"/>
  <c r="X1432" i="4"/>
  <c r="AK1432" i="4" s="1"/>
  <c r="AL1432" i="4" s="1"/>
  <c r="U1432" i="4"/>
  <c r="P1432" i="4"/>
  <c r="O1432" i="4"/>
  <c r="K1432" i="4"/>
  <c r="AM1431" i="4"/>
  <c r="AK1431" i="4"/>
  <c r="AH1430" i="4"/>
  <c r="AF1430" i="4"/>
  <c r="AC1430" i="4"/>
  <c r="AC1462" i="4" s="1"/>
  <c r="AA1430" i="4"/>
  <c r="Z1430" i="4"/>
  <c r="Y1430" i="4"/>
  <c r="Y1462" i="4" s="1"/>
  <c r="X1430" i="4"/>
  <c r="U1430" i="4"/>
  <c r="U1462" i="4" s="1"/>
  <c r="P1430" i="4"/>
  <c r="M1430" i="4"/>
  <c r="L1430" i="4"/>
  <c r="K1430" i="4"/>
  <c r="K1462" i="4" s="1"/>
  <c r="AK1429" i="4"/>
  <c r="AM1429" i="4" s="1"/>
  <c r="AL1428" i="4"/>
  <c r="AN1428" i="4" s="1"/>
  <c r="AK1428" i="4"/>
  <c r="AN1427" i="4"/>
  <c r="AM1427" i="4"/>
  <c r="AK1427" i="4"/>
  <c r="AN1426" i="4"/>
  <c r="AL1426" i="4"/>
  <c r="AK1426" i="4"/>
  <c r="AM1425" i="4"/>
  <c r="AK1425" i="4"/>
  <c r="AK1424" i="4"/>
  <c r="AL1424" i="4" s="1"/>
  <c r="AN1424" i="4" s="1"/>
  <c r="W1424" i="4"/>
  <c r="AK1423" i="4"/>
  <c r="AM1423" i="4" s="1"/>
  <c r="AK1422" i="4"/>
  <c r="AL1422" i="4" s="1"/>
  <c r="AN1422" i="4" s="1"/>
  <c r="AN1421" i="4"/>
  <c r="AK1421" i="4"/>
  <c r="AL1421" i="4" s="1"/>
  <c r="AL1420" i="4"/>
  <c r="AN1420" i="4" s="1"/>
  <c r="AK1420" i="4"/>
  <c r="AM1419" i="4"/>
  <c r="AK1419" i="4"/>
  <c r="Z1418" i="4"/>
  <c r="AK1417" i="4"/>
  <c r="AM1417" i="4" s="1"/>
  <c r="AN1417" i="4" s="1"/>
  <c r="AN1416" i="4"/>
  <c r="AL1416" i="4"/>
  <c r="AK1416" i="4"/>
  <c r="AN1415" i="4"/>
  <c r="AM1415" i="4"/>
  <c r="AK1415" i="4"/>
  <c r="AM1414" i="4"/>
  <c r="AN1413" i="4" s="1"/>
  <c r="AL1413" i="4"/>
  <c r="AM1412" i="4"/>
  <c r="AM1411" i="4"/>
  <c r="J1410" i="4"/>
  <c r="AL1410" i="4" s="1"/>
  <c r="AJ1409" i="4"/>
  <c r="AI1409" i="4"/>
  <c r="AH1409" i="4"/>
  <c r="AG1409" i="4"/>
  <c r="AF1409" i="4"/>
  <c r="AE1409" i="4"/>
  <c r="AD1409" i="4"/>
  <c r="AC1409" i="4"/>
  <c r="AB1409" i="4"/>
  <c r="AA1409" i="4"/>
  <c r="Z1409" i="4"/>
  <c r="Y1409" i="4"/>
  <c r="X1409" i="4"/>
  <c r="W1409" i="4"/>
  <c r="V1409" i="4"/>
  <c r="U1409" i="4"/>
  <c r="T1409" i="4"/>
  <c r="S1409" i="4"/>
  <c r="R1409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AM1408" i="4"/>
  <c r="AK1408" i="4"/>
  <c r="AK1407" i="4"/>
  <c r="AL1407" i="4" s="1"/>
  <c r="AN1407" i="4" s="1"/>
  <c r="AK1406" i="4"/>
  <c r="AM1406" i="4" s="1"/>
  <c r="AL1405" i="4"/>
  <c r="AN1405" i="4" s="1"/>
  <c r="AK1405" i="4"/>
  <c r="AK1404" i="4"/>
  <c r="AM1404" i="4" s="1"/>
  <c r="AK1403" i="4"/>
  <c r="AL1403" i="4" s="1"/>
  <c r="AN1403" i="4" s="1"/>
  <c r="AN1402" i="4"/>
  <c r="AM1402" i="4"/>
  <c r="AK1402" i="4"/>
  <c r="AM1401" i="4"/>
  <c r="AM1409" i="4" s="1"/>
  <c r="AK1401" i="4"/>
  <c r="AK1400" i="4"/>
  <c r="AK1409" i="4" s="1"/>
  <c r="AL1399" i="4"/>
  <c r="AN1399" i="4" s="1"/>
  <c r="AK1399" i="4"/>
  <c r="AM1393" i="4"/>
  <c r="AJ1393" i="4"/>
  <c r="AI1393" i="4"/>
  <c r="AH1393" i="4"/>
  <c r="AG1393" i="4"/>
  <c r="AF1393" i="4"/>
  <c r="AE1393" i="4"/>
  <c r="AD1393" i="4"/>
  <c r="AB1393" i="4"/>
  <c r="AA1393" i="4"/>
  <c r="Y1393" i="4"/>
  <c r="W1393" i="4"/>
  <c r="T1393" i="4"/>
  <c r="Q1393" i="4"/>
  <c r="P1393" i="4"/>
  <c r="M1393" i="4"/>
  <c r="L1393" i="4"/>
  <c r="I1393" i="4"/>
  <c r="G1393" i="4"/>
  <c r="F1393" i="4"/>
  <c r="AK1392" i="4"/>
  <c r="AM1392" i="4" s="1"/>
  <c r="AL1391" i="4"/>
  <c r="AN1391" i="4" s="1"/>
  <c r="AK1391" i="4"/>
  <c r="AM1390" i="4"/>
  <c r="AK1390" i="4"/>
  <c r="AK1389" i="4"/>
  <c r="AL1389" i="4" s="1"/>
  <c r="AN1389" i="4" s="1"/>
  <c r="AK1388" i="4"/>
  <c r="AM1388" i="4" s="1"/>
  <c r="AN1387" i="4" s="1"/>
  <c r="AK1387" i="4"/>
  <c r="AL1387" i="4" s="1"/>
  <c r="AK1386" i="4"/>
  <c r="AM1386" i="4" s="1"/>
  <c r="AK1385" i="4"/>
  <c r="AL1385" i="4" s="1"/>
  <c r="O1385" i="4"/>
  <c r="AK1384" i="4"/>
  <c r="AM1384" i="4" s="1"/>
  <c r="AN1383" i="4" s="1"/>
  <c r="AK1383" i="4"/>
  <c r="AL1383" i="4" s="1"/>
  <c r="AK1382" i="4"/>
  <c r="AM1382" i="4" s="1"/>
  <c r="AK1381" i="4"/>
  <c r="AL1381" i="4" s="1"/>
  <c r="AN1381" i="4" s="1"/>
  <c r="AM1380" i="4"/>
  <c r="AK1380" i="4"/>
  <c r="AK1379" i="4"/>
  <c r="AL1379" i="4" s="1"/>
  <c r="AN1379" i="4" s="1"/>
  <c r="AL1378" i="4"/>
  <c r="AN1378" i="4" s="1"/>
  <c r="AK1378" i="4"/>
  <c r="AK1377" i="4"/>
  <c r="AL1377" i="4" s="1"/>
  <c r="AN1377" i="4" s="1"/>
  <c r="AK1376" i="4"/>
  <c r="AM1376" i="4" s="1"/>
  <c r="AK1375" i="4"/>
  <c r="AL1375" i="4" s="1"/>
  <c r="AN1375" i="4" s="1"/>
  <c r="AM1374" i="4"/>
  <c r="AK1374" i="4"/>
  <c r="AK1373" i="4"/>
  <c r="AL1373" i="4" s="1"/>
  <c r="AN1373" i="4" s="1"/>
  <c r="AK1372" i="4"/>
  <c r="AM1372" i="4" s="1"/>
  <c r="H1372" i="4"/>
  <c r="H1393" i="4" s="1"/>
  <c r="AI1371" i="4"/>
  <c r="U1371" i="4"/>
  <c r="AK1371" i="4" s="1"/>
  <c r="AL1371" i="4" s="1"/>
  <c r="AN1371" i="4" s="1"/>
  <c r="AM1370" i="4"/>
  <c r="AK1370" i="4"/>
  <c r="AC1369" i="4"/>
  <c r="Z1369" i="4"/>
  <c r="Z1393" i="4" s="1"/>
  <c r="X1369" i="4"/>
  <c r="X1393" i="4" s="1"/>
  <c r="U1369" i="4"/>
  <c r="R1369" i="4"/>
  <c r="R1393" i="4" s="1"/>
  <c r="O1369" i="4"/>
  <c r="O1393" i="4" s="1"/>
  <c r="J1369" i="4"/>
  <c r="J1393" i="4" s="1"/>
  <c r="AK1368" i="4"/>
  <c r="AM1368" i="4" s="1"/>
  <c r="AK1367" i="4"/>
  <c r="AL1367" i="4" s="1"/>
  <c r="W1367" i="4"/>
  <c r="AM1366" i="4"/>
  <c r="AK1366" i="4"/>
  <c r="N1365" i="4"/>
  <c r="N1393" i="4" s="1"/>
  <c r="M1365" i="4"/>
  <c r="AM1364" i="4"/>
  <c r="AK1364" i="4"/>
  <c r="AI1363" i="4"/>
  <c r="AF1363" i="4"/>
  <c r="AC1363" i="4"/>
  <c r="Z1363" i="4"/>
  <c r="W1363" i="4"/>
  <c r="V1363" i="4"/>
  <c r="V1393" i="4" s="1"/>
  <c r="U1363" i="4"/>
  <c r="U1393" i="4" s="1"/>
  <c r="P1363" i="4"/>
  <c r="K1363" i="4"/>
  <c r="AM1362" i="4"/>
  <c r="AK1362" i="4"/>
  <c r="AF1361" i="4"/>
  <c r="AC1361" i="4"/>
  <c r="Y1361" i="4"/>
  <c r="T1361" i="4"/>
  <c r="S1361" i="4"/>
  <c r="S1393" i="4" s="1"/>
  <c r="P1361" i="4"/>
  <c r="K1361" i="4"/>
  <c r="AK1361" i="4" s="1"/>
  <c r="AL1361" i="4" s="1"/>
  <c r="AN1361" i="4" s="1"/>
  <c r="AM1360" i="4"/>
  <c r="AK1360" i="4"/>
  <c r="AK1359" i="4"/>
  <c r="AL1359" i="4" s="1"/>
  <c r="AN1359" i="4" s="1"/>
  <c r="AK1358" i="4"/>
  <c r="AM1358" i="4" s="1"/>
  <c r="AN1358" i="4" s="1"/>
  <c r="AN1357" i="4"/>
  <c r="AK1357" i="4"/>
  <c r="AL1357" i="4" s="1"/>
  <c r="AK1356" i="4"/>
  <c r="AM1356" i="4" s="1"/>
  <c r="AK1355" i="4"/>
  <c r="AL1355" i="4" s="1"/>
  <c r="AN1355" i="4" s="1"/>
  <c r="AM1354" i="4"/>
  <c r="AK1354" i="4"/>
  <c r="AK1353" i="4"/>
  <c r="AL1353" i="4" s="1"/>
  <c r="AN1353" i="4" s="1"/>
  <c r="AL1352" i="4"/>
  <c r="AN1352" i="4" s="1"/>
  <c r="AK1352" i="4"/>
  <c r="AK1351" i="4"/>
  <c r="AL1351" i="4" s="1"/>
  <c r="AN1351" i="4" s="1"/>
  <c r="AK1350" i="4"/>
  <c r="AM1350" i="4" s="1"/>
  <c r="AK1349" i="4"/>
  <c r="AL1349" i="4" s="1"/>
  <c r="AN1349" i="4" s="1"/>
  <c r="O1349" i="4"/>
  <c r="AK1348" i="4"/>
  <c r="AM1348" i="4" s="1"/>
  <c r="AN1348" i="4" s="1"/>
  <c r="AN1347" i="4"/>
  <c r="AK1347" i="4"/>
  <c r="AL1347" i="4" s="1"/>
  <c r="AN1346" i="4"/>
  <c r="AM1346" i="4"/>
  <c r="AK1346" i="4"/>
  <c r="AM1345" i="4"/>
  <c r="AL1344" i="4"/>
  <c r="AN1344" i="4" s="1"/>
  <c r="AM1343" i="4"/>
  <c r="AM1342" i="4"/>
  <c r="AL1341" i="4"/>
  <c r="AM1339" i="4"/>
  <c r="AK1339" i="4"/>
  <c r="AK1338" i="4"/>
  <c r="AL1338" i="4" s="1"/>
  <c r="AN1338" i="4" s="1"/>
  <c r="AM1337" i="4"/>
  <c r="AK1337" i="4"/>
  <c r="AK1336" i="4"/>
  <c r="AL1336" i="4" s="1"/>
  <c r="AM1335" i="4"/>
  <c r="AK1335" i="4"/>
  <c r="AK1334" i="4"/>
  <c r="AL1334" i="4" s="1"/>
  <c r="AN1334" i="4" s="1"/>
  <c r="AK1333" i="4"/>
  <c r="AM1333" i="4" s="1"/>
  <c r="AK1332" i="4"/>
  <c r="AM1332" i="4" s="1"/>
  <c r="AN1331" i="4" s="1"/>
  <c r="AL1331" i="4"/>
  <c r="AK1331" i="4"/>
  <c r="AK1330" i="4"/>
  <c r="AL1330" i="4" s="1"/>
  <c r="AN1330" i="4" s="1"/>
  <c r="AJ1324" i="4"/>
  <c r="AI1324" i="4"/>
  <c r="AH1324" i="4"/>
  <c r="AG1324" i="4"/>
  <c r="AF1324" i="4"/>
  <c r="AE1324" i="4"/>
  <c r="AD1324" i="4"/>
  <c r="AA1324" i="4"/>
  <c r="W1324" i="4"/>
  <c r="V1324" i="4"/>
  <c r="U1324" i="4"/>
  <c r="S1324" i="4"/>
  <c r="Q1324" i="4"/>
  <c r="O1324" i="4"/>
  <c r="K1324" i="4"/>
  <c r="J1324" i="4"/>
  <c r="G1324" i="4"/>
  <c r="AK1323" i="4"/>
  <c r="AM1323" i="4" s="1"/>
  <c r="AK1322" i="4"/>
  <c r="AL1322" i="4" s="1"/>
  <c r="AN1322" i="4" s="1"/>
  <c r="AM1321" i="4"/>
  <c r="AK1321" i="4"/>
  <c r="AL1320" i="4"/>
  <c r="AK1320" i="4"/>
  <c r="AK1319" i="4"/>
  <c r="AM1319" i="4" s="1"/>
  <c r="AK1318" i="4"/>
  <c r="AL1318" i="4" s="1"/>
  <c r="AN1318" i="4" s="1"/>
  <c r="AM1317" i="4"/>
  <c r="AK1317" i="4"/>
  <c r="AL1316" i="4"/>
  <c r="AN1316" i="4" s="1"/>
  <c r="M1316" i="4"/>
  <c r="AK1316" i="4" s="1"/>
  <c r="AK1315" i="4"/>
  <c r="AM1315" i="4" s="1"/>
  <c r="AL1314" i="4"/>
  <c r="AK1314" i="4"/>
  <c r="AK1313" i="4"/>
  <c r="AM1313" i="4" s="1"/>
  <c r="AL1312" i="4"/>
  <c r="AK1312" i="4"/>
  <c r="AM1311" i="4"/>
  <c r="AK1311" i="4"/>
  <c r="AL1310" i="4"/>
  <c r="AN1310" i="4" s="1"/>
  <c r="AK1310" i="4"/>
  <c r="AK1309" i="4"/>
  <c r="AM1309" i="4" s="1"/>
  <c r="AN1308" i="4"/>
  <c r="AK1308" i="4"/>
  <c r="AL1308" i="4" s="1"/>
  <c r="AK1307" i="4"/>
  <c r="AL1307" i="4" s="1"/>
  <c r="AN1307" i="4" s="1"/>
  <c r="AK1306" i="4"/>
  <c r="AL1306" i="4" s="1"/>
  <c r="AN1306" i="4" s="1"/>
  <c r="AM1305" i="4"/>
  <c r="AN1304" i="4" s="1"/>
  <c r="AK1305" i="4"/>
  <c r="AL1304" i="4"/>
  <c r="AK1304" i="4"/>
  <c r="AM1303" i="4"/>
  <c r="AK1303" i="4"/>
  <c r="AN1302" i="4"/>
  <c r="AK1302" i="4"/>
  <c r="AL1302" i="4" s="1"/>
  <c r="AK1301" i="4"/>
  <c r="AM1301" i="4" s="1"/>
  <c r="AK1300" i="4"/>
  <c r="AL1300" i="4" s="1"/>
  <c r="AN1300" i="4" s="1"/>
  <c r="W1300" i="4"/>
  <c r="AK1299" i="4"/>
  <c r="AM1299" i="4" s="1"/>
  <c r="AL1298" i="4"/>
  <c r="AN1298" i="4" s="1"/>
  <c r="AE1298" i="4"/>
  <c r="AB1298" i="4"/>
  <c r="AB1324" i="4" s="1"/>
  <c r="X1298" i="4"/>
  <c r="X1324" i="4" s="1"/>
  <c r="U1298" i="4"/>
  <c r="S1298" i="4"/>
  <c r="P1298" i="4"/>
  <c r="I1298" i="4"/>
  <c r="AK1298" i="4" s="1"/>
  <c r="AM1297" i="4"/>
  <c r="AK1297" i="4"/>
  <c r="AL1296" i="4"/>
  <c r="AN1296" i="4" s="1"/>
  <c r="AK1296" i="4"/>
  <c r="AK1295" i="4"/>
  <c r="AM1295" i="4" s="1"/>
  <c r="AK1294" i="4"/>
  <c r="AL1294" i="4" s="1"/>
  <c r="AM1293" i="4"/>
  <c r="AK1293" i="4"/>
  <c r="AI1292" i="4"/>
  <c r="Z1292" i="4"/>
  <c r="Z1324" i="4" s="1"/>
  <c r="V1292" i="4"/>
  <c r="R1292" i="4"/>
  <c r="R1324" i="4" s="1"/>
  <c r="P1292" i="4"/>
  <c r="P1324" i="4" s="1"/>
  <c r="L1292" i="4"/>
  <c r="L1324" i="4" s="1"/>
  <c r="F1292" i="4"/>
  <c r="F1324" i="4" s="1"/>
  <c r="AK1291" i="4"/>
  <c r="AM1291" i="4" s="1"/>
  <c r="AF1290" i="4"/>
  <c r="AC1290" i="4"/>
  <c r="AC1324" i="4" s="1"/>
  <c r="Z1290" i="4"/>
  <c r="Y1290" i="4"/>
  <c r="Y1324" i="4" s="1"/>
  <c r="V1290" i="4"/>
  <c r="T1290" i="4"/>
  <c r="T1324" i="4" s="1"/>
  <c r="P1290" i="4"/>
  <c r="N1290" i="4"/>
  <c r="N1324" i="4" s="1"/>
  <c r="J1290" i="4"/>
  <c r="H1290" i="4"/>
  <c r="AK1290" i="4" s="1"/>
  <c r="AL1290" i="4" s="1"/>
  <c r="AN1290" i="4" s="1"/>
  <c r="AM1289" i="4"/>
  <c r="AK1289" i="4"/>
  <c r="AK1288" i="4"/>
  <c r="AL1288" i="4" s="1"/>
  <c r="AN1288" i="4" s="1"/>
  <c r="AN1287" i="4"/>
  <c r="AM1287" i="4"/>
  <c r="AK1287" i="4"/>
  <c r="AK1286" i="4"/>
  <c r="AL1286" i="4" s="1"/>
  <c r="AN1286" i="4" s="1"/>
  <c r="AM1285" i="4"/>
  <c r="AK1285" i="4"/>
  <c r="AK1284" i="4"/>
  <c r="AL1284" i="4" s="1"/>
  <c r="AN1284" i="4" s="1"/>
  <c r="AM1283" i="4"/>
  <c r="AK1283" i="4"/>
  <c r="AN1282" i="4"/>
  <c r="AK1282" i="4"/>
  <c r="AL1282" i="4" s="1"/>
  <c r="AL1281" i="4"/>
  <c r="AN1281" i="4" s="1"/>
  <c r="AK1281" i="4"/>
  <c r="AK1280" i="4"/>
  <c r="AL1280" i="4" s="1"/>
  <c r="AN1280" i="4" s="1"/>
  <c r="AM1279" i="4"/>
  <c r="AK1279" i="4"/>
  <c r="AL1278" i="4"/>
  <c r="AN1278" i="4" s="1"/>
  <c r="AK1278" i="4"/>
  <c r="M1278" i="4"/>
  <c r="M1324" i="4" s="1"/>
  <c r="AM1277" i="4"/>
  <c r="AK1277" i="4"/>
  <c r="AL1276" i="4"/>
  <c r="AK1276" i="4"/>
  <c r="AM1275" i="4"/>
  <c r="AN1275" i="4" s="1"/>
  <c r="AK1275" i="4"/>
  <c r="AM1274" i="4"/>
  <c r="AM1273" i="4"/>
  <c r="AL1272" i="4"/>
  <c r="AK1271" i="4"/>
  <c r="AM1270" i="4"/>
  <c r="AK1270" i="4"/>
  <c r="AK1269" i="4"/>
  <c r="AL1269" i="4" s="1"/>
  <c r="AN1269" i="4" s="1"/>
  <c r="AM1268" i="4"/>
  <c r="AK1268" i="4"/>
  <c r="AL1267" i="4"/>
  <c r="AN1267" i="4" s="1"/>
  <c r="AK1267" i="4"/>
  <c r="AK1266" i="4"/>
  <c r="AM1266" i="4" s="1"/>
  <c r="AK1265" i="4"/>
  <c r="AL1265" i="4" s="1"/>
  <c r="AN1265" i="4" s="1"/>
  <c r="AK1264" i="4"/>
  <c r="AM1264" i="4" s="1"/>
  <c r="AN1264" i="4" s="1"/>
  <c r="AM1263" i="4"/>
  <c r="AM1271" i="4" s="1"/>
  <c r="AK1263" i="4"/>
  <c r="AN1262" i="4"/>
  <c r="AL1262" i="4"/>
  <c r="AK1262" i="4"/>
  <c r="AL1261" i="4"/>
  <c r="AN1261" i="4" s="1"/>
  <c r="AK1261" i="4"/>
  <c r="AJ1255" i="4"/>
  <c r="AI1255" i="4"/>
  <c r="AF1255" i="4"/>
  <c r="AD1255" i="4"/>
  <c r="AA1255" i="4"/>
  <c r="U1255" i="4"/>
  <c r="R1255" i="4"/>
  <c r="O1255" i="4"/>
  <c r="N1255" i="4"/>
  <c r="I1255" i="4"/>
  <c r="H1255" i="4"/>
  <c r="G1255" i="4"/>
  <c r="F1255" i="4"/>
  <c r="AK1254" i="4"/>
  <c r="AM1254" i="4" s="1"/>
  <c r="AN1253" i="4" s="1"/>
  <c r="AL1253" i="4"/>
  <c r="AK1253" i="4"/>
  <c r="AM1252" i="4"/>
  <c r="AK1252" i="4"/>
  <c r="AK1251" i="4"/>
  <c r="AL1251" i="4" s="1"/>
  <c r="AN1251" i="4" s="1"/>
  <c r="AK1250" i="4"/>
  <c r="AM1250" i="4" s="1"/>
  <c r="AK1249" i="4"/>
  <c r="AL1249" i="4" s="1"/>
  <c r="AN1249" i="4" s="1"/>
  <c r="AM1248" i="4"/>
  <c r="AK1248" i="4"/>
  <c r="AF1247" i="4"/>
  <c r="X1247" i="4"/>
  <c r="AK1247" i="4" s="1"/>
  <c r="AL1247" i="4" s="1"/>
  <c r="AN1247" i="4" s="1"/>
  <c r="AM1246" i="4"/>
  <c r="AK1246" i="4"/>
  <c r="Q1245" i="4"/>
  <c r="N1245" i="4"/>
  <c r="J1245" i="4"/>
  <c r="AM1244" i="4"/>
  <c r="AK1244" i="4"/>
  <c r="AK1243" i="4"/>
  <c r="AL1243" i="4" s="1"/>
  <c r="AN1243" i="4" s="1"/>
  <c r="AM1242" i="4"/>
  <c r="AK1242" i="4"/>
  <c r="AK1241" i="4"/>
  <c r="AL1241" i="4" s="1"/>
  <c r="AN1241" i="4" s="1"/>
  <c r="AK1240" i="4"/>
  <c r="AM1240" i="4" s="1"/>
  <c r="AL1239" i="4"/>
  <c r="AK1239" i="4"/>
  <c r="AL1238" i="4"/>
  <c r="AN1238" i="4" s="1"/>
  <c r="AK1238" i="4"/>
  <c r="J1238" i="4"/>
  <c r="J1255" i="4" s="1"/>
  <c r="AK1237" i="4"/>
  <c r="AL1237" i="4" s="1"/>
  <c r="AN1237" i="4" s="1"/>
  <c r="AK1236" i="4"/>
  <c r="AM1236" i="4" s="1"/>
  <c r="AN1235" i="4"/>
  <c r="AL1235" i="4"/>
  <c r="AK1235" i="4"/>
  <c r="AM1234" i="4"/>
  <c r="AK1234" i="4"/>
  <c r="AN1233" i="4"/>
  <c r="AL1233" i="4"/>
  <c r="AK1233" i="4"/>
  <c r="AK1232" i="4"/>
  <c r="AM1232" i="4" s="1"/>
  <c r="AK1231" i="4"/>
  <c r="AL1231" i="4" s="1"/>
  <c r="AN1231" i="4" s="1"/>
  <c r="P1231" i="4"/>
  <c r="K1231" i="4"/>
  <c r="AK1230" i="4"/>
  <c r="AM1230" i="4" s="1"/>
  <c r="AB1229" i="4"/>
  <c r="X1229" i="4"/>
  <c r="S1229" i="4"/>
  <c r="AK1229" i="4" s="1"/>
  <c r="AL1229" i="4" s="1"/>
  <c r="AK1228" i="4"/>
  <c r="AM1228" i="4" s="1"/>
  <c r="X1227" i="4"/>
  <c r="AK1227" i="4" s="1"/>
  <c r="AL1227" i="4" s="1"/>
  <c r="AN1227" i="4" s="1"/>
  <c r="AM1226" i="4"/>
  <c r="AK1226" i="4"/>
  <c r="AH1225" i="4"/>
  <c r="AG1225" i="4"/>
  <c r="AD1225" i="4"/>
  <c r="V1225" i="4"/>
  <c r="T1225" i="4"/>
  <c r="S1225" i="4"/>
  <c r="P1225" i="4"/>
  <c r="AK1225" i="4" s="1"/>
  <c r="AL1225" i="4" s="1"/>
  <c r="AN1225" i="4" s="1"/>
  <c r="AM1224" i="4"/>
  <c r="AK1224" i="4"/>
  <c r="AJ1223" i="4"/>
  <c r="AH1223" i="4"/>
  <c r="AH1255" i="4" s="1"/>
  <c r="AG1223" i="4"/>
  <c r="AG1255" i="4" s="1"/>
  <c r="AE1223" i="4"/>
  <c r="AC1223" i="4"/>
  <c r="AC1255" i="4" s="1"/>
  <c r="AB1223" i="4"/>
  <c r="Z1223" i="4"/>
  <c r="Y1223" i="4"/>
  <c r="X1223" i="4"/>
  <c r="W1223" i="4"/>
  <c r="V1223" i="4"/>
  <c r="T1223" i="4"/>
  <c r="T1255" i="4" s="1"/>
  <c r="S1223" i="4"/>
  <c r="S1255" i="4" s="1"/>
  <c r="Q1223" i="4"/>
  <c r="P1223" i="4"/>
  <c r="P1255" i="4" s="1"/>
  <c r="M1223" i="4"/>
  <c r="M1255" i="4" s="1"/>
  <c r="L1223" i="4"/>
  <c r="L1255" i="4" s="1"/>
  <c r="K1223" i="4"/>
  <c r="I1223" i="4"/>
  <c r="AK1223" i="4" s="1"/>
  <c r="AL1223" i="4" s="1"/>
  <c r="AN1223" i="4" s="1"/>
  <c r="AM1222" i="4"/>
  <c r="AK1222" i="4"/>
  <c r="AK1221" i="4"/>
  <c r="AL1221" i="4" s="1"/>
  <c r="AN1221" i="4" s="1"/>
  <c r="AE1221" i="4"/>
  <c r="AE1255" i="4" s="1"/>
  <c r="AB1221" i="4"/>
  <c r="AB1255" i="4" s="1"/>
  <c r="Z1221" i="4"/>
  <c r="Z1255" i="4" s="1"/>
  <c r="Y1221" i="4"/>
  <c r="Y1255" i="4" s="1"/>
  <c r="W1221" i="4"/>
  <c r="W1255" i="4" s="1"/>
  <c r="V1221" i="4"/>
  <c r="Q1221" i="4"/>
  <c r="Q1255" i="4" s="1"/>
  <c r="P1221" i="4"/>
  <c r="J1221" i="4"/>
  <c r="I1221" i="4"/>
  <c r="AK1220" i="4"/>
  <c r="AM1220" i="4" s="1"/>
  <c r="AL1219" i="4"/>
  <c r="AK1219" i="4"/>
  <c r="AM1218" i="4"/>
  <c r="AN1218" i="4" s="1"/>
  <c r="AK1218" i="4"/>
  <c r="AK1217" i="4"/>
  <c r="AL1217" i="4" s="1"/>
  <c r="AN1217" i="4" s="1"/>
  <c r="AM1216" i="4"/>
  <c r="AN1215" i="4" s="1"/>
  <c r="AK1216" i="4"/>
  <c r="AK1215" i="4"/>
  <c r="AL1215" i="4" s="1"/>
  <c r="AM1214" i="4"/>
  <c r="AK1214" i="4"/>
  <c r="AL1213" i="4"/>
  <c r="AK1213" i="4"/>
  <c r="AN1212" i="4"/>
  <c r="AL1212" i="4"/>
  <c r="AK1212" i="4"/>
  <c r="AN1211" i="4"/>
  <c r="AL1211" i="4"/>
  <c r="AK1211" i="4"/>
  <c r="X1210" i="4"/>
  <c r="AL1209" i="4"/>
  <c r="AK1209" i="4"/>
  <c r="K1209" i="4"/>
  <c r="J1209" i="4"/>
  <c r="AK1208" i="4"/>
  <c r="AM1208" i="4" s="1"/>
  <c r="AN1208" i="4" s="1"/>
  <c r="AK1207" i="4"/>
  <c r="AL1207" i="4" s="1"/>
  <c r="AN1207" i="4" s="1"/>
  <c r="AK1206" i="4"/>
  <c r="AM1205" i="4"/>
  <c r="AM1204" i="4"/>
  <c r="AL1203" i="4"/>
  <c r="AK1202" i="4"/>
  <c r="AK1201" i="4"/>
  <c r="AM1201" i="4" s="1"/>
  <c r="AL1200" i="4"/>
  <c r="AK1200" i="4"/>
  <c r="AK1199" i="4"/>
  <c r="AM1199" i="4" s="1"/>
  <c r="AK1198" i="4"/>
  <c r="AL1198" i="4" s="1"/>
  <c r="AN1198" i="4" s="1"/>
  <c r="AM1197" i="4"/>
  <c r="AK1197" i="4"/>
  <c r="AK1196" i="4"/>
  <c r="AL1196" i="4" s="1"/>
  <c r="AN1196" i="4" s="1"/>
  <c r="AN1195" i="4"/>
  <c r="AK1195" i="4"/>
  <c r="AM1195" i="4" s="1"/>
  <c r="AK1194" i="4"/>
  <c r="AM1194" i="4" s="1"/>
  <c r="AM1202" i="4" s="1"/>
  <c r="AK1193" i="4"/>
  <c r="AL1193" i="4" s="1"/>
  <c r="AN1192" i="4"/>
  <c r="AL1192" i="4"/>
  <c r="AK1192" i="4"/>
  <c r="AJ1186" i="4"/>
  <c r="AG1186" i="4"/>
  <c r="AF1186" i="4"/>
  <c r="AD1186" i="4"/>
  <c r="AC1186" i="4"/>
  <c r="AB1186" i="4"/>
  <c r="AA1186" i="4"/>
  <c r="Z1186" i="4"/>
  <c r="Y1186" i="4"/>
  <c r="W1186" i="4"/>
  <c r="U1186" i="4"/>
  <c r="S1186" i="4"/>
  <c r="R1186" i="4"/>
  <c r="Q1186" i="4"/>
  <c r="L1186" i="4"/>
  <c r="K1186" i="4"/>
  <c r="H1186" i="4"/>
  <c r="G1186" i="4"/>
  <c r="F1186" i="4"/>
  <c r="AM1185" i="4"/>
  <c r="AK1185" i="4"/>
  <c r="AK1184" i="4"/>
  <c r="AL1184" i="4" s="1"/>
  <c r="AN1184" i="4" s="1"/>
  <c r="AM1183" i="4"/>
  <c r="AK1183" i="4"/>
  <c r="AN1182" i="4"/>
  <c r="AL1182" i="4"/>
  <c r="AK1182" i="4"/>
  <c r="AK1181" i="4"/>
  <c r="AM1181" i="4" s="1"/>
  <c r="AN1180" i="4" s="1"/>
  <c r="AK1180" i="4"/>
  <c r="AL1180" i="4" s="1"/>
  <c r="AK1179" i="4"/>
  <c r="AM1179" i="4" s="1"/>
  <c r="N1178" i="4"/>
  <c r="AK1178" i="4" s="1"/>
  <c r="AL1178" i="4" s="1"/>
  <c r="AN1178" i="4" s="1"/>
  <c r="AM1177" i="4"/>
  <c r="AK1177" i="4"/>
  <c r="AL1176" i="4"/>
  <c r="AN1176" i="4" s="1"/>
  <c r="AK1176" i="4"/>
  <c r="AK1175" i="4"/>
  <c r="AM1175" i="4" s="1"/>
  <c r="AI1175" i="4"/>
  <c r="AI1174" i="4"/>
  <c r="AG1174" i="4"/>
  <c r="AE1174" i="4"/>
  <c r="AK1173" i="4"/>
  <c r="AM1173" i="4" s="1"/>
  <c r="AK1172" i="4"/>
  <c r="AL1172" i="4" s="1"/>
  <c r="AN1172" i="4" s="1"/>
  <c r="AM1171" i="4"/>
  <c r="AK1171" i="4"/>
  <c r="AL1170" i="4"/>
  <c r="AN1170" i="4" s="1"/>
  <c r="AK1170" i="4"/>
  <c r="AK1169" i="4"/>
  <c r="AL1169" i="4" s="1"/>
  <c r="AN1169" i="4" s="1"/>
  <c r="AN1168" i="4"/>
  <c r="AK1168" i="4"/>
  <c r="AL1168" i="4" s="1"/>
  <c r="AK1167" i="4"/>
  <c r="AM1167" i="4" s="1"/>
  <c r="AN1166" i="4"/>
  <c r="AK1166" i="4"/>
  <c r="AL1166" i="4" s="1"/>
  <c r="AK1165" i="4"/>
  <c r="AM1165" i="4" s="1"/>
  <c r="AL1164" i="4"/>
  <c r="AN1164" i="4" s="1"/>
  <c r="AK1164" i="4"/>
  <c r="AK1163" i="4"/>
  <c r="AM1163" i="4" s="1"/>
  <c r="AL1162" i="4"/>
  <c r="AN1162" i="4" s="1"/>
  <c r="AK1162" i="4"/>
  <c r="AM1161" i="4"/>
  <c r="AK1161" i="4"/>
  <c r="AH1160" i="4"/>
  <c r="AH1186" i="4" s="1"/>
  <c r="T1160" i="4"/>
  <c r="Q1160" i="4"/>
  <c r="K1160" i="4"/>
  <c r="F1160" i="4"/>
  <c r="AM1159" i="4"/>
  <c r="AK1159" i="4"/>
  <c r="AN1158" i="4"/>
  <c r="AL1158" i="4"/>
  <c r="AK1158" i="4"/>
  <c r="AK1157" i="4"/>
  <c r="AM1157" i="4" s="1"/>
  <c r="AF1156" i="4"/>
  <c r="AE1156" i="4"/>
  <c r="Q1156" i="4"/>
  <c r="J1156" i="4"/>
  <c r="I1156" i="4"/>
  <c r="F1156" i="4"/>
  <c r="AK1156" i="4" s="1"/>
  <c r="AL1156" i="4" s="1"/>
  <c r="AN1156" i="4" s="1"/>
  <c r="AM1155" i="4"/>
  <c r="AK1155" i="4"/>
  <c r="AE1154" i="4"/>
  <c r="AA1154" i="4"/>
  <c r="W1154" i="4"/>
  <c r="V1154" i="4"/>
  <c r="V1186" i="4" s="1"/>
  <c r="U1154" i="4"/>
  <c r="T1154" i="4"/>
  <c r="P1154" i="4"/>
  <c r="O1154" i="4"/>
  <c r="N1154" i="4"/>
  <c r="N1186" i="4" s="1"/>
  <c r="M1154" i="4"/>
  <c r="J1154" i="4"/>
  <c r="I1154" i="4"/>
  <c r="I1186" i="4" s="1"/>
  <c r="F1154" i="4"/>
  <c r="AK1153" i="4"/>
  <c r="AM1153" i="4" s="1"/>
  <c r="AD1152" i="4"/>
  <c r="AA1152" i="4"/>
  <c r="X1152" i="4"/>
  <c r="X1186" i="4" s="1"/>
  <c r="W1152" i="4"/>
  <c r="T1152" i="4"/>
  <c r="P1152" i="4"/>
  <c r="P1186" i="4" s="1"/>
  <c r="O1152" i="4"/>
  <c r="O1186" i="4" s="1"/>
  <c r="J1152" i="4"/>
  <c r="AK1151" i="4"/>
  <c r="AM1151" i="4" s="1"/>
  <c r="AL1150" i="4"/>
  <c r="AK1150" i="4"/>
  <c r="AK1149" i="4"/>
  <c r="AM1149" i="4" s="1"/>
  <c r="AN1149" i="4" s="1"/>
  <c r="AL1148" i="4"/>
  <c r="AN1148" i="4" s="1"/>
  <c r="AK1148" i="4"/>
  <c r="P1148" i="4"/>
  <c r="AK1147" i="4"/>
  <c r="AM1147" i="4" s="1"/>
  <c r="AK1146" i="4"/>
  <c r="AL1146" i="4" s="1"/>
  <c r="AN1146" i="4" s="1"/>
  <c r="AM1145" i="4"/>
  <c r="AK1145" i="4"/>
  <c r="AL1144" i="4"/>
  <c r="AN1144" i="4" s="1"/>
  <c r="AK1144" i="4"/>
  <c r="AL1143" i="4"/>
  <c r="AN1143" i="4" s="1"/>
  <c r="AK1143" i="4"/>
  <c r="AL1142" i="4"/>
  <c r="AN1142" i="4" s="1"/>
  <c r="AK1142" i="4"/>
  <c r="AM1141" i="4"/>
  <c r="AK1141" i="4"/>
  <c r="AN1140" i="4"/>
  <c r="AL1140" i="4"/>
  <c r="AK1140" i="4"/>
  <c r="AK1139" i="4"/>
  <c r="AM1139" i="4" s="1"/>
  <c r="AN1139" i="4" s="1"/>
  <c r="AL1138" i="4"/>
  <c r="AK1138" i="4"/>
  <c r="AK1137" i="4"/>
  <c r="AM1137" i="4" s="1"/>
  <c r="AN1137" i="4" s="1"/>
  <c r="AM1136" i="4"/>
  <c r="AM1135" i="4"/>
  <c r="AL1134" i="4"/>
  <c r="AM1133" i="4"/>
  <c r="AK1132" i="4"/>
  <c r="AM1132" i="4" s="1"/>
  <c r="AL1131" i="4"/>
  <c r="AK1131" i="4"/>
  <c r="AM1130" i="4"/>
  <c r="AK1130" i="4"/>
  <c r="AK1129" i="4"/>
  <c r="AL1129" i="4" s="1"/>
  <c r="AM1128" i="4"/>
  <c r="AN1127" i="4" s="1"/>
  <c r="AK1128" i="4"/>
  <c r="AL1127" i="4"/>
  <c r="AK1127" i="4"/>
  <c r="AM1126" i="4"/>
  <c r="AN1126" i="4" s="1"/>
  <c r="AK1126" i="4"/>
  <c r="AK1125" i="4"/>
  <c r="AM1125" i="4" s="1"/>
  <c r="AL1124" i="4"/>
  <c r="AL1133" i="4" s="1"/>
  <c r="AK1124" i="4"/>
  <c r="AK1123" i="4"/>
  <c r="AL1123" i="4" s="1"/>
  <c r="AN1123" i="4" s="1"/>
  <c r="AE1117" i="4"/>
  <c r="AA1117" i="4"/>
  <c r="Z1117" i="4"/>
  <c r="U1117" i="4"/>
  <c r="S1117" i="4"/>
  <c r="Q1117" i="4"/>
  <c r="O1117" i="4"/>
  <c r="G1117" i="4"/>
  <c r="F1117" i="4"/>
  <c r="AM1116" i="4"/>
  <c r="AK1116" i="4"/>
  <c r="AK1115" i="4"/>
  <c r="AL1115" i="4" s="1"/>
  <c r="AN1115" i="4" s="1"/>
  <c r="AM1114" i="4"/>
  <c r="AK1114" i="4"/>
  <c r="AL1113" i="4"/>
  <c r="AN1113" i="4" s="1"/>
  <c r="AK1113" i="4"/>
  <c r="AK1112" i="4"/>
  <c r="AM1112" i="4" s="1"/>
  <c r="AL1111" i="4"/>
  <c r="AN1111" i="4" s="1"/>
  <c r="AK1111" i="4"/>
  <c r="AM1110" i="4"/>
  <c r="AK1110" i="4"/>
  <c r="AL1109" i="4"/>
  <c r="AN1109" i="4" s="1"/>
  <c r="AK1109" i="4"/>
  <c r="AM1108" i="4"/>
  <c r="AK1108" i="4"/>
  <c r="AN1107" i="4"/>
  <c r="AK1107" i="4"/>
  <c r="AL1107" i="4" s="1"/>
  <c r="J1107" i="4"/>
  <c r="AK1106" i="4"/>
  <c r="AM1106" i="4" s="1"/>
  <c r="AJ1105" i="4"/>
  <c r="AJ1117" i="4" s="1"/>
  <c r="X1105" i="4"/>
  <c r="X1117" i="4" s="1"/>
  <c r="AM1104" i="4"/>
  <c r="AK1104" i="4"/>
  <c r="AL1103" i="4"/>
  <c r="AN1103" i="4" s="1"/>
  <c r="AK1103" i="4"/>
  <c r="AM1102" i="4"/>
  <c r="AK1102" i="4"/>
  <c r="AK1101" i="4"/>
  <c r="AL1101" i="4" s="1"/>
  <c r="AN1101" i="4" s="1"/>
  <c r="AM1100" i="4"/>
  <c r="AK1100" i="4"/>
  <c r="AF1099" i="4"/>
  <c r="AD1099" i="4"/>
  <c r="AK1099" i="4" s="1"/>
  <c r="AL1099" i="4" s="1"/>
  <c r="AN1099" i="4" s="1"/>
  <c r="AK1098" i="4"/>
  <c r="AL1098" i="4" s="1"/>
  <c r="AN1098" i="4" s="1"/>
  <c r="AK1097" i="4"/>
  <c r="AM1097" i="4" s="1"/>
  <c r="AL1096" i="4"/>
  <c r="AK1096" i="4"/>
  <c r="AK1095" i="4"/>
  <c r="AM1095" i="4" s="1"/>
  <c r="AL1094" i="4"/>
  <c r="AK1094" i="4"/>
  <c r="AK1093" i="4"/>
  <c r="AM1093" i="4" s="1"/>
  <c r="AK1092" i="4"/>
  <c r="AL1092" i="4" s="1"/>
  <c r="AN1092" i="4" s="1"/>
  <c r="AM1091" i="4"/>
  <c r="AK1091" i="4"/>
  <c r="AJ1090" i="4"/>
  <c r="AF1090" i="4"/>
  <c r="AF1117" i="4" s="1"/>
  <c r="T1090" i="4"/>
  <c r="T1117" i="4" s="1"/>
  <c r="J1090" i="4"/>
  <c r="AK1089" i="4"/>
  <c r="AM1089" i="4" s="1"/>
  <c r="L1088" i="4"/>
  <c r="AK1088" i="4" s="1"/>
  <c r="AL1088" i="4" s="1"/>
  <c r="F1088" i="4"/>
  <c r="AK1087" i="4"/>
  <c r="AM1087" i="4" s="1"/>
  <c r="AE1086" i="4"/>
  <c r="AC1086" i="4"/>
  <c r="AC1117" i="4" s="1"/>
  <c r="J1086" i="4"/>
  <c r="J1117" i="4" s="1"/>
  <c r="H1086" i="4"/>
  <c r="G1086" i="4"/>
  <c r="AK1086" i="4" s="1"/>
  <c r="AL1086" i="4" s="1"/>
  <c r="AN1086" i="4" s="1"/>
  <c r="AK1085" i="4"/>
  <c r="AM1085" i="4" s="1"/>
  <c r="AI1084" i="4"/>
  <c r="AH1084" i="4"/>
  <c r="AG1084" i="4"/>
  <c r="AD1084" i="4"/>
  <c r="AB1084" i="4"/>
  <c r="Y1084" i="4"/>
  <c r="Y1117" i="4" s="1"/>
  <c r="X1084" i="4"/>
  <c r="W1084" i="4"/>
  <c r="V1084" i="4"/>
  <c r="T1084" i="4"/>
  <c r="R1084" i="4"/>
  <c r="Q1084" i="4"/>
  <c r="P1084" i="4"/>
  <c r="O1084" i="4"/>
  <c r="N1084" i="4"/>
  <c r="M1084" i="4"/>
  <c r="M1117" i="4" s="1"/>
  <c r="L1084" i="4"/>
  <c r="K1084" i="4"/>
  <c r="H1084" i="4"/>
  <c r="AK1084" i="4" s="1"/>
  <c r="AL1084" i="4" s="1"/>
  <c r="AN1084" i="4" s="1"/>
  <c r="AM1083" i="4"/>
  <c r="AK1083" i="4"/>
  <c r="AI1082" i="4"/>
  <c r="AI1117" i="4" s="1"/>
  <c r="AH1082" i="4"/>
  <c r="AH1117" i="4" s="1"/>
  <c r="AG1082" i="4"/>
  <c r="AG1117" i="4" s="1"/>
  <c r="AD1082" i="4"/>
  <c r="AB1082" i="4"/>
  <c r="AB1117" i="4" s="1"/>
  <c r="W1082" i="4"/>
  <c r="W1117" i="4" s="1"/>
  <c r="V1082" i="4"/>
  <c r="V1117" i="4" s="1"/>
  <c r="R1082" i="4"/>
  <c r="P1082" i="4"/>
  <c r="P1117" i="4" s="1"/>
  <c r="N1082" i="4"/>
  <c r="N1117" i="4" s="1"/>
  <c r="L1082" i="4"/>
  <c r="K1082" i="4"/>
  <c r="K1117" i="4" s="1"/>
  <c r="I1082" i="4"/>
  <c r="I1117" i="4" s="1"/>
  <c r="H1082" i="4"/>
  <c r="H1117" i="4" s="1"/>
  <c r="AK1081" i="4"/>
  <c r="AM1081" i="4" s="1"/>
  <c r="AK1080" i="4"/>
  <c r="AL1080" i="4" s="1"/>
  <c r="AN1080" i="4" s="1"/>
  <c r="AN1079" i="4"/>
  <c r="AM1079" i="4"/>
  <c r="AK1079" i="4"/>
  <c r="AL1078" i="4"/>
  <c r="AN1078" i="4" s="1"/>
  <c r="AK1078" i="4"/>
  <c r="AK1077" i="4"/>
  <c r="AM1077" i="4" s="1"/>
  <c r="AN1076" i="4" s="1"/>
  <c r="AK1076" i="4"/>
  <c r="AL1076" i="4" s="1"/>
  <c r="AK1075" i="4"/>
  <c r="AM1075" i="4" s="1"/>
  <c r="AN1074" i="4"/>
  <c r="AK1074" i="4"/>
  <c r="AL1074" i="4" s="1"/>
  <c r="AK1073" i="4"/>
  <c r="AL1073" i="4" s="1"/>
  <c r="AN1073" i="4" s="1"/>
  <c r="AN1072" i="4"/>
  <c r="AL1072" i="4"/>
  <c r="AK1072" i="4"/>
  <c r="AK1071" i="4"/>
  <c r="AM1071" i="4" s="1"/>
  <c r="AN1070" i="4" s="1"/>
  <c r="AK1070" i="4"/>
  <c r="AL1070" i="4" s="1"/>
  <c r="AK1069" i="4"/>
  <c r="AM1069" i="4" s="1"/>
  <c r="AK1068" i="4"/>
  <c r="AL1068" i="4" s="1"/>
  <c r="AN1067" i="4"/>
  <c r="AM1067" i="4"/>
  <c r="AK1067" i="4"/>
  <c r="AM1066" i="4"/>
  <c r="AM1065" i="4"/>
  <c r="AL1064" i="4"/>
  <c r="AM1062" i="4"/>
  <c r="AK1062" i="4"/>
  <c r="AK1061" i="4"/>
  <c r="AL1061" i="4" s="1"/>
  <c r="AN1061" i="4" s="1"/>
  <c r="AK1060" i="4"/>
  <c r="AM1060" i="4" s="1"/>
  <c r="AN1059" i="4"/>
  <c r="AL1059" i="4"/>
  <c r="AK1059" i="4"/>
  <c r="AK1058" i="4"/>
  <c r="AM1058" i="4" s="1"/>
  <c r="AN1057" i="4" s="1"/>
  <c r="AL1057" i="4"/>
  <c r="AK1057" i="4"/>
  <c r="AM1056" i="4"/>
  <c r="AN1056" i="4" s="1"/>
  <c r="AK1056" i="4"/>
  <c r="AK1055" i="4"/>
  <c r="AM1055" i="4" s="1"/>
  <c r="AM1063" i="4" s="1"/>
  <c r="AK1054" i="4"/>
  <c r="AL1054" i="4" s="1"/>
  <c r="AN1053" i="4"/>
  <c r="AL1053" i="4"/>
  <c r="AK1053" i="4"/>
  <c r="AE1047" i="4"/>
  <c r="AC1047" i="4"/>
  <c r="X1047" i="4"/>
  <c r="W1047" i="4"/>
  <c r="T1047" i="4"/>
  <c r="Q1047" i="4"/>
  <c r="O1047" i="4"/>
  <c r="N1047" i="4"/>
  <c r="M1047" i="4"/>
  <c r="H1047" i="4"/>
  <c r="G1047" i="4"/>
  <c r="F1047" i="4"/>
  <c r="AK1046" i="4"/>
  <c r="AM1046" i="4" s="1"/>
  <c r="AK1045" i="4"/>
  <c r="AL1045" i="4" s="1"/>
  <c r="AN1045" i="4" s="1"/>
  <c r="AM1044" i="4"/>
  <c r="AK1044" i="4"/>
  <c r="AL1043" i="4"/>
  <c r="AN1043" i="4" s="1"/>
  <c r="AK1043" i="4"/>
  <c r="AM1042" i="4"/>
  <c r="AK1042" i="4"/>
  <c r="AL1041" i="4"/>
  <c r="AN1041" i="4" s="1"/>
  <c r="AK1041" i="4"/>
  <c r="AM1040" i="4"/>
  <c r="AK1040" i="4"/>
  <c r="M1039" i="4"/>
  <c r="AK1039" i="4" s="1"/>
  <c r="AL1039" i="4" s="1"/>
  <c r="AN1039" i="4" s="1"/>
  <c r="AM1038" i="4"/>
  <c r="AK1038" i="4"/>
  <c r="AL1037" i="4"/>
  <c r="AN1037" i="4" s="1"/>
  <c r="AK1037" i="4"/>
  <c r="N1037" i="4"/>
  <c r="J1037" i="4"/>
  <c r="AK1036" i="4"/>
  <c r="AM1036" i="4" s="1"/>
  <c r="AN1035" i="4" s="1"/>
  <c r="AL1035" i="4"/>
  <c r="AK1035" i="4"/>
  <c r="AM1034" i="4"/>
  <c r="AK1034" i="4"/>
  <c r="AK1033" i="4"/>
  <c r="AL1033" i="4" s="1"/>
  <c r="AN1033" i="4" s="1"/>
  <c r="AK1032" i="4"/>
  <c r="AM1032" i="4" s="1"/>
  <c r="AN1031" i="4"/>
  <c r="AL1031" i="4"/>
  <c r="AK1031" i="4"/>
  <c r="AK1030" i="4"/>
  <c r="AM1030" i="4" s="1"/>
  <c r="AN1029" i="4"/>
  <c r="AL1029" i="4"/>
  <c r="AK1029" i="4"/>
  <c r="AL1028" i="4"/>
  <c r="AN1028" i="4" s="1"/>
  <c r="AK1028" i="4"/>
  <c r="AK1027" i="4"/>
  <c r="AM1027" i="4" s="1"/>
  <c r="AK1026" i="4"/>
  <c r="AL1026" i="4" s="1"/>
  <c r="AM1025" i="4"/>
  <c r="AK1025" i="4"/>
  <c r="AK1024" i="4"/>
  <c r="AL1024" i="4" s="1"/>
  <c r="AM1023" i="4"/>
  <c r="AK1023" i="4"/>
  <c r="AK1022" i="4"/>
  <c r="AL1022" i="4" s="1"/>
  <c r="AM1021" i="4"/>
  <c r="AK1021" i="4"/>
  <c r="P1020" i="4"/>
  <c r="P1047" i="4" s="1"/>
  <c r="I1020" i="4"/>
  <c r="AK1020" i="4" s="1"/>
  <c r="AL1020" i="4" s="1"/>
  <c r="AN1020" i="4" s="1"/>
  <c r="AM1019" i="4"/>
  <c r="AK1019" i="4"/>
  <c r="AK1018" i="4"/>
  <c r="AL1018" i="4" s="1"/>
  <c r="AN1018" i="4" s="1"/>
  <c r="AD1018" i="4"/>
  <c r="G1018" i="4"/>
  <c r="AK1017" i="4"/>
  <c r="AM1017" i="4" s="1"/>
  <c r="AA1016" i="4"/>
  <c r="AA1047" i="4" s="1"/>
  <c r="R1016" i="4"/>
  <c r="R1047" i="4" s="1"/>
  <c r="M1016" i="4"/>
  <c r="AK1016" i="4" s="1"/>
  <c r="AL1016" i="4" s="1"/>
  <c r="AM1015" i="4"/>
  <c r="AK1015" i="4"/>
  <c r="AJ1014" i="4"/>
  <c r="AJ1047" i="4" s="1"/>
  <c r="AI1014" i="4"/>
  <c r="AG1014" i="4"/>
  <c r="AF1014" i="4"/>
  <c r="AD1014" i="4"/>
  <c r="AD1047" i="4" s="1"/>
  <c r="AC1014" i="4"/>
  <c r="AB1014" i="4"/>
  <c r="Z1014" i="4"/>
  <c r="Y1014" i="4"/>
  <c r="X1014" i="4"/>
  <c r="V1014" i="4"/>
  <c r="V1047" i="4" s="1"/>
  <c r="U1014" i="4"/>
  <c r="S1014" i="4"/>
  <c r="P1014" i="4"/>
  <c r="N1014" i="4"/>
  <c r="L1014" i="4"/>
  <c r="L1047" i="4" s="1"/>
  <c r="K1014" i="4"/>
  <c r="K1047" i="4" s="1"/>
  <c r="J1014" i="4"/>
  <c r="I1014" i="4"/>
  <c r="G1014" i="4"/>
  <c r="AM1013" i="4"/>
  <c r="AK1013" i="4"/>
  <c r="AI1012" i="4"/>
  <c r="AI1047" i="4" s="1"/>
  <c r="AH1012" i="4"/>
  <c r="AH1047" i="4" s="1"/>
  <c r="AG1012" i="4"/>
  <c r="AG1047" i="4" s="1"/>
  <c r="AF1012" i="4"/>
  <c r="AF1047" i="4" s="1"/>
  <c r="AE1012" i="4"/>
  <c r="AD1012" i="4"/>
  <c r="AC1012" i="4"/>
  <c r="AB1012" i="4"/>
  <c r="AB1047" i="4" s="1"/>
  <c r="Z1012" i="4"/>
  <c r="Z1047" i="4" s="1"/>
  <c r="Y1012" i="4"/>
  <c r="Y1047" i="4" s="1"/>
  <c r="U1012" i="4"/>
  <c r="S1012" i="4"/>
  <c r="S1047" i="4" s="1"/>
  <c r="N1012" i="4"/>
  <c r="L1012" i="4"/>
  <c r="J1012" i="4"/>
  <c r="J1047" i="4" s="1"/>
  <c r="I1012" i="4"/>
  <c r="AK1011" i="4"/>
  <c r="AM1011" i="4" s="1"/>
  <c r="AN1010" i="4"/>
  <c r="AL1010" i="4"/>
  <c r="AK1010" i="4"/>
  <c r="AK1009" i="4"/>
  <c r="AM1009" i="4" s="1"/>
  <c r="AN1009" i="4" s="1"/>
  <c r="AN1008" i="4"/>
  <c r="AL1008" i="4"/>
  <c r="AK1008" i="4"/>
  <c r="AM1007" i="4"/>
  <c r="AK1007" i="4"/>
  <c r="AK1006" i="4"/>
  <c r="AL1006" i="4" s="1"/>
  <c r="AN1006" i="4" s="1"/>
  <c r="AK1005" i="4"/>
  <c r="AM1005" i="4" s="1"/>
  <c r="AN1004" i="4"/>
  <c r="AL1004" i="4"/>
  <c r="AK1004" i="4"/>
  <c r="AK1003" i="4"/>
  <c r="AL1003" i="4" s="1"/>
  <c r="AN1003" i="4" s="1"/>
  <c r="AN1002" i="4"/>
  <c r="AL1002" i="4"/>
  <c r="AK1002" i="4"/>
  <c r="AM1001" i="4"/>
  <c r="AK1001" i="4"/>
  <c r="AK1000" i="4"/>
  <c r="AL1000" i="4" s="1"/>
  <c r="AN1000" i="4" s="1"/>
  <c r="AK999" i="4"/>
  <c r="AM999" i="4" s="1"/>
  <c r="AN998" i="4" s="1"/>
  <c r="AL998" i="4"/>
  <c r="AK997" i="4"/>
  <c r="AL997" i="4" s="1"/>
  <c r="AN996" i="4"/>
  <c r="AM996" i="4"/>
  <c r="AK996" i="4"/>
  <c r="AK994" i="4"/>
  <c r="AM994" i="4" s="1"/>
  <c r="AK993" i="4"/>
  <c r="AL993" i="4" s="1"/>
  <c r="AN993" i="4" s="1"/>
  <c r="AM992" i="4"/>
  <c r="AK992" i="4"/>
  <c r="AK991" i="4"/>
  <c r="AL991" i="4" s="1"/>
  <c r="AN991" i="4" s="1"/>
  <c r="AM990" i="4"/>
  <c r="AK990" i="4"/>
  <c r="AK989" i="4"/>
  <c r="AL989" i="4" s="1"/>
  <c r="AK988" i="4"/>
  <c r="AM988" i="4" s="1"/>
  <c r="AN988" i="4" s="1"/>
  <c r="AM987" i="4"/>
  <c r="AM995" i="4" s="1"/>
  <c r="AK987" i="4"/>
  <c r="AL986" i="4"/>
  <c r="AN986" i="4" s="1"/>
  <c r="AK986" i="4"/>
  <c r="AK985" i="4"/>
  <c r="AL985" i="4" s="1"/>
  <c r="AJ979" i="4"/>
  <c r="AI979" i="4"/>
  <c r="AH979" i="4"/>
  <c r="AF979" i="4"/>
  <c r="AE979" i="4"/>
  <c r="Z979" i="4"/>
  <c r="V979" i="4"/>
  <c r="Q979" i="4"/>
  <c r="O979" i="4"/>
  <c r="N979" i="4"/>
  <c r="L979" i="4"/>
  <c r="K979" i="4"/>
  <c r="J979" i="4"/>
  <c r="I979" i="4"/>
  <c r="G979" i="4"/>
  <c r="AM978" i="4"/>
  <c r="AK978" i="4"/>
  <c r="AL977" i="4"/>
  <c r="AN977" i="4" s="1"/>
  <c r="AK977" i="4"/>
  <c r="AK976" i="4"/>
  <c r="AM976" i="4" s="1"/>
  <c r="AN975" i="4" s="1"/>
  <c r="AL975" i="4"/>
  <c r="AK975" i="4"/>
  <c r="AK974" i="4"/>
  <c r="AM974" i="4" s="1"/>
  <c r="AN973" i="4" s="1"/>
  <c r="AL973" i="4"/>
  <c r="AK973" i="4"/>
  <c r="AM972" i="4"/>
  <c r="AK972" i="4"/>
  <c r="AK971" i="4"/>
  <c r="AL971" i="4" s="1"/>
  <c r="AN971" i="4" s="1"/>
  <c r="AK970" i="4"/>
  <c r="AM970" i="4" s="1"/>
  <c r="AN969" i="4" s="1"/>
  <c r="AL969" i="4"/>
  <c r="AK969" i="4"/>
  <c r="AK968" i="4"/>
  <c r="AM968" i="4" s="1"/>
  <c r="AN967" i="4" s="1"/>
  <c r="AL967" i="4"/>
  <c r="AK967" i="4"/>
  <c r="AK966" i="4"/>
  <c r="AM966" i="4" s="1"/>
  <c r="AK965" i="4"/>
  <c r="AL965" i="4" s="1"/>
  <c r="AN965" i="4" s="1"/>
  <c r="AM964" i="4"/>
  <c r="AK964" i="4"/>
  <c r="AL963" i="4"/>
  <c r="AN963" i="4" s="1"/>
  <c r="AK963" i="4"/>
  <c r="AM962" i="4"/>
  <c r="AK962" i="4"/>
  <c r="AL961" i="4"/>
  <c r="AN961" i="4" s="1"/>
  <c r="AK961" i="4"/>
  <c r="AK960" i="4"/>
  <c r="AL960" i="4" s="1"/>
  <c r="AN960" i="4" s="1"/>
  <c r="AM959" i="4"/>
  <c r="AK959" i="4"/>
  <c r="AL958" i="4"/>
  <c r="AN958" i="4" s="1"/>
  <c r="AK958" i="4"/>
  <c r="AK957" i="4"/>
  <c r="AM957" i="4" s="1"/>
  <c r="AN956" i="4" s="1"/>
  <c r="AL956" i="4"/>
  <c r="AK956" i="4"/>
  <c r="AK955" i="4"/>
  <c r="AM955" i="4" s="1"/>
  <c r="S954" i="4"/>
  <c r="AK954" i="4" s="1"/>
  <c r="AL954" i="4" s="1"/>
  <c r="AN954" i="4" s="1"/>
  <c r="AM953" i="4"/>
  <c r="AK953" i="4"/>
  <c r="R952" i="4"/>
  <c r="R979" i="4" s="1"/>
  <c r="AM951" i="4"/>
  <c r="AK951" i="4"/>
  <c r="AK950" i="4"/>
  <c r="AL950" i="4" s="1"/>
  <c r="AN950" i="4" s="1"/>
  <c r="AM949" i="4"/>
  <c r="AK949" i="4"/>
  <c r="AK948" i="4"/>
  <c r="AL948" i="4" s="1"/>
  <c r="AN948" i="4" s="1"/>
  <c r="R948" i="4"/>
  <c r="AK947" i="4"/>
  <c r="AM947" i="4" s="1"/>
  <c r="AG946" i="4"/>
  <c r="AG979" i="4" s="1"/>
  <c r="AD946" i="4"/>
  <c r="AD979" i="4" s="1"/>
  <c r="AC946" i="4"/>
  <c r="AB946" i="4"/>
  <c r="AA946" i="4"/>
  <c r="Y946" i="4"/>
  <c r="X946" i="4"/>
  <c r="X979" i="4" s="1"/>
  <c r="W946" i="4"/>
  <c r="U946" i="4"/>
  <c r="T946" i="4"/>
  <c r="S946" i="4"/>
  <c r="Q946" i="4"/>
  <c r="P946" i="4"/>
  <c r="P979" i="4" s="1"/>
  <c r="O946" i="4"/>
  <c r="M946" i="4"/>
  <c r="J946" i="4"/>
  <c r="H946" i="4"/>
  <c r="F946" i="4"/>
  <c r="AM945" i="4"/>
  <c r="AK945" i="4"/>
  <c r="AC944" i="4"/>
  <c r="AC979" i="4" s="1"/>
  <c r="AB944" i="4"/>
  <c r="AB979" i="4" s="1"/>
  <c r="Y944" i="4"/>
  <c r="Y979" i="4" s="1"/>
  <c r="W944" i="4"/>
  <c r="W979" i="4" s="1"/>
  <c r="U944" i="4"/>
  <c r="U979" i="4" s="1"/>
  <c r="T944" i="4"/>
  <c r="T979" i="4" s="1"/>
  <c r="S944" i="4"/>
  <c r="S979" i="4" s="1"/>
  <c r="M944" i="4"/>
  <c r="M979" i="4" s="1"/>
  <c r="J944" i="4"/>
  <c r="H944" i="4"/>
  <c r="F944" i="4"/>
  <c r="F979" i="4" s="1"/>
  <c r="AM943" i="4"/>
  <c r="AK943" i="4"/>
  <c r="AK942" i="4"/>
  <c r="AL942" i="4" s="1"/>
  <c r="AN942" i="4" s="1"/>
  <c r="AK941" i="4"/>
  <c r="AM941" i="4" s="1"/>
  <c r="AN941" i="4" s="1"/>
  <c r="AK940" i="4"/>
  <c r="AL940" i="4" s="1"/>
  <c r="AN940" i="4" s="1"/>
  <c r="AM939" i="4"/>
  <c r="AK939" i="4"/>
  <c r="AL938" i="4"/>
  <c r="AN938" i="4" s="1"/>
  <c r="AK938" i="4"/>
  <c r="AM937" i="4"/>
  <c r="AK937" i="4"/>
  <c r="AK936" i="4"/>
  <c r="AL936" i="4" s="1"/>
  <c r="AN936" i="4" s="1"/>
  <c r="AK935" i="4"/>
  <c r="AL935" i="4" s="1"/>
  <c r="AN935" i="4" s="1"/>
  <c r="AK934" i="4"/>
  <c r="AL934" i="4" s="1"/>
  <c r="AN934" i="4" s="1"/>
  <c r="AM933" i="4"/>
  <c r="AK933" i="4"/>
  <c r="AL932" i="4"/>
  <c r="AN932" i="4" s="1"/>
  <c r="AK932" i="4"/>
  <c r="AA932" i="4"/>
  <c r="AA979" i="4" s="1"/>
  <c r="AK931" i="4"/>
  <c r="AM931" i="4" s="1"/>
  <c r="AL930" i="4"/>
  <c r="AN930" i="4" s="1"/>
  <c r="AK929" i="4"/>
  <c r="AL929" i="4" s="1"/>
  <c r="AK928" i="4"/>
  <c r="AK926" i="4"/>
  <c r="AM926" i="4" s="1"/>
  <c r="AK925" i="4"/>
  <c r="AL925" i="4" s="1"/>
  <c r="AM924" i="4"/>
  <c r="AK924" i="4"/>
  <c r="AK923" i="4"/>
  <c r="AL923" i="4" s="1"/>
  <c r="AM922" i="4"/>
  <c r="AK922" i="4"/>
  <c r="AL921" i="4"/>
  <c r="AN921" i="4" s="1"/>
  <c r="AK921" i="4"/>
  <c r="AM920" i="4"/>
  <c r="AK920" i="4"/>
  <c r="AM919" i="4"/>
  <c r="AK919" i="4"/>
  <c r="AK918" i="4"/>
  <c r="AL918" i="4" s="1"/>
  <c r="AN918" i="4" s="1"/>
  <c r="AK917" i="4"/>
  <c r="AJ911" i="4"/>
  <c r="AH911" i="4"/>
  <c r="AF911" i="4"/>
  <c r="AE911" i="4"/>
  <c r="AD911" i="4"/>
  <c r="X911" i="4"/>
  <c r="W911" i="4"/>
  <c r="U911" i="4"/>
  <c r="T911" i="4"/>
  <c r="S911" i="4"/>
  <c r="P911" i="4"/>
  <c r="O911" i="4"/>
  <c r="K911" i="4"/>
  <c r="H911" i="4"/>
  <c r="AM910" i="4"/>
  <c r="AN909" i="4" s="1"/>
  <c r="AK910" i="4"/>
  <c r="AL909" i="4"/>
  <c r="AK909" i="4"/>
  <c r="AK908" i="4"/>
  <c r="AM908" i="4" s="1"/>
  <c r="AN907" i="4" s="1"/>
  <c r="AL907" i="4"/>
  <c r="AK907" i="4"/>
  <c r="AM906" i="4"/>
  <c r="AK906" i="4"/>
  <c r="AL905" i="4"/>
  <c r="AK905" i="4"/>
  <c r="AK904" i="4"/>
  <c r="AM904" i="4" s="1"/>
  <c r="AL903" i="4"/>
  <c r="AN903" i="4" s="1"/>
  <c r="AK903" i="4"/>
  <c r="AK902" i="4"/>
  <c r="AM902" i="4" s="1"/>
  <c r="AN901" i="4" s="1"/>
  <c r="AL901" i="4"/>
  <c r="AK901" i="4"/>
  <c r="AK900" i="4"/>
  <c r="AM900" i="4" s="1"/>
  <c r="Y899" i="4"/>
  <c r="N899" i="4"/>
  <c r="M899" i="4"/>
  <c r="AK899" i="4" s="1"/>
  <c r="AL899" i="4" s="1"/>
  <c r="AN899" i="4" s="1"/>
  <c r="AK898" i="4"/>
  <c r="AM898" i="4" s="1"/>
  <c r="AK897" i="4"/>
  <c r="AL897" i="4" s="1"/>
  <c r="AM896" i="4"/>
  <c r="AK896" i="4"/>
  <c r="AK895" i="4"/>
  <c r="AL895" i="4" s="1"/>
  <c r="AN895" i="4" s="1"/>
  <c r="AK894" i="4"/>
  <c r="AM894" i="4" s="1"/>
  <c r="AN893" i="4"/>
  <c r="AL893" i="4"/>
  <c r="AK893" i="4"/>
  <c r="AK892" i="4"/>
  <c r="AL892" i="4" s="1"/>
  <c r="AN892" i="4" s="1"/>
  <c r="AM891" i="4"/>
  <c r="AK891" i="4"/>
  <c r="AK890" i="4"/>
  <c r="AL890" i="4" s="1"/>
  <c r="AN890" i="4" s="1"/>
  <c r="AM889" i="4"/>
  <c r="AK889" i="4"/>
  <c r="AK888" i="4"/>
  <c r="AL888" i="4" s="1"/>
  <c r="AN888" i="4" s="1"/>
  <c r="AK887" i="4"/>
  <c r="AM887" i="4" s="1"/>
  <c r="AL886" i="4"/>
  <c r="AK886" i="4"/>
  <c r="AM885" i="4"/>
  <c r="AK885" i="4"/>
  <c r="AL884" i="4"/>
  <c r="AN884" i="4" s="1"/>
  <c r="AK884" i="4"/>
  <c r="AI884" i="4"/>
  <c r="AM883" i="4"/>
  <c r="AK883" i="4"/>
  <c r="AN882" i="4"/>
  <c r="Z882" i="4"/>
  <c r="N882" i="4"/>
  <c r="AK882" i="4" s="1"/>
  <c r="AL882" i="4" s="1"/>
  <c r="AK881" i="4"/>
  <c r="AM881" i="4" s="1"/>
  <c r="AN880" i="4"/>
  <c r="AL880" i="4"/>
  <c r="AK880" i="4"/>
  <c r="AK879" i="4"/>
  <c r="AM879" i="4" s="1"/>
  <c r="AJ878" i="4"/>
  <c r="AI878" i="4"/>
  <c r="AI911" i="4" s="1"/>
  <c r="AG878" i="4"/>
  <c r="AG911" i="4" s="1"/>
  <c r="AE878" i="4"/>
  <c r="AC878" i="4"/>
  <c r="AB878" i="4"/>
  <c r="AB911" i="4" s="1"/>
  <c r="AA878" i="4"/>
  <c r="Z878" i="4"/>
  <c r="W878" i="4"/>
  <c r="T878" i="4"/>
  <c r="S878" i="4"/>
  <c r="R878" i="4"/>
  <c r="R911" i="4" s="1"/>
  <c r="Q878" i="4"/>
  <c r="N878" i="4"/>
  <c r="N911" i="4" s="1"/>
  <c r="M878" i="4"/>
  <c r="L878" i="4"/>
  <c r="K878" i="4"/>
  <c r="J878" i="4"/>
  <c r="J911" i="4" s="1"/>
  <c r="I878" i="4"/>
  <c r="G878" i="4"/>
  <c r="F878" i="4"/>
  <c r="AM877" i="4"/>
  <c r="AK877" i="4"/>
  <c r="AJ876" i="4"/>
  <c r="AC876" i="4"/>
  <c r="AA876" i="4"/>
  <c r="AA911" i="4" s="1"/>
  <c r="Z876" i="4"/>
  <c r="Z911" i="4" s="1"/>
  <c r="V876" i="4"/>
  <c r="V911" i="4" s="1"/>
  <c r="T876" i="4"/>
  <c r="Q876" i="4"/>
  <c r="Q911" i="4" s="1"/>
  <c r="M876" i="4"/>
  <c r="L876" i="4"/>
  <c r="L911" i="4" s="1"/>
  <c r="K876" i="4"/>
  <c r="I876" i="4"/>
  <c r="I911" i="4" s="1"/>
  <c r="G876" i="4"/>
  <c r="G911" i="4" s="1"/>
  <c r="AK875" i="4"/>
  <c r="AM875" i="4" s="1"/>
  <c r="AL874" i="4"/>
  <c r="AN874" i="4" s="1"/>
  <c r="AK874" i="4"/>
  <c r="AM873" i="4"/>
  <c r="AN873" i="4" s="1"/>
  <c r="AK873" i="4"/>
  <c r="AN872" i="4"/>
  <c r="AL872" i="4"/>
  <c r="AK872" i="4"/>
  <c r="AM871" i="4"/>
  <c r="AK871" i="4"/>
  <c r="AL870" i="4"/>
  <c r="AN870" i="4" s="1"/>
  <c r="AK870" i="4"/>
  <c r="AK869" i="4"/>
  <c r="AM869" i="4" s="1"/>
  <c r="AN868" i="4"/>
  <c r="AL868" i="4"/>
  <c r="AK868" i="4"/>
  <c r="AK867" i="4"/>
  <c r="AL867" i="4" s="1"/>
  <c r="AN867" i="4" s="1"/>
  <c r="AN866" i="4"/>
  <c r="AL866" i="4"/>
  <c r="AK866" i="4"/>
  <c r="AM865" i="4"/>
  <c r="AK865" i="4"/>
  <c r="AK864" i="4"/>
  <c r="AL864" i="4" s="1"/>
  <c r="AN864" i="4" s="1"/>
  <c r="Y864" i="4"/>
  <c r="Y911" i="4" s="1"/>
  <c r="AM863" i="4"/>
  <c r="AK863" i="4"/>
  <c r="AL862" i="4"/>
  <c r="AK861" i="4"/>
  <c r="AN860" i="4"/>
  <c r="AM860" i="4"/>
  <c r="AK860" i="4"/>
  <c r="AK858" i="4"/>
  <c r="AM858" i="4" s="1"/>
  <c r="AL857" i="4"/>
  <c r="AK857" i="4"/>
  <c r="AM856" i="4"/>
  <c r="AK856" i="4"/>
  <c r="AL855" i="4"/>
  <c r="AN855" i="4" s="1"/>
  <c r="AK855" i="4"/>
  <c r="AM854" i="4"/>
  <c r="AK854" i="4"/>
  <c r="AL853" i="4"/>
  <c r="AK853" i="4"/>
  <c r="AK852" i="4"/>
  <c r="AM852" i="4" s="1"/>
  <c r="AK851" i="4"/>
  <c r="AM851" i="4" s="1"/>
  <c r="AN850" i="4"/>
  <c r="AL850" i="4"/>
  <c r="AK850" i="4"/>
  <c r="J849" i="4"/>
  <c r="AK849" i="4" s="1"/>
  <c r="AJ844" i="4"/>
  <c r="AH844" i="4"/>
  <c r="AF844" i="4"/>
  <c r="AD844" i="4"/>
  <c r="AB844" i="4"/>
  <c r="AA844" i="4"/>
  <c r="U844" i="4"/>
  <c r="S844" i="4"/>
  <c r="P844" i="4"/>
  <c r="N844" i="4"/>
  <c r="M844" i="4"/>
  <c r="I844" i="4"/>
  <c r="H844" i="4"/>
  <c r="AM843" i="4"/>
  <c r="AN842" i="4" s="1"/>
  <c r="AK843" i="4"/>
  <c r="AL842" i="4"/>
  <c r="AK842" i="4"/>
  <c r="AK841" i="4"/>
  <c r="AM841" i="4" s="1"/>
  <c r="AN840" i="4"/>
  <c r="AL840" i="4"/>
  <c r="AK840" i="4"/>
  <c r="AM839" i="4"/>
  <c r="AN838" i="4" s="1"/>
  <c r="AK839" i="4"/>
  <c r="AL838" i="4"/>
  <c r="AK838" i="4"/>
  <c r="AK837" i="4"/>
  <c r="AM837" i="4" s="1"/>
  <c r="AL836" i="4"/>
  <c r="AN836" i="4" s="1"/>
  <c r="AK836" i="4"/>
  <c r="AK835" i="4"/>
  <c r="AM835" i="4" s="1"/>
  <c r="AN834" i="4"/>
  <c r="AL834" i="4"/>
  <c r="AK834" i="4"/>
  <c r="AK833" i="4"/>
  <c r="AM833" i="4" s="1"/>
  <c r="AL832" i="4"/>
  <c r="AK832" i="4"/>
  <c r="AM831" i="4"/>
  <c r="AK831" i="4"/>
  <c r="AK830" i="4"/>
  <c r="AL830" i="4" s="1"/>
  <c r="AN830" i="4" s="1"/>
  <c r="AM829" i="4"/>
  <c r="AK829" i="4"/>
  <c r="AK828" i="4"/>
  <c r="AL828" i="4" s="1"/>
  <c r="AN828" i="4" s="1"/>
  <c r="AM827" i="4"/>
  <c r="AK827" i="4"/>
  <c r="AK826" i="4"/>
  <c r="AL826" i="4" s="1"/>
  <c r="AN826" i="4" s="1"/>
  <c r="AL825" i="4"/>
  <c r="AN825" i="4" s="1"/>
  <c r="AK825" i="4"/>
  <c r="AM824" i="4"/>
  <c r="AK824" i="4"/>
  <c r="AE823" i="4"/>
  <c r="AK823" i="4" s="1"/>
  <c r="AL823" i="4" s="1"/>
  <c r="AN823" i="4" s="1"/>
  <c r="AK822" i="4"/>
  <c r="AM822" i="4" s="1"/>
  <c r="AK821" i="4"/>
  <c r="AL821" i="4" s="1"/>
  <c r="AK820" i="4"/>
  <c r="AM820" i="4" s="1"/>
  <c r="X819" i="4"/>
  <c r="AK819" i="4" s="1"/>
  <c r="AL819" i="4" s="1"/>
  <c r="AK818" i="4"/>
  <c r="AM818" i="4" s="1"/>
  <c r="Z817" i="4"/>
  <c r="AK817" i="4" s="1"/>
  <c r="AL817" i="4" s="1"/>
  <c r="AN817" i="4" s="1"/>
  <c r="AM816" i="4"/>
  <c r="AK816" i="4"/>
  <c r="R815" i="4"/>
  <c r="AK815" i="4" s="1"/>
  <c r="AL815" i="4" s="1"/>
  <c r="AN815" i="4" s="1"/>
  <c r="AK814" i="4"/>
  <c r="AM814" i="4" s="1"/>
  <c r="AC813" i="4"/>
  <c r="AC844" i="4" s="1"/>
  <c r="Z813" i="4"/>
  <c r="AK812" i="4"/>
  <c r="AM812" i="4" s="1"/>
  <c r="AI811" i="4"/>
  <c r="AH811" i="4"/>
  <c r="AG811" i="4"/>
  <c r="AE811" i="4"/>
  <c r="AA811" i="4"/>
  <c r="Y811" i="4"/>
  <c r="X811" i="4"/>
  <c r="W811" i="4"/>
  <c r="V811" i="4"/>
  <c r="T811" i="4"/>
  <c r="T844" i="4" s="1"/>
  <c r="R811" i="4"/>
  <c r="Q811" i="4"/>
  <c r="P811" i="4"/>
  <c r="O811" i="4"/>
  <c r="L811" i="4"/>
  <c r="L844" i="4" s="1"/>
  <c r="K811" i="4"/>
  <c r="K844" i="4" s="1"/>
  <c r="J811" i="4"/>
  <c r="G811" i="4"/>
  <c r="F811" i="4"/>
  <c r="F844" i="4" s="1"/>
  <c r="AM810" i="4"/>
  <c r="AK810" i="4"/>
  <c r="AI809" i="4"/>
  <c r="AI844" i="4" s="1"/>
  <c r="AG809" i="4"/>
  <c r="AG844" i="4" s="1"/>
  <c r="Y809" i="4"/>
  <c r="Y844" i="4" s="1"/>
  <c r="W809" i="4"/>
  <c r="V809" i="4"/>
  <c r="V844" i="4" s="1"/>
  <c r="R809" i="4"/>
  <c r="R844" i="4" s="1"/>
  <c r="Q809" i="4"/>
  <c r="AK809" i="4" s="1"/>
  <c r="AL809" i="4" s="1"/>
  <c r="AN809" i="4" s="1"/>
  <c r="P809" i="4"/>
  <c r="O809" i="4"/>
  <c r="AM808" i="4"/>
  <c r="AK808" i="4"/>
  <c r="AK807" i="4"/>
  <c r="AL807" i="4" s="1"/>
  <c r="AN807" i="4" s="1"/>
  <c r="AM806" i="4"/>
  <c r="AN806" i="4" s="1"/>
  <c r="AK806" i="4"/>
  <c r="AN805" i="4"/>
  <c r="AL805" i="4"/>
  <c r="AK805" i="4"/>
  <c r="AK804" i="4"/>
  <c r="AM804" i="4" s="1"/>
  <c r="AN803" i="4"/>
  <c r="AL803" i="4"/>
  <c r="AK803" i="4"/>
  <c r="AM802" i="4"/>
  <c r="AK802" i="4"/>
  <c r="AK801" i="4"/>
  <c r="AL801" i="4" s="1"/>
  <c r="AN801" i="4" s="1"/>
  <c r="AL800" i="4"/>
  <c r="AN800" i="4" s="1"/>
  <c r="AK800" i="4"/>
  <c r="AN799" i="4"/>
  <c r="AL799" i="4"/>
  <c r="AK799" i="4"/>
  <c r="AK798" i="4"/>
  <c r="AM798" i="4" s="1"/>
  <c r="O797" i="4"/>
  <c r="J797" i="4"/>
  <c r="J844" i="4" s="1"/>
  <c r="AM796" i="4"/>
  <c r="AN795" i="4" s="1"/>
  <c r="AK796" i="4"/>
  <c r="AL795" i="4"/>
  <c r="AK794" i="4"/>
  <c r="AL794" i="4" s="1"/>
  <c r="AK793" i="4"/>
  <c r="AM793" i="4" s="1"/>
  <c r="AL792" i="4"/>
  <c r="AK791" i="4"/>
  <c r="AM791" i="4" s="1"/>
  <c r="AL790" i="4"/>
  <c r="AN790" i="4" s="1"/>
  <c r="AK790" i="4"/>
  <c r="AM789" i="4"/>
  <c r="AK789" i="4"/>
  <c r="AK788" i="4"/>
  <c r="AL788" i="4" s="1"/>
  <c r="AN788" i="4" s="1"/>
  <c r="AM787" i="4"/>
  <c r="AK787" i="4"/>
  <c r="AL786" i="4"/>
  <c r="AN786" i="4" s="1"/>
  <c r="AK786" i="4"/>
  <c r="AK785" i="4"/>
  <c r="AK784" i="4"/>
  <c r="AM784" i="4" s="1"/>
  <c r="AL783" i="4"/>
  <c r="AN783" i="4" s="1"/>
  <c r="AK783" i="4"/>
  <c r="AK782" i="4"/>
  <c r="AL782" i="4" s="1"/>
  <c r="AN782" i="4" s="1"/>
  <c r="AI777" i="4"/>
  <c r="AG777" i="4"/>
  <c r="AF777" i="4"/>
  <c r="AC777" i="4"/>
  <c r="Z777" i="4"/>
  <c r="W777" i="4"/>
  <c r="V777" i="4"/>
  <c r="S777" i="4"/>
  <c r="N777" i="4"/>
  <c r="M777" i="4"/>
  <c r="K777" i="4"/>
  <c r="I777" i="4"/>
  <c r="F777" i="4"/>
  <c r="AM776" i="4"/>
  <c r="AK776" i="4"/>
  <c r="AK775" i="4"/>
  <c r="AL775" i="4" s="1"/>
  <c r="AN775" i="4" s="1"/>
  <c r="AK774" i="4"/>
  <c r="AM774" i="4" s="1"/>
  <c r="AL773" i="4"/>
  <c r="AN773" i="4" s="1"/>
  <c r="AK773" i="4"/>
  <c r="AM772" i="4"/>
  <c r="AK772" i="4"/>
  <c r="AK771" i="4"/>
  <c r="AL771" i="4" s="1"/>
  <c r="AN771" i="4" s="1"/>
  <c r="AM770" i="4"/>
  <c r="AK770" i="4"/>
  <c r="AJ769" i="4"/>
  <c r="AK769" i="4" s="1"/>
  <c r="AL769" i="4" s="1"/>
  <c r="AN769" i="4" s="1"/>
  <c r="AK768" i="4"/>
  <c r="AM768" i="4" s="1"/>
  <c r="AL767" i="4"/>
  <c r="AN767" i="4" s="1"/>
  <c r="AK767" i="4"/>
  <c r="AM766" i="4"/>
  <c r="AK766" i="4"/>
  <c r="AK765" i="4"/>
  <c r="AL765" i="4" s="1"/>
  <c r="AN765" i="4" s="1"/>
  <c r="AM764" i="4"/>
  <c r="AK764" i="4"/>
  <c r="AL763" i="4"/>
  <c r="AN763" i="4" s="1"/>
  <c r="AK763" i="4"/>
  <c r="AM762" i="4"/>
  <c r="AK762" i="4"/>
  <c r="AK761" i="4"/>
  <c r="AL761" i="4" s="1"/>
  <c r="AN761" i="4" s="1"/>
  <c r="AK760" i="4"/>
  <c r="AM760" i="4" s="1"/>
  <c r="AK759" i="4"/>
  <c r="AL759" i="4" s="1"/>
  <c r="AN759" i="4" s="1"/>
  <c r="AN758" i="4"/>
  <c r="AL758" i="4"/>
  <c r="AK758" i="4"/>
  <c r="AK757" i="4"/>
  <c r="AM757" i="4" s="1"/>
  <c r="AL756" i="4"/>
  <c r="AK756" i="4"/>
  <c r="AK755" i="4"/>
  <c r="AM755" i="4" s="1"/>
  <c r="AK754" i="4"/>
  <c r="AL754" i="4" s="1"/>
  <c r="AM753" i="4"/>
  <c r="AK753" i="4"/>
  <c r="AL752" i="4"/>
  <c r="AN752" i="4" s="1"/>
  <c r="AK752" i="4"/>
  <c r="O752" i="4"/>
  <c r="H752" i="4"/>
  <c r="AM751" i="4"/>
  <c r="AK751" i="4"/>
  <c r="Q750" i="4"/>
  <c r="O750" i="4"/>
  <c r="O777" i="4" s="1"/>
  <c r="M750" i="4"/>
  <c r="J750" i="4"/>
  <c r="AK750" i="4" s="1"/>
  <c r="AL750" i="4" s="1"/>
  <c r="AN750" i="4" s="1"/>
  <c r="AM749" i="4"/>
  <c r="AK749" i="4"/>
  <c r="AL748" i="4"/>
  <c r="AN748" i="4" s="1"/>
  <c r="AK748" i="4"/>
  <c r="AA748" i="4"/>
  <c r="AA777" i="4" s="1"/>
  <c r="R748" i="4"/>
  <c r="AM747" i="4"/>
  <c r="AK747" i="4"/>
  <c r="T746" i="4"/>
  <c r="L746" i="4"/>
  <c r="K746" i="4"/>
  <c r="J746" i="4"/>
  <c r="AK746" i="4" s="1"/>
  <c r="AL746" i="4" s="1"/>
  <c r="AN746" i="4" s="1"/>
  <c r="AM745" i="4"/>
  <c r="AK745" i="4"/>
  <c r="AH744" i="4"/>
  <c r="AG744" i="4"/>
  <c r="AE744" i="4"/>
  <c r="AD744" i="4"/>
  <c r="AB744" i="4"/>
  <c r="AA744" i="4"/>
  <c r="Z744" i="4"/>
  <c r="Y744" i="4"/>
  <c r="X744" i="4"/>
  <c r="W744" i="4"/>
  <c r="U744" i="4"/>
  <c r="U777" i="4" s="1"/>
  <c r="R744" i="4"/>
  <c r="R777" i="4" s="1"/>
  <c r="L744" i="4"/>
  <c r="L777" i="4" s="1"/>
  <c r="K744" i="4"/>
  <c r="H744" i="4"/>
  <c r="H777" i="4" s="1"/>
  <c r="G744" i="4"/>
  <c r="G777" i="4" s="1"/>
  <c r="F744" i="4"/>
  <c r="AK743" i="4"/>
  <c r="AM743" i="4" s="1"/>
  <c r="AH742" i="4"/>
  <c r="AH777" i="4" s="1"/>
  <c r="AG742" i="4"/>
  <c r="AE742" i="4"/>
  <c r="AE777" i="4" s="1"/>
  <c r="AD742" i="4"/>
  <c r="AD777" i="4" s="1"/>
  <c r="AB742" i="4"/>
  <c r="AB777" i="4" s="1"/>
  <c r="Y742" i="4"/>
  <c r="Y777" i="4" s="1"/>
  <c r="X742" i="4"/>
  <c r="X777" i="4" s="1"/>
  <c r="W742" i="4"/>
  <c r="T742" i="4"/>
  <c r="T777" i="4" s="1"/>
  <c r="P742" i="4"/>
  <c r="P777" i="4" s="1"/>
  <c r="J742" i="4"/>
  <c r="J777" i="4" s="1"/>
  <c r="G742" i="4"/>
  <c r="AM741" i="4"/>
  <c r="AK741" i="4"/>
  <c r="AK740" i="4"/>
  <c r="AL740" i="4" s="1"/>
  <c r="AM739" i="4"/>
  <c r="AN739" i="4" s="1"/>
  <c r="AK739" i="4"/>
  <c r="AN738" i="4"/>
  <c r="AL738" i="4"/>
  <c r="AK738" i="4"/>
  <c r="AK737" i="4"/>
  <c r="AM737" i="4" s="1"/>
  <c r="Q737" i="4"/>
  <c r="Q777" i="4" s="1"/>
  <c r="AK736" i="4"/>
  <c r="AL736" i="4" s="1"/>
  <c r="AN736" i="4" s="1"/>
  <c r="AK735" i="4"/>
  <c r="AM735" i="4" s="1"/>
  <c r="AL734" i="4"/>
  <c r="AN734" i="4" s="1"/>
  <c r="AK734" i="4"/>
  <c r="AK733" i="4"/>
  <c r="AL733" i="4" s="1"/>
  <c r="AN733" i="4" s="1"/>
  <c r="AK732" i="4"/>
  <c r="AL732" i="4" s="1"/>
  <c r="AN732" i="4" s="1"/>
  <c r="AK731" i="4"/>
  <c r="AM731" i="4" s="1"/>
  <c r="AK730" i="4"/>
  <c r="AL730" i="4" s="1"/>
  <c r="M730" i="4"/>
  <c r="F730" i="4"/>
  <c r="AK729" i="4"/>
  <c r="AM729" i="4" s="1"/>
  <c r="AL728" i="4"/>
  <c r="AN728" i="4" s="1"/>
  <c r="AL727" i="4"/>
  <c r="AN727" i="4" s="1"/>
  <c r="AK727" i="4"/>
  <c r="AK726" i="4"/>
  <c r="AM724" i="4"/>
  <c r="AK724" i="4"/>
  <c r="AK723" i="4"/>
  <c r="AL723" i="4" s="1"/>
  <c r="AN723" i="4" s="1"/>
  <c r="AK722" i="4"/>
  <c r="AM722" i="4" s="1"/>
  <c r="AL721" i="4"/>
  <c r="AK721" i="4"/>
  <c r="AK720" i="4"/>
  <c r="AM720" i="4" s="1"/>
  <c r="AN719" i="4" s="1"/>
  <c r="AL719" i="4"/>
  <c r="AK719" i="4"/>
  <c r="AM718" i="4"/>
  <c r="AN718" i="4" s="1"/>
  <c r="AK718" i="4"/>
  <c r="AM717" i="4"/>
  <c r="AK717" i="4"/>
  <c r="AK716" i="4"/>
  <c r="AL716" i="4" s="1"/>
  <c r="AL715" i="4"/>
  <c r="AN715" i="4" s="1"/>
  <c r="AK715" i="4"/>
  <c r="AK725" i="4" s="1"/>
  <c r="AJ710" i="4"/>
  <c r="AH710" i="4"/>
  <c r="AD710" i="4"/>
  <c r="AB710" i="4"/>
  <c r="X710" i="4"/>
  <c r="W710" i="4"/>
  <c r="U710" i="4"/>
  <c r="R710" i="4"/>
  <c r="Q710" i="4"/>
  <c r="P710" i="4"/>
  <c r="N710" i="4"/>
  <c r="L710" i="4"/>
  <c r="I710" i="4"/>
  <c r="G710" i="4"/>
  <c r="AK709" i="4"/>
  <c r="AM709" i="4" s="1"/>
  <c r="AL708" i="4"/>
  <c r="AK708" i="4"/>
  <c r="AM707" i="4"/>
  <c r="AK707" i="4"/>
  <c r="AK706" i="4"/>
  <c r="AL706" i="4" s="1"/>
  <c r="AN706" i="4" s="1"/>
  <c r="AM705" i="4"/>
  <c r="AK705" i="4"/>
  <c r="AK704" i="4"/>
  <c r="AL704" i="4" s="1"/>
  <c r="AN704" i="4" s="1"/>
  <c r="AM703" i="4"/>
  <c r="AK703" i="4"/>
  <c r="AN702" i="4"/>
  <c r="AK702" i="4"/>
  <c r="AL702" i="4" s="1"/>
  <c r="X702" i="4"/>
  <c r="S702" i="4"/>
  <c r="AK701" i="4"/>
  <c r="AM701" i="4" s="1"/>
  <c r="AL700" i="4"/>
  <c r="AK700" i="4"/>
  <c r="AK699" i="4"/>
  <c r="AM699" i="4" s="1"/>
  <c r="AN698" i="4" s="1"/>
  <c r="AL698" i="4"/>
  <c r="AK698" i="4"/>
  <c r="AK697" i="4"/>
  <c r="AM697" i="4" s="1"/>
  <c r="AL696" i="4"/>
  <c r="AN696" i="4" s="1"/>
  <c r="AK696" i="4"/>
  <c r="AM695" i="4"/>
  <c r="AK695" i="4"/>
  <c r="AK694" i="4"/>
  <c r="AL694" i="4" s="1"/>
  <c r="AN694" i="4" s="1"/>
  <c r="AM693" i="4"/>
  <c r="AK693" i="4"/>
  <c r="AK692" i="4"/>
  <c r="AL692" i="4" s="1"/>
  <c r="AN692" i="4" s="1"/>
  <c r="AK691" i="4"/>
  <c r="AL691" i="4" s="1"/>
  <c r="AN691" i="4" s="1"/>
  <c r="AI691" i="4"/>
  <c r="AI710" i="4" s="1"/>
  <c r="AM690" i="4"/>
  <c r="AK690" i="4"/>
  <c r="AK689" i="4"/>
  <c r="AL689" i="4" s="1"/>
  <c r="AN689" i="4" s="1"/>
  <c r="AK688" i="4"/>
  <c r="AM688" i="4" s="1"/>
  <c r="AK687" i="4"/>
  <c r="AL687" i="4" s="1"/>
  <c r="AN687" i="4" s="1"/>
  <c r="AK686" i="4"/>
  <c r="AM686" i="4" s="1"/>
  <c r="AM710" i="4" s="1"/>
  <c r="AK685" i="4"/>
  <c r="AL685" i="4" s="1"/>
  <c r="Z685" i="4"/>
  <c r="J685" i="4"/>
  <c r="AK684" i="4"/>
  <c r="AM684" i="4" s="1"/>
  <c r="S683" i="4"/>
  <c r="S710" i="4" s="1"/>
  <c r="G683" i="4"/>
  <c r="AK683" i="4" s="1"/>
  <c r="AL683" i="4" s="1"/>
  <c r="AN683" i="4" s="1"/>
  <c r="AK682" i="4"/>
  <c r="AM682" i="4" s="1"/>
  <c r="AL681" i="4"/>
  <c r="AN681" i="4" s="1"/>
  <c r="Z681" i="4"/>
  <c r="Y681" i="4"/>
  <c r="AK681" i="4" s="1"/>
  <c r="X681" i="4"/>
  <c r="AM680" i="4"/>
  <c r="AK680" i="4"/>
  <c r="AK679" i="4"/>
  <c r="AL679" i="4" s="1"/>
  <c r="AN679" i="4" s="1"/>
  <c r="AD679" i="4"/>
  <c r="Y679" i="4"/>
  <c r="G679" i="4"/>
  <c r="AK678" i="4"/>
  <c r="AM678" i="4" s="1"/>
  <c r="AH677" i="4"/>
  <c r="AG677" i="4"/>
  <c r="AG710" i="4" s="1"/>
  <c r="AF677" i="4"/>
  <c r="AE677" i="4"/>
  <c r="AD677" i="4"/>
  <c r="AC677" i="4"/>
  <c r="AA677" i="4"/>
  <c r="Y677" i="4"/>
  <c r="X677" i="4"/>
  <c r="V677" i="4"/>
  <c r="V710" i="4" s="1"/>
  <c r="T677" i="4"/>
  <c r="O677" i="4"/>
  <c r="N677" i="4"/>
  <c r="M677" i="4"/>
  <c r="M710" i="4" s="1"/>
  <c r="K677" i="4"/>
  <c r="K710" i="4" s="1"/>
  <c r="J677" i="4"/>
  <c r="J710" i="4" s="1"/>
  <c r="I677" i="4"/>
  <c r="H677" i="4"/>
  <c r="G677" i="4"/>
  <c r="F677" i="4"/>
  <c r="AM676" i="4"/>
  <c r="AK676" i="4"/>
  <c r="AF675" i="4"/>
  <c r="AF710" i="4" s="1"/>
  <c r="AE675" i="4"/>
  <c r="AE710" i="4" s="1"/>
  <c r="AD675" i="4"/>
  <c r="AC675" i="4"/>
  <c r="AC710" i="4" s="1"/>
  <c r="AA675" i="4"/>
  <c r="AA710" i="4" s="1"/>
  <c r="Z675" i="4"/>
  <c r="Z710" i="4" s="1"/>
  <c r="Y675" i="4"/>
  <c r="Y710" i="4" s="1"/>
  <c r="V675" i="4"/>
  <c r="T675" i="4"/>
  <c r="T710" i="4" s="1"/>
  <c r="O675" i="4"/>
  <c r="O710" i="4" s="1"/>
  <c r="N675" i="4"/>
  <c r="M675" i="4"/>
  <c r="K675" i="4"/>
  <c r="I675" i="4"/>
  <c r="F675" i="4"/>
  <c r="AK674" i="4"/>
  <c r="AM674" i="4" s="1"/>
  <c r="AK673" i="4"/>
  <c r="AL673" i="4" s="1"/>
  <c r="AN673" i="4" s="1"/>
  <c r="AM672" i="4"/>
  <c r="AN672" i="4" s="1"/>
  <c r="AK672" i="4"/>
  <c r="AL671" i="4"/>
  <c r="AN671" i="4" s="1"/>
  <c r="AK671" i="4"/>
  <c r="AM670" i="4"/>
  <c r="AK670" i="4"/>
  <c r="AK669" i="4"/>
  <c r="AL669" i="4" s="1"/>
  <c r="AN669" i="4" s="1"/>
  <c r="AB669" i="4"/>
  <c r="AM668" i="4"/>
  <c r="AK668" i="4"/>
  <c r="AK667" i="4"/>
  <c r="AL667" i="4" s="1"/>
  <c r="AN667" i="4" s="1"/>
  <c r="AN666" i="4"/>
  <c r="AL666" i="4"/>
  <c r="AK666" i="4"/>
  <c r="AK665" i="4"/>
  <c r="AL665" i="4" s="1"/>
  <c r="AN665" i="4" s="1"/>
  <c r="AK664" i="4"/>
  <c r="AM664" i="4" s="1"/>
  <c r="AL663" i="4"/>
  <c r="AK663" i="4"/>
  <c r="AM662" i="4"/>
  <c r="AK662" i="4"/>
  <c r="AL661" i="4"/>
  <c r="AN661" i="4" s="1"/>
  <c r="AL660" i="4"/>
  <c r="AK660" i="4"/>
  <c r="AM659" i="4"/>
  <c r="AN659" i="4" s="1"/>
  <c r="AK659" i="4"/>
  <c r="AK657" i="4"/>
  <c r="AM657" i="4" s="1"/>
  <c r="AL656" i="4"/>
  <c r="AK656" i="4"/>
  <c r="AK655" i="4"/>
  <c r="AM655" i="4" s="1"/>
  <c r="AL654" i="4"/>
  <c r="AN654" i="4" s="1"/>
  <c r="AK654" i="4"/>
  <c r="AK653" i="4"/>
  <c r="AM653" i="4" s="1"/>
  <c r="AL652" i="4"/>
  <c r="AN652" i="4" s="1"/>
  <c r="AK652" i="4"/>
  <c r="AM651" i="4"/>
  <c r="AK651" i="4"/>
  <c r="AN650" i="4"/>
  <c r="AK650" i="4"/>
  <c r="AL650" i="4" s="1"/>
  <c r="F650" i="4"/>
  <c r="AK649" i="4"/>
  <c r="AM649" i="4" s="1"/>
  <c r="AN649" i="4" s="1"/>
  <c r="AM648" i="4"/>
  <c r="AK648" i="4"/>
  <c r="AL647" i="4"/>
  <c r="AK647" i="4"/>
  <c r="AK646" i="4"/>
  <c r="AL646" i="4" s="1"/>
  <c r="AI641" i="4"/>
  <c r="AE641" i="4"/>
  <c r="AC641" i="4"/>
  <c r="Y641" i="4"/>
  <c r="X641" i="4"/>
  <c r="W641" i="4"/>
  <c r="V641" i="4"/>
  <c r="S641" i="4"/>
  <c r="R641" i="4"/>
  <c r="Q641" i="4"/>
  <c r="O641" i="4"/>
  <c r="N641" i="4"/>
  <c r="AK640" i="4"/>
  <c r="AM640" i="4" s="1"/>
  <c r="AN639" i="4"/>
  <c r="AL639" i="4"/>
  <c r="AK639" i="4"/>
  <c r="AK638" i="4"/>
  <c r="AM638" i="4" s="1"/>
  <c r="AL637" i="4"/>
  <c r="AK637" i="4"/>
  <c r="AK636" i="4"/>
  <c r="AM636" i="4" s="1"/>
  <c r="AN635" i="4"/>
  <c r="AK635" i="4"/>
  <c r="AL635" i="4" s="1"/>
  <c r="AM634" i="4"/>
  <c r="AK634" i="4"/>
  <c r="AK633" i="4"/>
  <c r="AL633" i="4" s="1"/>
  <c r="AN633" i="4" s="1"/>
  <c r="H633" i="4"/>
  <c r="AK632" i="4"/>
  <c r="AM632" i="4" s="1"/>
  <c r="AL631" i="4"/>
  <c r="AN631" i="4" s="1"/>
  <c r="AK631" i="4"/>
  <c r="AK630" i="4"/>
  <c r="AM630" i="4" s="1"/>
  <c r="AK629" i="4"/>
  <c r="AL629" i="4" s="1"/>
  <c r="AN629" i="4" s="1"/>
  <c r="AM628" i="4"/>
  <c r="AK628" i="4"/>
  <c r="AK627" i="4"/>
  <c r="AL627" i="4" s="1"/>
  <c r="AN627" i="4" s="1"/>
  <c r="AM626" i="4"/>
  <c r="AK626" i="4"/>
  <c r="AN625" i="4"/>
  <c r="AK625" i="4"/>
  <c r="AL625" i="4" s="1"/>
  <c r="AM624" i="4"/>
  <c r="AK624" i="4"/>
  <c r="AL623" i="4"/>
  <c r="AN623" i="4" s="1"/>
  <c r="AK623" i="4"/>
  <c r="G622" i="4"/>
  <c r="AK622" i="4" s="1"/>
  <c r="AL622" i="4" s="1"/>
  <c r="AN622" i="4" s="1"/>
  <c r="AM621" i="4"/>
  <c r="AK621" i="4"/>
  <c r="AK620" i="4"/>
  <c r="AL620" i="4" s="1"/>
  <c r="AN620" i="4" s="1"/>
  <c r="AK619" i="4"/>
  <c r="AM619" i="4" s="1"/>
  <c r="AK618" i="4"/>
  <c r="AL618" i="4" s="1"/>
  <c r="AN618" i="4" s="1"/>
  <c r="AM617" i="4"/>
  <c r="AK617" i="4"/>
  <c r="AE616" i="4"/>
  <c r="AK616" i="4" s="1"/>
  <c r="AL616" i="4" s="1"/>
  <c r="AK615" i="4"/>
  <c r="AM615" i="4" s="1"/>
  <c r="AK614" i="4"/>
  <c r="AL614" i="4" s="1"/>
  <c r="M614" i="4"/>
  <c r="J614" i="4"/>
  <c r="AM613" i="4"/>
  <c r="AK613" i="4"/>
  <c r="AB612" i="4"/>
  <c r="AA612" i="4"/>
  <c r="Z612" i="4"/>
  <c r="U612" i="4"/>
  <c r="U641" i="4" s="1"/>
  <c r="S612" i="4"/>
  <c r="R612" i="4"/>
  <c r="M612" i="4"/>
  <c r="M641" i="4" s="1"/>
  <c r="AK611" i="4"/>
  <c r="AM611" i="4" s="1"/>
  <c r="AL610" i="4"/>
  <c r="AN610" i="4" s="1"/>
  <c r="AK610" i="4"/>
  <c r="G610" i="4"/>
  <c r="AK609" i="4"/>
  <c r="AM609" i="4" s="1"/>
  <c r="AJ608" i="4"/>
  <c r="AJ641" i="4" s="1"/>
  <c r="AI608" i="4"/>
  <c r="AH608" i="4"/>
  <c r="AH641" i="4" s="1"/>
  <c r="AG608" i="4"/>
  <c r="AF608" i="4"/>
  <c r="AE608" i="4"/>
  <c r="AD608" i="4"/>
  <c r="AD641" i="4" s="1"/>
  <c r="AB608" i="4"/>
  <c r="Z608" i="4"/>
  <c r="Z641" i="4" s="1"/>
  <c r="W608" i="4"/>
  <c r="T608" i="4"/>
  <c r="R608" i="4"/>
  <c r="P608" i="4"/>
  <c r="M608" i="4"/>
  <c r="L608" i="4"/>
  <c r="K608" i="4"/>
  <c r="I608" i="4"/>
  <c r="H608" i="4"/>
  <c r="H641" i="4" s="1"/>
  <c r="G608" i="4"/>
  <c r="F608" i="4"/>
  <c r="AM607" i="4"/>
  <c r="AK607" i="4"/>
  <c r="AJ606" i="4"/>
  <c r="AI606" i="4"/>
  <c r="AH606" i="4"/>
  <c r="AG606" i="4"/>
  <c r="AG641" i="4" s="1"/>
  <c r="AF606" i="4"/>
  <c r="AF641" i="4" s="1"/>
  <c r="AB606" i="4"/>
  <c r="AB641" i="4" s="1"/>
  <c r="AA606" i="4"/>
  <c r="AA641" i="4" s="1"/>
  <c r="T606" i="4"/>
  <c r="T641" i="4" s="1"/>
  <c r="P606" i="4"/>
  <c r="L606" i="4"/>
  <c r="L641" i="4" s="1"/>
  <c r="K606" i="4"/>
  <c r="I606" i="4"/>
  <c r="I641" i="4" s="1"/>
  <c r="H606" i="4"/>
  <c r="G606" i="4"/>
  <c r="F606" i="4"/>
  <c r="AM605" i="4"/>
  <c r="AK605" i="4"/>
  <c r="AK604" i="4"/>
  <c r="AL604" i="4" s="1"/>
  <c r="AN604" i="4" s="1"/>
  <c r="AM603" i="4"/>
  <c r="AN603" i="4" s="1"/>
  <c r="AK603" i="4"/>
  <c r="AK602" i="4"/>
  <c r="AL602" i="4" s="1"/>
  <c r="AN602" i="4" s="1"/>
  <c r="AK601" i="4"/>
  <c r="AM601" i="4" s="1"/>
  <c r="AL600" i="4"/>
  <c r="AG600" i="4"/>
  <c r="AK600" i="4" s="1"/>
  <c r="AM599" i="4"/>
  <c r="AK599" i="4"/>
  <c r="AL598" i="4"/>
  <c r="AN598" i="4" s="1"/>
  <c r="AK598" i="4"/>
  <c r="AN597" i="4"/>
  <c r="AL597" i="4"/>
  <c r="AK597" i="4"/>
  <c r="AK596" i="4"/>
  <c r="AL596" i="4" s="1"/>
  <c r="AN596" i="4" s="1"/>
  <c r="AM595" i="4"/>
  <c r="AK595" i="4"/>
  <c r="AE594" i="4"/>
  <c r="M594" i="4"/>
  <c r="K594" i="4"/>
  <c r="K641" i="4" s="1"/>
  <c r="J594" i="4"/>
  <c r="AK593" i="4"/>
  <c r="AM593" i="4" s="1"/>
  <c r="AN592" i="4" s="1"/>
  <c r="AL592" i="4"/>
  <c r="AK591" i="4"/>
  <c r="AL591" i="4" s="1"/>
  <c r="AK590" i="4"/>
  <c r="AK588" i="4"/>
  <c r="AM588" i="4" s="1"/>
  <c r="AK587" i="4"/>
  <c r="AL587" i="4" s="1"/>
  <c r="AN587" i="4" s="1"/>
  <c r="AM586" i="4"/>
  <c r="AK586" i="4"/>
  <c r="AK585" i="4"/>
  <c r="AL585" i="4" s="1"/>
  <c r="AN585" i="4" s="1"/>
  <c r="AM584" i="4"/>
  <c r="AN583" i="4" s="1"/>
  <c r="AK584" i="4"/>
  <c r="AK583" i="4"/>
  <c r="AL583" i="4" s="1"/>
  <c r="AE582" i="4"/>
  <c r="AK582" i="4" s="1"/>
  <c r="AM582" i="4" s="1"/>
  <c r="AK581" i="4"/>
  <c r="AL581" i="4" s="1"/>
  <c r="AN581" i="4" s="1"/>
  <c r="Z581" i="4"/>
  <c r="T581" i="4"/>
  <c r="AM580" i="4"/>
  <c r="AN580" i="4" s="1"/>
  <c r="AK580" i="4"/>
  <c r="AM579" i="4"/>
  <c r="AK579" i="4"/>
  <c r="AN578" i="4"/>
  <c r="AK578" i="4"/>
  <c r="AL578" i="4" s="1"/>
  <c r="AK577" i="4"/>
  <c r="AK589" i="4" s="1"/>
  <c r="AJ571" i="4"/>
  <c r="AH571" i="4"/>
  <c r="AE571" i="4"/>
  <c r="AD571" i="4"/>
  <c r="AC571" i="4"/>
  <c r="AB571" i="4"/>
  <c r="Y571" i="4"/>
  <c r="X571" i="4"/>
  <c r="W571" i="4"/>
  <c r="W572" i="4" s="1"/>
  <c r="Q571" i="4"/>
  <c r="O571" i="4"/>
  <c r="N571" i="4"/>
  <c r="H571" i="4"/>
  <c r="AM570" i="4"/>
  <c r="AK570" i="4"/>
  <c r="AK569" i="4"/>
  <c r="AL569" i="4" s="1"/>
  <c r="AN569" i="4" s="1"/>
  <c r="AK568" i="4"/>
  <c r="AM568" i="4" s="1"/>
  <c r="AK567" i="4"/>
  <c r="AL567" i="4" s="1"/>
  <c r="AN567" i="4" s="1"/>
  <c r="AK566" i="4"/>
  <c r="AM566" i="4" s="1"/>
  <c r="AK565" i="4"/>
  <c r="AL565" i="4" s="1"/>
  <c r="AN565" i="4" s="1"/>
  <c r="AK564" i="4"/>
  <c r="AM564" i="4" s="1"/>
  <c r="U563" i="4"/>
  <c r="AK563" i="4" s="1"/>
  <c r="AL563" i="4" s="1"/>
  <c r="AN563" i="4" s="1"/>
  <c r="AK562" i="4"/>
  <c r="AM562" i="4" s="1"/>
  <c r="AK561" i="4"/>
  <c r="AL561" i="4" s="1"/>
  <c r="AK560" i="4"/>
  <c r="AM560" i="4" s="1"/>
  <c r="AK559" i="4"/>
  <c r="AL559" i="4" s="1"/>
  <c r="AN559" i="4" s="1"/>
  <c r="AK558" i="4"/>
  <c r="AM558" i="4" s="1"/>
  <c r="AL557" i="4"/>
  <c r="AK557" i="4"/>
  <c r="AK556" i="4"/>
  <c r="AM556" i="4" s="1"/>
  <c r="AK555" i="4"/>
  <c r="AL555" i="4" s="1"/>
  <c r="AN555" i="4" s="1"/>
  <c r="AM554" i="4"/>
  <c r="AK554" i="4"/>
  <c r="AK553" i="4"/>
  <c r="AL553" i="4" s="1"/>
  <c r="AN553" i="4" s="1"/>
  <c r="AN552" i="4"/>
  <c r="AK552" i="4"/>
  <c r="AL552" i="4" s="1"/>
  <c r="AK551" i="4"/>
  <c r="AM551" i="4" s="1"/>
  <c r="AK550" i="4"/>
  <c r="AL550" i="4" s="1"/>
  <c r="AM549" i="4"/>
  <c r="AK549" i="4"/>
  <c r="AL548" i="4"/>
  <c r="AN548" i="4" s="1"/>
  <c r="AK548" i="4"/>
  <c r="AK547" i="4"/>
  <c r="AM547" i="4" s="1"/>
  <c r="U546" i="4"/>
  <c r="U571" i="4" s="1"/>
  <c r="M546" i="4"/>
  <c r="L546" i="4"/>
  <c r="AK546" i="4" s="1"/>
  <c r="AL546" i="4" s="1"/>
  <c r="AN546" i="4" s="1"/>
  <c r="G546" i="4"/>
  <c r="AI545" i="4"/>
  <c r="AK545" i="4" s="1"/>
  <c r="AM545" i="4" s="1"/>
  <c r="AF544" i="4"/>
  <c r="AA544" i="4"/>
  <c r="AA571" i="4" s="1"/>
  <c r="Z544" i="4"/>
  <c r="Z571" i="4" s="1"/>
  <c r="I544" i="4"/>
  <c r="J543" i="4"/>
  <c r="AE542" i="4"/>
  <c r="U542" i="4"/>
  <c r="T542" i="4"/>
  <c r="T571" i="4" s="1"/>
  <c r="R542" i="4"/>
  <c r="R571" i="4" s="1"/>
  <c r="AK541" i="4"/>
  <c r="AM541" i="4" s="1"/>
  <c r="I540" i="4"/>
  <c r="I571" i="4" s="1"/>
  <c r="AM539" i="4"/>
  <c r="AK539" i="4"/>
  <c r="AG538" i="4"/>
  <c r="AG571" i="4" s="1"/>
  <c r="AF538" i="4"/>
  <c r="Z538" i="4"/>
  <c r="Y538" i="4"/>
  <c r="W538" i="4"/>
  <c r="V538" i="4"/>
  <c r="V571" i="4" s="1"/>
  <c r="S538" i="4"/>
  <c r="P538" i="4"/>
  <c r="P571" i="4" s="1"/>
  <c r="O538" i="4"/>
  <c r="M538" i="4"/>
  <c r="M571" i="4" s="1"/>
  <c r="L538" i="4"/>
  <c r="L571" i="4" s="1"/>
  <c r="K538" i="4"/>
  <c r="H538" i="4"/>
  <c r="G538" i="4"/>
  <c r="AK538" i="4" s="1"/>
  <c r="AL538" i="4" s="1"/>
  <c r="AN538" i="4" s="1"/>
  <c r="F538" i="4"/>
  <c r="AM537" i="4"/>
  <c r="AK537" i="4"/>
  <c r="AF536" i="4"/>
  <c r="AF571" i="4" s="1"/>
  <c r="W536" i="4"/>
  <c r="S536" i="4"/>
  <c r="S571" i="4" s="1"/>
  <c r="O536" i="4"/>
  <c r="L536" i="4"/>
  <c r="K536" i="4"/>
  <c r="F536" i="4"/>
  <c r="F571" i="4" s="1"/>
  <c r="AM535" i="4"/>
  <c r="AK535" i="4"/>
  <c r="AK534" i="4"/>
  <c r="AL534" i="4" s="1"/>
  <c r="AN534" i="4" s="1"/>
  <c r="AK533" i="4"/>
  <c r="AM533" i="4" s="1"/>
  <c r="AN533" i="4" s="1"/>
  <c r="AK532" i="4"/>
  <c r="AL532" i="4" s="1"/>
  <c r="AN532" i="4" s="1"/>
  <c r="AM531" i="4"/>
  <c r="AK531" i="4"/>
  <c r="AL530" i="4"/>
  <c r="AN530" i="4" s="1"/>
  <c r="AK530" i="4"/>
  <c r="AM529" i="4"/>
  <c r="AK529" i="4"/>
  <c r="AN528" i="4"/>
  <c r="AK528" i="4"/>
  <c r="AL528" i="4" s="1"/>
  <c r="AK527" i="4"/>
  <c r="AL527" i="4" s="1"/>
  <c r="AN527" i="4" s="1"/>
  <c r="AN526" i="4"/>
  <c r="AK526" i="4"/>
  <c r="AL526" i="4" s="1"/>
  <c r="AM525" i="4"/>
  <c r="AK525" i="4"/>
  <c r="AI524" i="4"/>
  <c r="AI571" i="4" s="1"/>
  <c r="AB524" i="4"/>
  <c r="AM523" i="4"/>
  <c r="AN522" i="4" s="1"/>
  <c r="AK523" i="4"/>
  <c r="AL522" i="4"/>
  <c r="AK521" i="4"/>
  <c r="AL521" i="4" s="1"/>
  <c r="AK520" i="4"/>
  <c r="AM520" i="4" s="1"/>
  <c r="AN520" i="4" s="1"/>
  <c r="AM518" i="4"/>
  <c r="AK518" i="4"/>
  <c r="AL517" i="4"/>
  <c r="AN517" i="4" s="1"/>
  <c r="AK517" i="4"/>
  <c r="AM516" i="4"/>
  <c r="AK516" i="4"/>
  <c r="AK515" i="4"/>
  <c r="AL515" i="4" s="1"/>
  <c r="AN515" i="4" s="1"/>
  <c r="AK514" i="4"/>
  <c r="AM514" i="4" s="1"/>
  <c r="AK513" i="4"/>
  <c r="AL513" i="4" s="1"/>
  <c r="AN513" i="4" s="1"/>
  <c r="AM512" i="4"/>
  <c r="AN511" i="4" s="1"/>
  <c r="AK512" i="4"/>
  <c r="AK511" i="4"/>
  <c r="AL511" i="4" s="1"/>
  <c r="AB511" i="4"/>
  <c r="AN510" i="4"/>
  <c r="AM510" i="4"/>
  <c r="AK510" i="4"/>
  <c r="AK509" i="4"/>
  <c r="AM509" i="4" s="1"/>
  <c r="AL508" i="4"/>
  <c r="AN508" i="4" s="1"/>
  <c r="AK508" i="4"/>
  <c r="J507" i="4"/>
  <c r="AK507" i="4" s="1"/>
  <c r="AJ501" i="4"/>
  <c r="AG501" i="4"/>
  <c r="AF501" i="4"/>
  <c r="AE501" i="4"/>
  <c r="AB501" i="4"/>
  <c r="T501" i="4"/>
  <c r="S501" i="4"/>
  <c r="R501" i="4"/>
  <c r="P501" i="4"/>
  <c r="O501" i="4"/>
  <c r="N501" i="4"/>
  <c r="M501" i="4"/>
  <c r="I501" i="4"/>
  <c r="G501" i="4"/>
  <c r="F501" i="4"/>
  <c r="AK500" i="4"/>
  <c r="AM499" i="4"/>
  <c r="AK499" i="4"/>
  <c r="AK498" i="4"/>
  <c r="AL498" i="4" s="1"/>
  <c r="AN498" i="4" s="1"/>
  <c r="AM497" i="4"/>
  <c r="AK497" i="4"/>
  <c r="AN496" i="4"/>
  <c r="AK496" i="4"/>
  <c r="AL496" i="4" s="1"/>
  <c r="AK495" i="4"/>
  <c r="AM495" i="4" s="1"/>
  <c r="AL494" i="4"/>
  <c r="AN494" i="4" s="1"/>
  <c r="AK494" i="4"/>
  <c r="AK493" i="4"/>
  <c r="AM493" i="4" s="1"/>
  <c r="AK492" i="4"/>
  <c r="AL492" i="4" s="1"/>
  <c r="AN492" i="4" s="1"/>
  <c r="AM491" i="4"/>
  <c r="AK491" i="4"/>
  <c r="AL490" i="4"/>
  <c r="AK490" i="4"/>
  <c r="AM489" i="4"/>
  <c r="AK489" i="4"/>
  <c r="AK488" i="4"/>
  <c r="AL488" i="4" s="1"/>
  <c r="AN488" i="4" s="1"/>
  <c r="AK487" i="4"/>
  <c r="AM487" i="4" s="1"/>
  <c r="AN486" i="4" s="1"/>
  <c r="AL486" i="4"/>
  <c r="AK486" i="4"/>
  <c r="AK485" i="4"/>
  <c r="AM485" i="4" s="1"/>
  <c r="AK484" i="4"/>
  <c r="AL484" i="4" s="1"/>
  <c r="AK483" i="4"/>
  <c r="AM483" i="4" s="1"/>
  <c r="AL482" i="4"/>
  <c r="AN482" i="4" s="1"/>
  <c r="AK482" i="4"/>
  <c r="AK481" i="4"/>
  <c r="AL481" i="4" s="1"/>
  <c r="AN481" i="4" s="1"/>
  <c r="AM480" i="4"/>
  <c r="AK480" i="4"/>
  <c r="AK479" i="4"/>
  <c r="AL479" i="4" s="1"/>
  <c r="AN479" i="4" s="1"/>
  <c r="AM478" i="4"/>
  <c r="AK478" i="4"/>
  <c r="AN477" i="4"/>
  <c r="AK477" i="4"/>
  <c r="AL477" i="4" s="1"/>
  <c r="AK476" i="4"/>
  <c r="AM476" i="4" s="1"/>
  <c r="AL475" i="4"/>
  <c r="AN475" i="4" s="1"/>
  <c r="AF475" i="4"/>
  <c r="K475" i="4"/>
  <c r="AK475" i="4" s="1"/>
  <c r="Q474" i="4"/>
  <c r="AK474" i="4" s="1"/>
  <c r="AM474" i="4" s="1"/>
  <c r="K473" i="4"/>
  <c r="AK473" i="4" s="1"/>
  <c r="AL473" i="4" s="1"/>
  <c r="AN473" i="4" s="1"/>
  <c r="AK472" i="4"/>
  <c r="AM472" i="4" s="1"/>
  <c r="AK471" i="4"/>
  <c r="AL471" i="4" s="1"/>
  <c r="AN471" i="4" s="1"/>
  <c r="AM470" i="4"/>
  <c r="AK470" i="4"/>
  <c r="AH469" i="4"/>
  <c r="AH501" i="4" s="1"/>
  <c r="AC469" i="4"/>
  <c r="AK469" i="4" s="1"/>
  <c r="AL469" i="4" s="1"/>
  <c r="AN469" i="4" s="1"/>
  <c r="AI468" i="4"/>
  <c r="J468" i="4"/>
  <c r="AK468" i="4" s="1"/>
  <c r="AM468" i="4" s="1"/>
  <c r="AF467" i="4"/>
  <c r="AE467" i="4"/>
  <c r="AD467" i="4"/>
  <c r="AD501" i="4" s="1"/>
  <c r="AC467" i="4"/>
  <c r="AA467" i="4"/>
  <c r="AA501" i="4" s="1"/>
  <c r="Z467" i="4"/>
  <c r="Y467" i="4"/>
  <c r="X467" i="4"/>
  <c r="W467" i="4"/>
  <c r="W501" i="4" s="1"/>
  <c r="V467" i="4"/>
  <c r="V501" i="4" s="1"/>
  <c r="U467" i="4"/>
  <c r="U501" i="4" s="1"/>
  <c r="T467" i="4"/>
  <c r="O467" i="4"/>
  <c r="J467" i="4"/>
  <c r="H467" i="4"/>
  <c r="H501" i="4" s="1"/>
  <c r="G467" i="4"/>
  <c r="AI466" i="4"/>
  <c r="AK465" i="4"/>
  <c r="AL465" i="4" s="1"/>
  <c r="AC465" i="4"/>
  <c r="Z465" i="4"/>
  <c r="Z501" i="4" s="1"/>
  <c r="Y465" i="4"/>
  <c r="Y501" i="4" s="1"/>
  <c r="X465" i="4"/>
  <c r="X501" i="4" s="1"/>
  <c r="W465" i="4"/>
  <c r="V465" i="4"/>
  <c r="O465" i="4"/>
  <c r="L465" i="4"/>
  <c r="L501" i="4" s="1"/>
  <c r="K465" i="4"/>
  <c r="J465" i="4"/>
  <c r="AK464" i="4"/>
  <c r="AM464" i="4" s="1"/>
  <c r="AK463" i="4"/>
  <c r="AL463" i="4" s="1"/>
  <c r="AN463" i="4" s="1"/>
  <c r="AK462" i="4"/>
  <c r="AM462" i="4" s="1"/>
  <c r="AN462" i="4" s="1"/>
  <c r="AK461" i="4"/>
  <c r="AL461" i="4" s="1"/>
  <c r="AN461" i="4" s="1"/>
  <c r="AK460" i="4"/>
  <c r="AM460" i="4" s="1"/>
  <c r="AL459" i="4"/>
  <c r="AN459" i="4" s="1"/>
  <c r="AK459" i="4"/>
  <c r="AK458" i="4"/>
  <c r="AM458" i="4" s="1"/>
  <c r="AK457" i="4"/>
  <c r="AL457" i="4" s="1"/>
  <c r="AN457" i="4" s="1"/>
  <c r="AN456" i="4"/>
  <c r="AK456" i="4"/>
  <c r="AL456" i="4" s="1"/>
  <c r="AK455" i="4"/>
  <c r="AL455" i="4" s="1"/>
  <c r="AN455" i="4" s="1"/>
  <c r="AK454" i="4"/>
  <c r="AM454" i="4" s="1"/>
  <c r="AF453" i="4"/>
  <c r="R453" i="4"/>
  <c r="K453" i="4"/>
  <c r="AK452" i="4"/>
  <c r="AM452" i="4" s="1"/>
  <c r="AN451" i="4" s="1"/>
  <c r="AL451" i="4"/>
  <c r="AK450" i="4"/>
  <c r="AL450" i="4" s="1"/>
  <c r="AK449" i="4"/>
  <c r="AK447" i="4"/>
  <c r="AM447" i="4" s="1"/>
  <c r="AK446" i="4"/>
  <c r="AL446" i="4" s="1"/>
  <c r="AN446" i="4" s="1"/>
  <c r="AM445" i="4"/>
  <c r="AK445" i="4"/>
  <c r="AK444" i="4"/>
  <c r="AL444" i="4" s="1"/>
  <c r="AN444" i="4" s="1"/>
  <c r="AM443" i="4"/>
  <c r="AN442" i="4" s="1"/>
  <c r="AK443" i="4"/>
  <c r="AK442" i="4"/>
  <c r="AL442" i="4" s="1"/>
  <c r="AK441" i="4"/>
  <c r="AM441" i="4" s="1"/>
  <c r="AL440" i="4"/>
  <c r="AN440" i="4" s="1"/>
  <c r="AK440" i="4"/>
  <c r="AM439" i="4"/>
  <c r="AN439" i="4" s="1"/>
  <c r="AK439" i="4"/>
  <c r="AK438" i="4"/>
  <c r="AM438" i="4" s="1"/>
  <c r="AL437" i="4"/>
  <c r="AN437" i="4" s="1"/>
  <c r="AK437" i="4"/>
  <c r="AK436" i="4"/>
  <c r="AL436" i="4" s="1"/>
  <c r="AJ430" i="4"/>
  <c r="AD430" i="4"/>
  <c r="AB430" i="4"/>
  <c r="Z430" i="4"/>
  <c r="Y430" i="4"/>
  <c r="X430" i="4"/>
  <c r="V430" i="4"/>
  <c r="U430" i="4"/>
  <c r="T430" i="4"/>
  <c r="R430" i="4"/>
  <c r="R431" i="4" s="1"/>
  <c r="P430" i="4"/>
  <c r="M430" i="4"/>
  <c r="L430" i="4"/>
  <c r="J430" i="4"/>
  <c r="I430" i="4"/>
  <c r="H430" i="4"/>
  <c r="G430" i="4"/>
  <c r="F430" i="4"/>
  <c r="F431" i="4" s="1"/>
  <c r="L429" i="4"/>
  <c r="AK429" i="4" s="1"/>
  <c r="F429" i="4"/>
  <c r="AM428" i="4"/>
  <c r="AK428" i="4"/>
  <c r="AN427" i="4"/>
  <c r="AK427" i="4"/>
  <c r="AL427" i="4" s="1"/>
  <c r="AK426" i="4"/>
  <c r="AM426" i="4" s="1"/>
  <c r="AL425" i="4"/>
  <c r="AN425" i="4" s="1"/>
  <c r="AK425" i="4"/>
  <c r="AM424" i="4"/>
  <c r="AK424" i="4"/>
  <c r="AK423" i="4"/>
  <c r="AL423" i="4" s="1"/>
  <c r="AN423" i="4" s="1"/>
  <c r="AK422" i="4"/>
  <c r="AM422" i="4" s="1"/>
  <c r="K421" i="4"/>
  <c r="AK421" i="4" s="1"/>
  <c r="AL421" i="4" s="1"/>
  <c r="AN421" i="4" s="1"/>
  <c r="AK420" i="4"/>
  <c r="AM420" i="4" s="1"/>
  <c r="AK419" i="4"/>
  <c r="AL419" i="4" s="1"/>
  <c r="AN419" i="4" s="1"/>
  <c r="AM418" i="4"/>
  <c r="AK418" i="4"/>
  <c r="AL417" i="4"/>
  <c r="AN417" i="4" s="1"/>
  <c r="AK417" i="4"/>
  <c r="AK416" i="4"/>
  <c r="AM416" i="4" s="1"/>
  <c r="AL415" i="4"/>
  <c r="AK415" i="4"/>
  <c r="AK414" i="4"/>
  <c r="AM414" i="4" s="1"/>
  <c r="AK413" i="4"/>
  <c r="AL413" i="4" s="1"/>
  <c r="AN413" i="4" s="1"/>
  <c r="AK412" i="4"/>
  <c r="AM412" i="4" s="1"/>
  <c r="AK411" i="4"/>
  <c r="AL411" i="4" s="1"/>
  <c r="AN410" i="4"/>
  <c r="AK410" i="4"/>
  <c r="AL410" i="4" s="1"/>
  <c r="AK409" i="4"/>
  <c r="AM409" i="4" s="1"/>
  <c r="AK408" i="4"/>
  <c r="AL408" i="4" s="1"/>
  <c r="AN408" i="4" s="1"/>
  <c r="AM407" i="4"/>
  <c r="AK407" i="4"/>
  <c r="AK406" i="4"/>
  <c r="AL406" i="4" s="1"/>
  <c r="AN406" i="4" s="1"/>
  <c r="AK405" i="4"/>
  <c r="AM405" i="4" s="1"/>
  <c r="K404" i="4"/>
  <c r="K430" i="4" s="1"/>
  <c r="K431" i="4" s="1"/>
  <c r="I404" i="4"/>
  <c r="AM403" i="4"/>
  <c r="AK403" i="4"/>
  <c r="AK402" i="4"/>
  <c r="AL402" i="4" s="1"/>
  <c r="AI402" i="4"/>
  <c r="AI430" i="4" s="1"/>
  <c r="AM401" i="4"/>
  <c r="AK401" i="4"/>
  <c r="AA400" i="4"/>
  <c r="S400" i="4"/>
  <c r="S430" i="4" s="1"/>
  <c r="AK399" i="4"/>
  <c r="AM399" i="4" s="1"/>
  <c r="AL398" i="4"/>
  <c r="AK398" i="4"/>
  <c r="AH397" i="4"/>
  <c r="AK397" i="4" s="1"/>
  <c r="AM397" i="4" s="1"/>
  <c r="AG396" i="4"/>
  <c r="AF396" i="4"/>
  <c r="AA396" i="4"/>
  <c r="AA430" i="4" s="1"/>
  <c r="W396" i="4"/>
  <c r="W430" i="4" s="1"/>
  <c r="V396" i="4"/>
  <c r="T396" i="4"/>
  <c r="Q396" i="4"/>
  <c r="P396" i="4"/>
  <c r="O396" i="4"/>
  <c r="N396" i="4"/>
  <c r="N430" i="4" s="1"/>
  <c r="L396" i="4"/>
  <c r="I396" i="4"/>
  <c r="AH395" i="4"/>
  <c r="AK395" i="4" s="1"/>
  <c r="AM395" i="4" s="1"/>
  <c r="AG394" i="4"/>
  <c r="AF394" i="4"/>
  <c r="AE394" i="4"/>
  <c r="AE430" i="4" s="1"/>
  <c r="AA394" i="4"/>
  <c r="V394" i="4"/>
  <c r="T394" i="4"/>
  <c r="Q394" i="4"/>
  <c r="O394" i="4"/>
  <c r="O430" i="4" s="1"/>
  <c r="L394" i="4"/>
  <c r="I394" i="4"/>
  <c r="AM393" i="4"/>
  <c r="AK393" i="4"/>
  <c r="AK392" i="4"/>
  <c r="AL392" i="4" s="1"/>
  <c r="AN392" i="4" s="1"/>
  <c r="AK391" i="4"/>
  <c r="AM391" i="4" s="1"/>
  <c r="AN391" i="4" s="1"/>
  <c r="AJ390" i="4"/>
  <c r="AH390" i="4"/>
  <c r="AC390" i="4"/>
  <c r="AC430" i="4" s="1"/>
  <c r="AB390" i="4"/>
  <c r="X390" i="4"/>
  <c r="Q390" i="4"/>
  <c r="Q430" i="4" s="1"/>
  <c r="P390" i="4"/>
  <c r="AK389" i="4"/>
  <c r="AM389" i="4" s="1"/>
  <c r="AK388" i="4"/>
  <c r="AL388" i="4" s="1"/>
  <c r="AN388" i="4" s="1"/>
  <c r="AK387" i="4"/>
  <c r="AM387" i="4" s="1"/>
  <c r="AL386" i="4"/>
  <c r="AK386" i="4"/>
  <c r="AN385" i="4"/>
  <c r="AL385" i="4"/>
  <c r="AK385" i="4"/>
  <c r="AL384" i="4"/>
  <c r="AN384" i="4" s="1"/>
  <c r="AK384" i="4"/>
  <c r="AM383" i="4"/>
  <c r="AK383" i="4"/>
  <c r="AF382" i="4"/>
  <c r="AM381" i="4"/>
  <c r="AN380" i="4" s="1"/>
  <c r="AK381" i="4"/>
  <c r="AL380" i="4"/>
  <c r="AN379" i="4"/>
  <c r="AL379" i="4"/>
  <c r="AK379" i="4"/>
  <c r="AM378" i="4"/>
  <c r="AK378" i="4"/>
  <c r="AK376" i="4"/>
  <c r="AM376" i="4" s="1"/>
  <c r="AL375" i="4"/>
  <c r="AK375" i="4"/>
  <c r="AM374" i="4"/>
  <c r="AK374" i="4"/>
  <c r="AN373" i="4"/>
  <c r="AK373" i="4"/>
  <c r="AL373" i="4" s="1"/>
  <c r="AK372" i="4"/>
  <c r="AM372" i="4" s="1"/>
  <c r="AK371" i="4"/>
  <c r="AL371" i="4" s="1"/>
  <c r="AN371" i="4" s="1"/>
  <c r="AK370" i="4"/>
  <c r="AM370" i="4" s="1"/>
  <c r="AK369" i="4"/>
  <c r="AL369" i="4" s="1"/>
  <c r="AN369" i="4" s="1"/>
  <c r="AM368" i="4"/>
  <c r="AN368" i="4" s="1"/>
  <c r="AK368" i="4"/>
  <c r="AM367" i="4"/>
  <c r="AK367" i="4"/>
  <c r="AK366" i="4"/>
  <c r="AL366" i="4" s="1"/>
  <c r="AK365" i="4"/>
  <c r="AK377" i="4" s="1"/>
  <c r="AJ359" i="4"/>
  <c r="AH359" i="4"/>
  <c r="AG359" i="4"/>
  <c r="AF359" i="4"/>
  <c r="AE359" i="4"/>
  <c r="AC359" i="4"/>
  <c r="AB359" i="4"/>
  <c r="X359" i="4"/>
  <c r="W359" i="4"/>
  <c r="V359" i="4"/>
  <c r="Q359" i="4"/>
  <c r="O359" i="4"/>
  <c r="N359" i="4"/>
  <c r="M359" i="4"/>
  <c r="L359" i="4"/>
  <c r="K359" i="4"/>
  <c r="I359" i="4"/>
  <c r="H359" i="4"/>
  <c r="G359" i="4"/>
  <c r="AK358" i="4"/>
  <c r="AK357" i="4"/>
  <c r="AM357" i="4" s="1"/>
  <c r="AK356" i="4"/>
  <c r="AL356" i="4" s="1"/>
  <c r="AN356" i="4" s="1"/>
  <c r="AK355" i="4"/>
  <c r="AM355" i="4" s="1"/>
  <c r="AK354" i="4"/>
  <c r="AL354" i="4" s="1"/>
  <c r="AN354" i="4" s="1"/>
  <c r="AK353" i="4"/>
  <c r="AM353" i="4" s="1"/>
  <c r="AL352" i="4"/>
  <c r="AK352" i="4"/>
  <c r="AK351" i="4"/>
  <c r="AM351" i="4" s="1"/>
  <c r="AK350" i="4"/>
  <c r="AL350" i="4" s="1"/>
  <c r="AN350" i="4" s="1"/>
  <c r="AM349" i="4"/>
  <c r="AK349" i="4"/>
  <c r="AK348" i="4"/>
  <c r="AL348" i="4" s="1"/>
  <c r="AN348" i="4" s="1"/>
  <c r="AM347" i="4"/>
  <c r="AK347" i="4"/>
  <c r="AN346" i="4"/>
  <c r="AK346" i="4"/>
  <c r="AL346" i="4" s="1"/>
  <c r="T346" i="4"/>
  <c r="T359" i="4" s="1"/>
  <c r="S346" i="4"/>
  <c r="R346" i="4"/>
  <c r="AM345" i="4"/>
  <c r="AK345" i="4"/>
  <c r="AK344" i="4"/>
  <c r="AL344" i="4" s="1"/>
  <c r="AN344" i="4" s="1"/>
  <c r="AK343" i="4"/>
  <c r="AM343" i="4" s="1"/>
  <c r="AL342" i="4"/>
  <c r="AN342" i="4" s="1"/>
  <c r="AK342" i="4"/>
  <c r="AM341" i="4"/>
  <c r="AK341" i="4"/>
  <c r="AN340" i="4"/>
  <c r="AL340" i="4"/>
  <c r="AK340" i="4"/>
  <c r="AL339" i="4"/>
  <c r="AN339" i="4" s="1"/>
  <c r="AK339" i="4"/>
  <c r="AM338" i="4"/>
  <c r="AK338" i="4"/>
  <c r="AL337" i="4"/>
  <c r="AN337" i="4" s="1"/>
  <c r="AK337" i="4"/>
  <c r="AM336" i="4"/>
  <c r="AK336" i="4"/>
  <c r="AL335" i="4"/>
  <c r="AK335" i="4"/>
  <c r="AM334" i="4"/>
  <c r="AK334" i="4"/>
  <c r="AK333" i="4"/>
  <c r="AL333" i="4" s="1"/>
  <c r="AN333" i="4" s="1"/>
  <c r="AK332" i="4"/>
  <c r="AM332" i="4" s="1"/>
  <c r="Y331" i="4"/>
  <c r="AK331" i="4" s="1"/>
  <c r="AL331" i="4" s="1"/>
  <c r="AN331" i="4" s="1"/>
  <c r="S331" i="4"/>
  <c r="S359" i="4" s="1"/>
  <c r="Y330" i="4"/>
  <c r="AK330" i="4" s="1"/>
  <c r="AM330" i="4" s="1"/>
  <c r="AL329" i="4"/>
  <c r="AK329" i="4"/>
  <c r="P329" i="4"/>
  <c r="AK328" i="4"/>
  <c r="AM328" i="4" s="1"/>
  <c r="AK327" i="4"/>
  <c r="AL327" i="4" s="1"/>
  <c r="AN327" i="4" s="1"/>
  <c r="AI326" i="4"/>
  <c r="AI359" i="4" s="1"/>
  <c r="AD326" i="4"/>
  <c r="AC326" i="4"/>
  <c r="AA326" i="4"/>
  <c r="Z326" i="4"/>
  <c r="AK326" i="4" s="1"/>
  <c r="AM326" i="4" s="1"/>
  <c r="AL325" i="4"/>
  <c r="Y325" i="4"/>
  <c r="U325" i="4"/>
  <c r="R325" i="4"/>
  <c r="R359" i="4" s="1"/>
  <c r="Q325" i="4"/>
  <c r="P325" i="4"/>
  <c r="N325" i="4"/>
  <c r="M325" i="4"/>
  <c r="J325" i="4"/>
  <c r="AK325" i="4" s="1"/>
  <c r="AC324" i="4"/>
  <c r="AA324" i="4"/>
  <c r="Z324" i="4"/>
  <c r="AK324" i="4" s="1"/>
  <c r="AM324" i="4" s="1"/>
  <c r="G324" i="4"/>
  <c r="AA323" i="4"/>
  <c r="Y323" i="4"/>
  <c r="Y359" i="4" s="1"/>
  <c r="V360" i="4" s="1"/>
  <c r="U323" i="4"/>
  <c r="U359" i="4" s="1"/>
  <c r="Q323" i="4"/>
  <c r="P323" i="4"/>
  <c r="P359" i="4" s="1"/>
  <c r="N323" i="4"/>
  <c r="M323" i="4"/>
  <c r="J323" i="4"/>
  <c r="F323" i="4"/>
  <c r="AM322" i="4"/>
  <c r="AK322" i="4"/>
  <c r="AK321" i="4"/>
  <c r="AL321" i="4" s="1"/>
  <c r="AN321" i="4" s="1"/>
  <c r="AK320" i="4"/>
  <c r="AM320" i="4" s="1"/>
  <c r="AN320" i="4" s="1"/>
  <c r="AD319" i="4"/>
  <c r="AD359" i="4" s="1"/>
  <c r="AA319" i="4"/>
  <c r="AA359" i="4" s="1"/>
  <c r="Z319" i="4"/>
  <c r="Z359" i="4" s="1"/>
  <c r="Y319" i="4"/>
  <c r="L319" i="4"/>
  <c r="AM318" i="4"/>
  <c r="AK318" i="4"/>
  <c r="AK317" i="4"/>
  <c r="AL317" i="4" s="1"/>
  <c r="AN317" i="4" s="1"/>
  <c r="AM316" i="4"/>
  <c r="AK316" i="4"/>
  <c r="AL315" i="4"/>
  <c r="AN315" i="4" s="1"/>
  <c r="AK315" i="4"/>
  <c r="AK314" i="4"/>
  <c r="AL314" i="4" s="1"/>
  <c r="AN314" i="4" s="1"/>
  <c r="AK313" i="4"/>
  <c r="AL313" i="4" s="1"/>
  <c r="AN313" i="4" s="1"/>
  <c r="AM312" i="4"/>
  <c r="AK312" i="4"/>
  <c r="AK311" i="4"/>
  <c r="AL311" i="4" s="1"/>
  <c r="AN311" i="4" s="1"/>
  <c r="Q311" i="4"/>
  <c r="AK310" i="4"/>
  <c r="AM310" i="4" s="1"/>
  <c r="AN309" i="4"/>
  <c r="AL309" i="4"/>
  <c r="AN308" i="4"/>
  <c r="AL308" i="4"/>
  <c r="AK308" i="4"/>
  <c r="AM307" i="4"/>
  <c r="AM359" i="4" s="1"/>
  <c r="AK307" i="4"/>
  <c r="AK306" i="4"/>
  <c r="AK305" i="4"/>
  <c r="AM305" i="4" s="1"/>
  <c r="Z305" i="4"/>
  <c r="AK304" i="4"/>
  <c r="AL304" i="4" s="1"/>
  <c r="AK303" i="4"/>
  <c r="AM303" i="4" s="1"/>
  <c r="AK302" i="4"/>
  <c r="AL302" i="4" s="1"/>
  <c r="AN302" i="4" s="1"/>
  <c r="AK301" i="4"/>
  <c r="AM301" i="4" s="1"/>
  <c r="AN300" i="4" s="1"/>
  <c r="AK300" i="4"/>
  <c r="AL300" i="4" s="1"/>
  <c r="AK299" i="4"/>
  <c r="AM299" i="4" s="1"/>
  <c r="AK298" i="4"/>
  <c r="AL298" i="4" s="1"/>
  <c r="AN298" i="4" s="1"/>
  <c r="AK297" i="4"/>
  <c r="AM297" i="4" s="1"/>
  <c r="AN297" i="4" s="1"/>
  <c r="AM296" i="4"/>
  <c r="AM306" i="4" s="1"/>
  <c r="AK296" i="4"/>
  <c r="AK295" i="4"/>
  <c r="AL295" i="4" s="1"/>
  <c r="AN295" i="4" s="1"/>
  <c r="AK294" i="4"/>
  <c r="AL294" i="4" s="1"/>
  <c r="AJ288" i="4"/>
  <c r="AH288" i="4"/>
  <c r="AG288" i="4"/>
  <c r="AF288" i="4"/>
  <c r="AE288" i="4"/>
  <c r="AB288" i="4"/>
  <c r="AA288" i="4"/>
  <c r="W288" i="4"/>
  <c r="V288" i="4"/>
  <c r="U288" i="4"/>
  <c r="T288" i="4"/>
  <c r="Q288" i="4"/>
  <c r="O288" i="4"/>
  <c r="N288" i="4"/>
  <c r="M288" i="4"/>
  <c r="K288" i="4"/>
  <c r="J288" i="4"/>
  <c r="I288" i="4"/>
  <c r="H288" i="4"/>
  <c r="G288" i="4"/>
  <c r="F288" i="4"/>
  <c r="F289" i="4" s="1"/>
  <c r="AK287" i="4"/>
  <c r="AK286" i="4"/>
  <c r="AM286" i="4" s="1"/>
  <c r="AK285" i="4"/>
  <c r="AL285" i="4" s="1"/>
  <c r="AN285" i="4" s="1"/>
  <c r="AK284" i="4"/>
  <c r="AM284" i="4" s="1"/>
  <c r="AK283" i="4"/>
  <c r="AL283" i="4" s="1"/>
  <c r="AM282" i="4"/>
  <c r="AK282" i="4"/>
  <c r="AK281" i="4"/>
  <c r="AL281" i="4" s="1"/>
  <c r="AN281" i="4" s="1"/>
  <c r="AK280" i="4"/>
  <c r="AM280" i="4" s="1"/>
  <c r="AL279" i="4"/>
  <c r="AN279" i="4" s="1"/>
  <c r="R279" i="4"/>
  <c r="AK279" i="4" s="1"/>
  <c r="AK278" i="4"/>
  <c r="AM278" i="4" s="1"/>
  <c r="Z277" i="4"/>
  <c r="AK277" i="4" s="1"/>
  <c r="AL277" i="4" s="1"/>
  <c r="AM276" i="4"/>
  <c r="AK276" i="4"/>
  <c r="AK275" i="4"/>
  <c r="AL275" i="4" s="1"/>
  <c r="AN275" i="4" s="1"/>
  <c r="AK274" i="4"/>
  <c r="AM274" i="4" s="1"/>
  <c r="AK273" i="4"/>
  <c r="AL273" i="4" s="1"/>
  <c r="AN273" i="4" s="1"/>
  <c r="AM272" i="4"/>
  <c r="AK272" i="4"/>
  <c r="AK271" i="4"/>
  <c r="AL271" i="4" s="1"/>
  <c r="AN271" i="4" s="1"/>
  <c r="AM270" i="4"/>
  <c r="AK270" i="4"/>
  <c r="AL269" i="4"/>
  <c r="AN269" i="4" s="1"/>
  <c r="AK269" i="4"/>
  <c r="AK268" i="4"/>
  <c r="AL268" i="4" s="1"/>
  <c r="AN268" i="4" s="1"/>
  <c r="AK267" i="4"/>
  <c r="AM267" i="4" s="1"/>
  <c r="Y266" i="4"/>
  <c r="Y288" i="4" s="1"/>
  <c r="AK265" i="4"/>
  <c r="AM265" i="4" s="1"/>
  <c r="AK264" i="4"/>
  <c r="AL264" i="4" s="1"/>
  <c r="AN264" i="4" s="1"/>
  <c r="AM263" i="4"/>
  <c r="AK263" i="4"/>
  <c r="AK262" i="4"/>
  <c r="AL262" i="4" s="1"/>
  <c r="AN262" i="4" s="1"/>
  <c r="AK261" i="4"/>
  <c r="AM261" i="4" s="1"/>
  <c r="AK260" i="4"/>
  <c r="AL260" i="4" s="1"/>
  <c r="AN260" i="4" s="1"/>
  <c r="AM259" i="4"/>
  <c r="AK259" i="4"/>
  <c r="Z258" i="4"/>
  <c r="R258" i="4"/>
  <c r="AK258" i="4" s="1"/>
  <c r="AL258" i="4" s="1"/>
  <c r="AN258" i="4" s="1"/>
  <c r="AK257" i="4"/>
  <c r="AM257" i="4" s="1"/>
  <c r="F257" i="4"/>
  <c r="P256" i="4"/>
  <c r="P288" i="4" s="1"/>
  <c r="AK255" i="4"/>
  <c r="AM255" i="4" s="1"/>
  <c r="AI254" i="4"/>
  <c r="AI288" i="4" s="1"/>
  <c r="AD254" i="4"/>
  <c r="AC254" i="4"/>
  <c r="Z254" i="4"/>
  <c r="Z288" i="4" s="1"/>
  <c r="X254" i="4"/>
  <c r="T254" i="4"/>
  <c r="S254" i="4"/>
  <c r="L254" i="4"/>
  <c r="L288" i="4" s="1"/>
  <c r="F254" i="4"/>
  <c r="AK253" i="4"/>
  <c r="AM253" i="4" s="1"/>
  <c r="AI252" i="4"/>
  <c r="AD252" i="4"/>
  <c r="AD288" i="4" s="1"/>
  <c r="AC252" i="4"/>
  <c r="X252" i="4"/>
  <c r="X288" i="4" s="1"/>
  <c r="T252" i="4"/>
  <c r="S252" i="4"/>
  <c r="AK252" i="4" s="1"/>
  <c r="AL252" i="4" s="1"/>
  <c r="AN252" i="4" s="1"/>
  <c r="F252" i="4"/>
  <c r="AM251" i="4"/>
  <c r="AK251" i="4"/>
  <c r="AK250" i="4"/>
  <c r="AL250" i="4" s="1"/>
  <c r="AN250" i="4" s="1"/>
  <c r="AK249" i="4"/>
  <c r="AM249" i="4" s="1"/>
  <c r="AN249" i="4" s="1"/>
  <c r="AK248" i="4"/>
  <c r="AL248" i="4" s="1"/>
  <c r="AN248" i="4" s="1"/>
  <c r="AM247" i="4"/>
  <c r="AK247" i="4"/>
  <c r="AH246" i="4"/>
  <c r="AK246" i="4" s="1"/>
  <c r="AL246" i="4" s="1"/>
  <c r="AN246" i="4" s="1"/>
  <c r="AC246" i="4"/>
  <c r="AM245" i="4"/>
  <c r="AK245" i="4"/>
  <c r="AK244" i="4"/>
  <c r="AL244" i="4" s="1"/>
  <c r="AN244" i="4" s="1"/>
  <c r="AL243" i="4"/>
  <c r="AN243" i="4" s="1"/>
  <c r="AK243" i="4"/>
  <c r="AL242" i="4"/>
  <c r="AN242" i="4" s="1"/>
  <c r="AK242" i="4"/>
  <c r="AK241" i="4"/>
  <c r="AM241" i="4" s="1"/>
  <c r="AL240" i="4"/>
  <c r="AN240" i="4" s="1"/>
  <c r="AK240" i="4"/>
  <c r="AM239" i="4"/>
  <c r="AK239" i="4"/>
  <c r="AL238" i="4"/>
  <c r="AN238" i="4" s="1"/>
  <c r="AK237" i="4"/>
  <c r="AL237" i="4" s="1"/>
  <c r="AK236" i="4"/>
  <c r="AK235" i="4"/>
  <c r="AK234" i="4"/>
  <c r="AM234" i="4" s="1"/>
  <c r="AL233" i="4"/>
  <c r="AN233" i="4" s="1"/>
  <c r="AK233" i="4"/>
  <c r="AK232" i="4"/>
  <c r="AM232" i="4" s="1"/>
  <c r="AK231" i="4"/>
  <c r="AL231" i="4" s="1"/>
  <c r="AN231" i="4" s="1"/>
  <c r="AK230" i="4"/>
  <c r="AM230" i="4" s="1"/>
  <c r="AK229" i="4"/>
  <c r="AL229" i="4" s="1"/>
  <c r="AM228" i="4"/>
  <c r="AK228" i="4"/>
  <c r="AK227" i="4"/>
  <c r="AL227" i="4" s="1"/>
  <c r="AN227" i="4" s="1"/>
  <c r="AK226" i="4"/>
  <c r="AM226" i="4" s="1"/>
  <c r="AN226" i="4" s="1"/>
  <c r="AK225" i="4"/>
  <c r="AM225" i="4" s="1"/>
  <c r="AK224" i="4"/>
  <c r="AL224" i="4" s="1"/>
  <c r="AN224" i="4" s="1"/>
  <c r="AK223" i="4"/>
  <c r="AL223" i="4" s="1"/>
  <c r="AJ216" i="4"/>
  <c r="AI216" i="4"/>
  <c r="AH216" i="4"/>
  <c r="AG216" i="4"/>
  <c r="AF216" i="4"/>
  <c r="AE216" i="4"/>
  <c r="AE217" i="4" s="1"/>
  <c r="AA216" i="4"/>
  <c r="Z216" i="4"/>
  <c r="X216" i="4"/>
  <c r="X217" i="4" s="1"/>
  <c r="V216" i="4"/>
  <c r="R216" i="4"/>
  <c r="O216" i="4"/>
  <c r="M216" i="4"/>
  <c r="J216" i="4"/>
  <c r="I216" i="4"/>
  <c r="G216" i="4"/>
  <c r="F216" i="4"/>
  <c r="AK215" i="4"/>
  <c r="AK214" i="4"/>
  <c r="AM214" i="4" s="1"/>
  <c r="AK213" i="4"/>
  <c r="AL213" i="4" s="1"/>
  <c r="AN213" i="4" s="1"/>
  <c r="AM212" i="4"/>
  <c r="AK212" i="4"/>
  <c r="AK211" i="4"/>
  <c r="AL211" i="4" s="1"/>
  <c r="AN211" i="4" s="1"/>
  <c r="AK210" i="4"/>
  <c r="AM210" i="4" s="1"/>
  <c r="AK209" i="4"/>
  <c r="AL209" i="4" s="1"/>
  <c r="AM208" i="4"/>
  <c r="AK208" i="4"/>
  <c r="AC207" i="4"/>
  <c r="AK207" i="4" s="1"/>
  <c r="AL207" i="4" s="1"/>
  <c r="AN207" i="4" s="1"/>
  <c r="AM206" i="4"/>
  <c r="AK206" i="4"/>
  <c r="AK205" i="4"/>
  <c r="AL205" i="4" s="1"/>
  <c r="AN205" i="4" s="1"/>
  <c r="AK204" i="4"/>
  <c r="AM204" i="4" s="1"/>
  <c r="AF203" i="4"/>
  <c r="AK203" i="4" s="1"/>
  <c r="AL203" i="4" s="1"/>
  <c r="AK202" i="4"/>
  <c r="AM202" i="4" s="1"/>
  <c r="AK201" i="4"/>
  <c r="AL201" i="4" s="1"/>
  <c r="AM200" i="4"/>
  <c r="AK200" i="4"/>
  <c r="AK199" i="4"/>
  <c r="AL199" i="4" s="1"/>
  <c r="AN199" i="4" s="1"/>
  <c r="AK198" i="4"/>
  <c r="AM198" i="4" s="1"/>
  <c r="AK197" i="4"/>
  <c r="AL197" i="4" s="1"/>
  <c r="AN197" i="4" s="1"/>
  <c r="AK196" i="4"/>
  <c r="AL196" i="4" s="1"/>
  <c r="AN196" i="4" s="1"/>
  <c r="AM195" i="4"/>
  <c r="AK195" i="4"/>
  <c r="AL194" i="4"/>
  <c r="AN194" i="4" s="1"/>
  <c r="AK194" i="4"/>
  <c r="AM193" i="4"/>
  <c r="AK193" i="4"/>
  <c r="AK192" i="4"/>
  <c r="AL192" i="4" s="1"/>
  <c r="AN192" i="4" s="1"/>
  <c r="AK191" i="4"/>
  <c r="AM191" i="4" s="1"/>
  <c r="AB190" i="4"/>
  <c r="N190" i="4"/>
  <c r="H190" i="4"/>
  <c r="AK190" i="4" s="1"/>
  <c r="AL190" i="4" s="1"/>
  <c r="AN190" i="4" s="1"/>
  <c r="AK189" i="4"/>
  <c r="AM189" i="4" s="1"/>
  <c r="U188" i="4"/>
  <c r="AK188" i="4" s="1"/>
  <c r="AL188" i="4" s="1"/>
  <c r="AK187" i="4"/>
  <c r="AM187" i="4" s="1"/>
  <c r="AK186" i="4"/>
  <c r="AL186" i="4" s="1"/>
  <c r="AN186" i="4" s="1"/>
  <c r="Q186" i="4"/>
  <c r="Q216" i="4" s="1"/>
  <c r="Q217" i="4" s="1"/>
  <c r="AK185" i="4"/>
  <c r="AM185" i="4" s="1"/>
  <c r="AK184" i="4"/>
  <c r="AL184" i="4" s="1"/>
  <c r="AN184" i="4" s="1"/>
  <c r="AM183" i="4"/>
  <c r="AK183" i="4"/>
  <c r="AG182" i="4"/>
  <c r="AD182" i="4"/>
  <c r="AB182" i="4"/>
  <c r="Y182" i="4"/>
  <c r="W182" i="4"/>
  <c r="W216" i="4" s="1"/>
  <c r="U182" i="4"/>
  <c r="U216" i="4" s="1"/>
  <c r="T182" i="4"/>
  <c r="S182" i="4"/>
  <c r="S216" i="4" s="1"/>
  <c r="P182" i="4"/>
  <c r="P216" i="4" s="1"/>
  <c r="N182" i="4"/>
  <c r="L182" i="4"/>
  <c r="L216" i="4" s="1"/>
  <c r="K182" i="4"/>
  <c r="I182" i="4"/>
  <c r="H182" i="4"/>
  <c r="AK182" i="4" s="1"/>
  <c r="AL182" i="4" s="1"/>
  <c r="AN182" i="4" s="1"/>
  <c r="AK181" i="4"/>
  <c r="AM181" i="4" s="1"/>
  <c r="AH180" i="4"/>
  <c r="AD180" i="4"/>
  <c r="AC180" i="4"/>
  <c r="AC216" i="4" s="1"/>
  <c r="AB180" i="4"/>
  <c r="AB216" i="4" s="1"/>
  <c r="Y180" i="4"/>
  <c r="Y216" i="4" s="1"/>
  <c r="T180" i="4"/>
  <c r="T216" i="4" s="1"/>
  <c r="P180" i="4"/>
  <c r="N180" i="4"/>
  <c r="N216" i="4" s="1"/>
  <c r="K180" i="4"/>
  <c r="K216" i="4" s="1"/>
  <c r="I180" i="4"/>
  <c r="H180" i="4"/>
  <c r="H216" i="4" s="1"/>
  <c r="AK179" i="4"/>
  <c r="AM179" i="4" s="1"/>
  <c r="AK178" i="4"/>
  <c r="AL178" i="4" s="1"/>
  <c r="AM177" i="4"/>
  <c r="AN177" i="4" s="1"/>
  <c r="AK177" i="4"/>
  <c r="AK176" i="4"/>
  <c r="AL176" i="4" s="1"/>
  <c r="AN176" i="4" s="1"/>
  <c r="AK175" i="4"/>
  <c r="AM175" i="4" s="1"/>
  <c r="AK174" i="4"/>
  <c r="AL174" i="4" s="1"/>
  <c r="AN174" i="4" s="1"/>
  <c r="AK173" i="4"/>
  <c r="AM173" i="4" s="1"/>
  <c r="AK172" i="4"/>
  <c r="AL172" i="4" s="1"/>
  <c r="AN172" i="4" s="1"/>
  <c r="AL171" i="4"/>
  <c r="AN171" i="4" s="1"/>
  <c r="AK171" i="4"/>
  <c r="AK170" i="4"/>
  <c r="AL170" i="4" s="1"/>
  <c r="AN170" i="4" s="1"/>
  <c r="AD170" i="4"/>
  <c r="AD216" i="4" s="1"/>
  <c r="AK169" i="4"/>
  <c r="AM169" i="4" s="1"/>
  <c r="AL168" i="4"/>
  <c r="AK168" i="4"/>
  <c r="AK167" i="4"/>
  <c r="AM167" i="4" s="1"/>
  <c r="AK166" i="4"/>
  <c r="AL166" i="4" s="1"/>
  <c r="AL165" i="4"/>
  <c r="AN165" i="4" s="1"/>
  <c r="AK165" i="4"/>
  <c r="AK164" i="4"/>
  <c r="AM164" i="4" s="1"/>
  <c r="AK163" i="4"/>
  <c r="AK161" i="4"/>
  <c r="AM161" i="4" s="1"/>
  <c r="AK160" i="4"/>
  <c r="AL160" i="4" s="1"/>
  <c r="AN160" i="4" s="1"/>
  <c r="AK159" i="4"/>
  <c r="AM159" i="4" s="1"/>
  <c r="AK158" i="4"/>
  <c r="AL158" i="4" s="1"/>
  <c r="AK157" i="4"/>
  <c r="AM157" i="4" s="1"/>
  <c r="AK156" i="4"/>
  <c r="AL156" i="4" s="1"/>
  <c r="AK155" i="4"/>
  <c r="AM155" i="4" s="1"/>
  <c r="AK154" i="4"/>
  <c r="AL154" i="4" s="1"/>
  <c r="AN154" i="4" s="1"/>
  <c r="AK153" i="4"/>
  <c r="AM153" i="4" s="1"/>
  <c r="AN153" i="4" s="1"/>
  <c r="AK152" i="4"/>
  <c r="AM152" i="4" s="1"/>
  <c r="AM162" i="4" s="1"/>
  <c r="AK151" i="4"/>
  <c r="AL151" i="4" s="1"/>
  <c r="AN151" i="4" s="1"/>
  <c r="AK150" i="4"/>
  <c r="AL150" i="4" s="1"/>
  <c r="AJ144" i="4"/>
  <c r="AI144" i="4"/>
  <c r="AH144" i="4"/>
  <c r="AF144" i="4"/>
  <c r="AD144" i="4"/>
  <c r="AC144" i="4"/>
  <c r="AB144" i="4"/>
  <c r="X144" i="4"/>
  <c r="W144" i="4"/>
  <c r="V144" i="4"/>
  <c r="U144" i="4"/>
  <c r="S144" i="4"/>
  <c r="R144" i="4"/>
  <c r="Q144" i="4"/>
  <c r="P144" i="4"/>
  <c r="K144" i="4"/>
  <c r="H144" i="4"/>
  <c r="F144" i="4"/>
  <c r="F145" i="4" s="1"/>
  <c r="AK143" i="4"/>
  <c r="AK142" i="4"/>
  <c r="AM142" i="4" s="1"/>
  <c r="AK141" i="4"/>
  <c r="AL141" i="4" s="1"/>
  <c r="AN141" i="4" s="1"/>
  <c r="AK140" i="4"/>
  <c r="AM140" i="4" s="1"/>
  <c r="AK139" i="4"/>
  <c r="AL139" i="4" s="1"/>
  <c r="AN139" i="4" s="1"/>
  <c r="AK138" i="4"/>
  <c r="AM138" i="4" s="1"/>
  <c r="AK137" i="4"/>
  <c r="AL137" i="4" s="1"/>
  <c r="AN137" i="4" s="1"/>
  <c r="AM136" i="4"/>
  <c r="AK136" i="4"/>
  <c r="Z135" i="4"/>
  <c r="AK135" i="4" s="1"/>
  <c r="AL135" i="4" s="1"/>
  <c r="AN135" i="4" s="1"/>
  <c r="AK134" i="4"/>
  <c r="AM134" i="4" s="1"/>
  <c r="AK133" i="4"/>
  <c r="AL133" i="4" s="1"/>
  <c r="AN133" i="4" s="1"/>
  <c r="AK132" i="4"/>
  <c r="AM132" i="4" s="1"/>
  <c r="AK131" i="4"/>
  <c r="AL131" i="4" s="1"/>
  <c r="AM130" i="4"/>
  <c r="AK130" i="4"/>
  <c r="AL129" i="4"/>
  <c r="AN129" i="4" s="1"/>
  <c r="AK129" i="4"/>
  <c r="AM128" i="4"/>
  <c r="AK128" i="4"/>
  <c r="AK127" i="4"/>
  <c r="AL127" i="4" s="1"/>
  <c r="AN127" i="4" s="1"/>
  <c r="AK126" i="4"/>
  <c r="AM126" i="4" s="1"/>
  <c r="AL125" i="4"/>
  <c r="AN125" i="4" s="1"/>
  <c r="AK125" i="4"/>
  <c r="AL124" i="4"/>
  <c r="AN124" i="4" s="1"/>
  <c r="AK124" i="4"/>
  <c r="AK123" i="4"/>
  <c r="AM123" i="4" s="1"/>
  <c r="AL122" i="4"/>
  <c r="AN122" i="4" s="1"/>
  <c r="AK122" i="4"/>
  <c r="AK121" i="4"/>
  <c r="AM121" i="4" s="1"/>
  <c r="AK120" i="4"/>
  <c r="AL120" i="4" s="1"/>
  <c r="AK119" i="4"/>
  <c r="AM119" i="4" s="1"/>
  <c r="AK118" i="4"/>
  <c r="AL118" i="4" s="1"/>
  <c r="AN118" i="4" s="1"/>
  <c r="S118" i="4"/>
  <c r="AK117" i="4"/>
  <c r="AM117" i="4" s="1"/>
  <c r="G117" i="4"/>
  <c r="AK116" i="4"/>
  <c r="AL116" i="4" s="1"/>
  <c r="AN116" i="4" s="1"/>
  <c r="AK115" i="4"/>
  <c r="AM115" i="4" s="1"/>
  <c r="AA114" i="4"/>
  <c r="AK114" i="4" s="1"/>
  <c r="AL114" i="4" s="1"/>
  <c r="AN114" i="4" s="1"/>
  <c r="G113" i="4"/>
  <c r="G144" i="4" s="1"/>
  <c r="AK112" i="4"/>
  <c r="AL112" i="4" s="1"/>
  <c r="AK111" i="4"/>
  <c r="AM111" i="4" s="1"/>
  <c r="AG110" i="4"/>
  <c r="AG144" i="4" s="1"/>
  <c r="AE110" i="4"/>
  <c r="AA110" i="4"/>
  <c r="AA144" i="4" s="1"/>
  <c r="Y110" i="4"/>
  <c r="Y144" i="4" s="1"/>
  <c r="V110" i="4"/>
  <c r="T110" i="4"/>
  <c r="R110" i="4"/>
  <c r="O110" i="4"/>
  <c r="N110" i="4"/>
  <c r="L110" i="4"/>
  <c r="L144" i="4" s="1"/>
  <c r="J110" i="4"/>
  <c r="AK110" i="4" s="1"/>
  <c r="AL110" i="4" s="1"/>
  <c r="AK109" i="4"/>
  <c r="AM109" i="4" s="1"/>
  <c r="AE108" i="4"/>
  <c r="AE144" i="4" s="1"/>
  <c r="Y108" i="4"/>
  <c r="V108" i="4"/>
  <c r="T108" i="4"/>
  <c r="T144" i="4" s="1"/>
  <c r="S108" i="4"/>
  <c r="R108" i="4"/>
  <c r="O108" i="4"/>
  <c r="O144" i="4" s="1"/>
  <c r="N108" i="4"/>
  <c r="N144" i="4" s="1"/>
  <c r="M108" i="4"/>
  <c r="M144" i="4" s="1"/>
  <c r="J108" i="4"/>
  <c r="I108" i="4"/>
  <c r="AK108" i="4" s="1"/>
  <c r="AL108" i="4" s="1"/>
  <c r="AK107" i="4"/>
  <c r="AM107" i="4" s="1"/>
  <c r="AK106" i="4"/>
  <c r="AL106" i="4" s="1"/>
  <c r="AN106" i="4" s="1"/>
  <c r="AK105" i="4"/>
  <c r="AM105" i="4" s="1"/>
  <c r="AN105" i="4" s="1"/>
  <c r="J104" i="4"/>
  <c r="AK104" i="4" s="1"/>
  <c r="AL104" i="4" s="1"/>
  <c r="AN104" i="4" s="1"/>
  <c r="AM103" i="4"/>
  <c r="AK103" i="4"/>
  <c r="J102" i="4"/>
  <c r="AK102" i="4" s="1"/>
  <c r="AL102" i="4" s="1"/>
  <c r="AN102" i="4" s="1"/>
  <c r="AK101" i="4"/>
  <c r="AM101" i="4" s="1"/>
  <c r="AK100" i="4"/>
  <c r="AL100" i="4" s="1"/>
  <c r="AN100" i="4" s="1"/>
  <c r="AL99" i="4"/>
  <c r="AN99" i="4" s="1"/>
  <c r="AK99" i="4"/>
  <c r="AK98" i="4"/>
  <c r="AK97" i="4"/>
  <c r="AM97" i="4" s="1"/>
  <c r="AK96" i="4"/>
  <c r="AL96" i="4" s="1"/>
  <c r="AK95" i="4"/>
  <c r="AM95" i="4" s="1"/>
  <c r="AK94" i="4"/>
  <c r="AL94" i="4" s="1"/>
  <c r="AN94" i="4" s="1"/>
  <c r="AK93" i="4"/>
  <c r="AL93" i="4" s="1"/>
  <c r="AN93" i="4" s="1"/>
  <c r="AK92" i="4"/>
  <c r="AM92" i="4" s="1"/>
  <c r="AK91" i="4"/>
  <c r="AL91" i="4" s="1"/>
  <c r="AK89" i="4"/>
  <c r="AM89" i="4" s="1"/>
  <c r="AK88" i="4"/>
  <c r="AL88" i="4" s="1"/>
  <c r="AK87" i="4"/>
  <c r="AM87" i="4" s="1"/>
  <c r="AK86" i="4"/>
  <c r="AL86" i="4" s="1"/>
  <c r="AN86" i="4" s="1"/>
  <c r="AM85" i="4"/>
  <c r="AK85" i="4"/>
  <c r="AL84" i="4"/>
  <c r="AN84" i="4" s="1"/>
  <c r="AK84" i="4"/>
  <c r="AM83" i="4"/>
  <c r="AK83" i="4"/>
  <c r="AK82" i="4"/>
  <c r="AL82" i="4" s="1"/>
  <c r="AN82" i="4" s="1"/>
  <c r="AK81" i="4"/>
  <c r="AM81" i="4" s="1"/>
  <c r="AM80" i="4"/>
  <c r="AK80" i="4"/>
  <c r="AL79" i="4"/>
  <c r="AN79" i="4" s="1"/>
  <c r="AK79" i="4"/>
  <c r="AK90" i="4" s="1"/>
  <c r="AL78" i="4"/>
  <c r="AK78" i="4"/>
  <c r="AJ72" i="4"/>
  <c r="AI72" i="4"/>
  <c r="AI73" i="4" s="1"/>
  <c r="AH72" i="4"/>
  <c r="AG72" i="4"/>
  <c r="AF72" i="4"/>
  <c r="AE72" i="4"/>
  <c r="AD72" i="4"/>
  <c r="AC72" i="4"/>
  <c r="AB72" i="4"/>
  <c r="AB73" i="4" s="1"/>
  <c r="AA72" i="4"/>
  <c r="Z72" i="4"/>
  <c r="Y72" i="4"/>
  <c r="X72" i="4"/>
  <c r="W72" i="4"/>
  <c r="V72" i="4"/>
  <c r="U72" i="4"/>
  <c r="U73" i="4" s="1"/>
  <c r="T72" i="4"/>
  <c r="S72" i="4"/>
  <c r="R72" i="4"/>
  <c r="Q72" i="4"/>
  <c r="P72" i="4"/>
  <c r="N73" i="4" s="1"/>
  <c r="O72" i="4"/>
  <c r="N72" i="4"/>
  <c r="M72" i="4"/>
  <c r="L72" i="4"/>
  <c r="K72" i="4"/>
  <c r="J72" i="4"/>
  <c r="I72" i="4"/>
  <c r="H72" i="4"/>
  <c r="G73" i="4" s="1"/>
  <c r="G72" i="4"/>
  <c r="F72" i="4"/>
  <c r="F73" i="4" s="1"/>
  <c r="AK71" i="4"/>
  <c r="AK70" i="4"/>
  <c r="AM70" i="4" s="1"/>
  <c r="AK69" i="4"/>
  <c r="AL69" i="4" s="1"/>
  <c r="AN69" i="4" s="1"/>
  <c r="AK68" i="4"/>
  <c r="AM68" i="4" s="1"/>
  <c r="AK67" i="4"/>
  <c r="AL67" i="4" s="1"/>
  <c r="AN67" i="4" s="1"/>
  <c r="AK66" i="4"/>
  <c r="AM66" i="4" s="1"/>
  <c r="AK65" i="4"/>
  <c r="AL65" i="4" s="1"/>
  <c r="AN65" i="4" s="1"/>
  <c r="AM64" i="4"/>
  <c r="AK64" i="4"/>
  <c r="AL63" i="4"/>
  <c r="AN63" i="4" s="1"/>
  <c r="AK63" i="4"/>
  <c r="AM62" i="4"/>
  <c r="AK62" i="4"/>
  <c r="AK61" i="4"/>
  <c r="AL61" i="4" s="1"/>
  <c r="AN61" i="4" s="1"/>
  <c r="AK60" i="4"/>
  <c r="AM60" i="4" s="1"/>
  <c r="AL59" i="4"/>
  <c r="AN59" i="4" s="1"/>
  <c r="AK59" i="4"/>
  <c r="AK58" i="4"/>
  <c r="AM58" i="4" s="1"/>
  <c r="AK57" i="4"/>
  <c r="AL57" i="4" s="1"/>
  <c r="AN57" i="4" s="1"/>
  <c r="AK56" i="4"/>
  <c r="AM56" i="4" s="1"/>
  <c r="AK55" i="4"/>
  <c r="AL55" i="4" s="1"/>
  <c r="AN55" i="4" s="1"/>
  <c r="AK54" i="4"/>
  <c r="AM54" i="4" s="1"/>
  <c r="AK53" i="4"/>
  <c r="AL53" i="4" s="1"/>
  <c r="AN53" i="4" s="1"/>
  <c r="AK52" i="4"/>
  <c r="AL52" i="4" s="1"/>
  <c r="AN52" i="4" s="1"/>
  <c r="AK51" i="4"/>
  <c r="AM51" i="4" s="1"/>
  <c r="AK50" i="4"/>
  <c r="AL50" i="4" s="1"/>
  <c r="AK49" i="4"/>
  <c r="AM49" i="4" s="1"/>
  <c r="AK48" i="4"/>
  <c r="AL48" i="4" s="1"/>
  <c r="AN48" i="4" s="1"/>
  <c r="AK47" i="4"/>
  <c r="AM47" i="4" s="1"/>
  <c r="AK46" i="4"/>
  <c r="AL46" i="4" s="1"/>
  <c r="AN46" i="4" s="1"/>
  <c r="AM45" i="4"/>
  <c r="AK45" i="4"/>
  <c r="AL44" i="4"/>
  <c r="AN44" i="4" s="1"/>
  <c r="AK44" i="4"/>
  <c r="AM43" i="4"/>
  <c r="AK43" i="4"/>
  <c r="AK42" i="4"/>
  <c r="AL42" i="4" s="1"/>
  <c r="AN42" i="4" s="1"/>
  <c r="AK41" i="4"/>
  <c r="AM41" i="4" s="1"/>
  <c r="AL40" i="4"/>
  <c r="AN40" i="4" s="1"/>
  <c r="AK40" i="4"/>
  <c r="AK39" i="4"/>
  <c r="AM39" i="4" s="1"/>
  <c r="AK38" i="4"/>
  <c r="AL38" i="4" s="1"/>
  <c r="F38" i="4"/>
  <c r="AM37" i="4"/>
  <c r="AK37" i="4"/>
  <c r="F36" i="4"/>
  <c r="AK36" i="4" s="1"/>
  <c r="AK35" i="4"/>
  <c r="AM35" i="4" s="1"/>
  <c r="AK34" i="4"/>
  <c r="AL34" i="4" s="1"/>
  <c r="AN34" i="4" s="1"/>
  <c r="AK33" i="4"/>
  <c r="AM33" i="4" s="1"/>
  <c r="AN33" i="4" s="1"/>
  <c r="AK32" i="4"/>
  <c r="AL32" i="4" s="1"/>
  <c r="AN32" i="4" s="1"/>
  <c r="AK31" i="4"/>
  <c r="AM31" i="4" s="1"/>
  <c r="AK30" i="4"/>
  <c r="AL30" i="4" s="1"/>
  <c r="AN30" i="4" s="1"/>
  <c r="AK29" i="4"/>
  <c r="AM29" i="4" s="1"/>
  <c r="AK28" i="4"/>
  <c r="AL28" i="4" s="1"/>
  <c r="AN28" i="4" s="1"/>
  <c r="AK27" i="4"/>
  <c r="AL27" i="4" s="1"/>
  <c r="AN27" i="4" s="1"/>
  <c r="AK26" i="4"/>
  <c r="AL26" i="4" s="1"/>
  <c r="AN26" i="4" s="1"/>
  <c r="AK25" i="4"/>
  <c r="AM25" i="4" s="1"/>
  <c r="AK24" i="4"/>
  <c r="AL24" i="4" s="1"/>
  <c r="AK23" i="4"/>
  <c r="AM23" i="4" s="1"/>
  <c r="AK22" i="4"/>
  <c r="AL22" i="4" s="1"/>
  <c r="AN22" i="4" s="1"/>
  <c r="AK21" i="4"/>
  <c r="AL21" i="4" s="1"/>
  <c r="AN21" i="4" s="1"/>
  <c r="AM20" i="4"/>
  <c r="AK20" i="4"/>
  <c r="AK19" i="4"/>
  <c r="AL19" i="4" s="1"/>
  <c r="AK17" i="4"/>
  <c r="AM17" i="4" s="1"/>
  <c r="AK16" i="4"/>
  <c r="AL16" i="4" s="1"/>
  <c r="AN16" i="4" s="1"/>
  <c r="AM15" i="4"/>
  <c r="AK15" i="4"/>
  <c r="AL14" i="4"/>
  <c r="AN14" i="4" s="1"/>
  <c r="AK14" i="4"/>
  <c r="AM13" i="4"/>
  <c r="AK13" i="4"/>
  <c r="AK12" i="4"/>
  <c r="AL12" i="4" s="1"/>
  <c r="AN12" i="4" s="1"/>
  <c r="AK11" i="4"/>
  <c r="AM11" i="4" s="1"/>
  <c r="AK10" i="4"/>
  <c r="AL10" i="4" s="1"/>
  <c r="AN10" i="4" s="1"/>
  <c r="AM9" i="4"/>
  <c r="AN9" i="4" s="1"/>
  <c r="AK9" i="4"/>
  <c r="AK8" i="4"/>
  <c r="AK18" i="4" s="1"/>
  <c r="AL7" i="4"/>
  <c r="AK7" i="4"/>
  <c r="AK6" i="4"/>
  <c r="AL6" i="4" s="1"/>
  <c r="N145" i="4" l="1"/>
  <c r="AN131" i="4"/>
  <c r="AL162" i="4"/>
  <c r="AN150" i="4"/>
  <c r="AN166" i="4"/>
  <c r="AN178" i="4"/>
  <c r="AN209" i="4"/>
  <c r="AN229" i="4"/>
  <c r="AN375" i="4"/>
  <c r="AS149" i="4"/>
  <c r="AN168" i="4"/>
  <c r="AN188" i="4"/>
  <c r="AS293" i="4"/>
  <c r="AM377" i="4"/>
  <c r="AS364" i="4" s="1"/>
  <c r="AN591" i="4"/>
  <c r="AN156" i="4"/>
  <c r="AN201" i="4"/>
  <c r="T289" i="4"/>
  <c r="AN484" i="4"/>
  <c r="U145" i="4"/>
  <c r="AN6" i="4"/>
  <c r="AL18" i="4"/>
  <c r="AN88" i="4"/>
  <c r="AN158" i="4"/>
  <c r="AN203" i="4"/>
  <c r="F217" i="4"/>
  <c r="AN223" i="4"/>
  <c r="AL235" i="4"/>
  <c r="AN237" i="4"/>
  <c r="J217" i="4"/>
  <c r="AM235" i="4"/>
  <c r="AC360" i="4"/>
  <c r="AN465" i="4"/>
  <c r="F572" i="4"/>
  <c r="AN110" i="4"/>
  <c r="AN91" i="4"/>
  <c r="AB145" i="4"/>
  <c r="AN108" i="4"/>
  <c r="AM216" i="4"/>
  <c r="AN7" i="4"/>
  <c r="AK72" i="4"/>
  <c r="AQ5" i="4" s="1"/>
  <c r="AL36" i="4"/>
  <c r="AN36" i="4" s="1"/>
  <c r="AN81" i="4"/>
  <c r="AM90" i="4"/>
  <c r="AN450" i="4"/>
  <c r="AL507" i="4"/>
  <c r="AK519" i="4"/>
  <c r="AN19" i="4"/>
  <c r="AL90" i="4"/>
  <c r="AM72" i="4"/>
  <c r="AN24" i="4"/>
  <c r="AN38" i="4"/>
  <c r="AN50" i="4"/>
  <c r="AN96" i="4"/>
  <c r="AN120" i="4"/>
  <c r="AN277" i="4"/>
  <c r="AN411" i="4"/>
  <c r="AN78" i="4"/>
  <c r="AL163" i="4"/>
  <c r="R288" i="4"/>
  <c r="M289" i="4" s="1"/>
  <c r="AL365" i="4"/>
  <c r="AL448" i="4"/>
  <c r="AK744" i="4"/>
  <c r="AL744" i="4" s="1"/>
  <c r="AN744" i="4" s="1"/>
  <c r="AM8" i="4"/>
  <c r="AM18" i="4" s="1"/>
  <c r="S288" i="4"/>
  <c r="AN325" i="4"/>
  <c r="AN366" i="4"/>
  <c r="AG430" i="4"/>
  <c r="AN402" i="4"/>
  <c r="AN436" i="4"/>
  <c r="AK466" i="4"/>
  <c r="AM466" i="4" s="1"/>
  <c r="AI501" i="4"/>
  <c r="AH502" i="4" s="1"/>
  <c r="M502" i="4"/>
  <c r="AK524" i="4"/>
  <c r="AL524" i="4" s="1"/>
  <c r="AN524" i="4" s="1"/>
  <c r="AN616" i="4"/>
  <c r="AK677" i="4"/>
  <c r="AL677" i="4" s="1"/>
  <c r="AN677" i="4" s="1"/>
  <c r="AN700" i="4"/>
  <c r="AN708" i="4"/>
  <c r="AN721" i="4"/>
  <c r="AK742" i="4"/>
  <c r="AL742" i="4" s="1"/>
  <c r="AN742" i="4" s="1"/>
  <c r="AM844" i="4"/>
  <c r="AN793" i="4"/>
  <c r="AK878" i="4"/>
  <c r="AL878" i="4" s="1"/>
  <c r="AN878" i="4" s="1"/>
  <c r="F911" i="4"/>
  <c r="AK394" i="4"/>
  <c r="AL394" i="4" s="1"/>
  <c r="AN394" i="4" s="1"/>
  <c r="AN794" i="4"/>
  <c r="AL710" i="4"/>
  <c r="AL98" i="4"/>
  <c r="AN98" i="4" s="1"/>
  <c r="AK113" i="4"/>
  <c r="AM113" i="4" s="1"/>
  <c r="AN112" i="4" s="1"/>
  <c r="AM236" i="4"/>
  <c r="AK254" i="4"/>
  <c r="AL254" i="4" s="1"/>
  <c r="AN254" i="4" s="1"/>
  <c r="AN307" i="4"/>
  <c r="AF430" i="4"/>
  <c r="AK396" i="4"/>
  <c r="AL396" i="4" s="1"/>
  <c r="AN396" i="4" s="1"/>
  <c r="AN660" i="4"/>
  <c r="AK859" i="4"/>
  <c r="AL849" i="4"/>
  <c r="AN352" i="4"/>
  <c r="AK382" i="4"/>
  <c r="AK404" i="4"/>
  <c r="AL404" i="4" s="1"/>
  <c r="AN404" i="4" s="1"/>
  <c r="AK540" i="4"/>
  <c r="AL540" i="4" s="1"/>
  <c r="AN540" i="4" s="1"/>
  <c r="AM589" i="4"/>
  <c r="H710" i="4"/>
  <c r="AK792" i="4"/>
  <c r="AM785" i="4"/>
  <c r="AN785" i="4" s="1"/>
  <c r="AM927" i="4"/>
  <c r="AN920" i="4"/>
  <c r="AH289" i="4"/>
  <c r="Y431" i="4"/>
  <c r="AM448" i="4"/>
  <c r="J501" i="4"/>
  <c r="Q501" i="4"/>
  <c r="AN637" i="4"/>
  <c r="AK319" i="4"/>
  <c r="AL319" i="4" s="1"/>
  <c r="AN319" i="4" s="1"/>
  <c r="I144" i="4"/>
  <c r="G145" i="4" s="1"/>
  <c r="AK266" i="4"/>
  <c r="AL266" i="4" s="1"/>
  <c r="AN266" i="4" s="1"/>
  <c r="O360" i="4"/>
  <c r="AM725" i="4"/>
  <c r="AN1432" i="4"/>
  <c r="AK467" i="4"/>
  <c r="AL467" i="4" s="1"/>
  <c r="AN467" i="4" s="1"/>
  <c r="J144" i="4"/>
  <c r="Z144" i="4"/>
  <c r="AN398" i="4"/>
  <c r="AM449" i="4"/>
  <c r="AM519" i="4"/>
  <c r="AM590" i="4"/>
  <c r="AN716" i="4"/>
  <c r="AL725" i="4"/>
  <c r="AR714" i="4" s="1"/>
  <c r="AM726" i="4"/>
  <c r="AK777" i="4"/>
  <c r="AQ714" i="4" s="1"/>
  <c r="O844" i="4"/>
  <c r="AK797" i="4"/>
  <c r="M911" i="4"/>
  <c r="AK180" i="4"/>
  <c r="AL180" i="4" s="1"/>
  <c r="AN180" i="4" s="1"/>
  <c r="T502" i="4"/>
  <c r="K571" i="4"/>
  <c r="P572" i="4"/>
  <c r="AN557" i="4"/>
  <c r="AD572" i="4"/>
  <c r="AK606" i="4"/>
  <c r="AL606" i="4" s="1"/>
  <c r="AN606" i="4" s="1"/>
  <c r="G641" i="4"/>
  <c r="AN663" i="4"/>
  <c r="AN685" i="4"/>
  <c r="AN819" i="4"/>
  <c r="Q844" i="4"/>
  <c r="AN852" i="4"/>
  <c r="AM859" i="4"/>
  <c r="AS848" i="4" s="1"/>
  <c r="AK256" i="4"/>
  <c r="AL256" i="4" s="1"/>
  <c r="AN256" i="4" s="1"/>
  <c r="AL306" i="4"/>
  <c r="F359" i="4"/>
  <c r="F360" i="4" s="1"/>
  <c r="AK323" i="4"/>
  <c r="AL323" i="4" s="1"/>
  <c r="AN323" i="4" s="1"/>
  <c r="AH430" i="4"/>
  <c r="F641" i="4"/>
  <c r="AK608" i="4"/>
  <c r="AL608" i="4" s="1"/>
  <c r="AN608" i="4" s="1"/>
  <c r="AN294" i="4"/>
  <c r="J359" i="4"/>
  <c r="H360" i="4" s="1"/>
  <c r="J571" i="4"/>
  <c r="I572" i="4" s="1"/>
  <c r="AK543" i="4"/>
  <c r="AM543" i="4" s="1"/>
  <c r="AM571" i="4" s="1"/>
  <c r="AN646" i="4"/>
  <c r="AL658" i="4"/>
  <c r="G844" i="4"/>
  <c r="AK811" i="4"/>
  <c r="AL811" i="4" s="1"/>
  <c r="AN811" i="4" s="1"/>
  <c r="AN821" i="4"/>
  <c r="AM911" i="4"/>
  <c r="AN862" i="4"/>
  <c r="AN386" i="4"/>
  <c r="K31" i="5"/>
  <c r="J35" i="5"/>
  <c r="AN335" i="4"/>
  <c r="AN378" i="4"/>
  <c r="AM430" i="4"/>
  <c r="AK400" i="4"/>
  <c r="AL400" i="4" s="1"/>
  <c r="AN400" i="4" s="1"/>
  <c r="AC501" i="4"/>
  <c r="AA502" i="4" s="1"/>
  <c r="AN521" i="4"/>
  <c r="G571" i="4"/>
  <c r="AN754" i="4"/>
  <c r="AK162" i="4"/>
  <c r="AC288" i="4"/>
  <c r="AA289" i="4" s="1"/>
  <c r="AN304" i="4"/>
  <c r="AN415" i="4"/>
  <c r="AK544" i="4"/>
  <c r="AL544" i="4" s="1"/>
  <c r="AN544" i="4" s="1"/>
  <c r="AN550" i="4"/>
  <c r="AN647" i="4"/>
  <c r="AN490" i="4"/>
  <c r="AK594" i="4"/>
  <c r="AL594" i="4" s="1"/>
  <c r="AN594" i="4" s="1"/>
  <c r="J641" i="4"/>
  <c r="P641" i="4"/>
  <c r="AN656" i="4"/>
  <c r="AK675" i="4"/>
  <c r="AL675" i="4" s="1"/>
  <c r="AN675" i="4" s="1"/>
  <c r="F710" i="4"/>
  <c r="AN283" i="4"/>
  <c r="AN329" i="4"/>
  <c r="AK390" i="4"/>
  <c r="AL390" i="4" s="1"/>
  <c r="AN390" i="4" s="1"/>
  <c r="K501" i="4"/>
  <c r="AK453" i="4"/>
  <c r="AL453" i="4" s="1"/>
  <c r="AN453" i="4" s="1"/>
  <c r="F502" i="4"/>
  <c r="AK536" i="4"/>
  <c r="AL536" i="4" s="1"/>
  <c r="AN536" i="4" s="1"/>
  <c r="AN561" i="4"/>
  <c r="AN600" i="4"/>
  <c r="AN614" i="4"/>
  <c r="AM658" i="4"/>
  <c r="AS645" i="4" s="1"/>
  <c r="AN730" i="4"/>
  <c r="AN740" i="4"/>
  <c r="AN756" i="4"/>
  <c r="AL777" i="4"/>
  <c r="AN832" i="4"/>
  <c r="AJ777" i="4"/>
  <c r="AK1154" i="4"/>
  <c r="AL1154" i="4" s="1"/>
  <c r="AN1154" i="4" s="1"/>
  <c r="M1186" i="4"/>
  <c r="AN1333" i="4"/>
  <c r="AM1340" i="4"/>
  <c r="AS1329" i="4" s="1"/>
  <c r="H1592" i="4"/>
  <c r="AK1562" i="4"/>
  <c r="AL1562" i="4" s="1"/>
  <c r="AN1562" i="4" s="1"/>
  <c r="AN989" i="4"/>
  <c r="AN1026" i="4"/>
  <c r="AN1385" i="4"/>
  <c r="Q1462" i="4"/>
  <c r="AK1454" i="4"/>
  <c r="AL1454" i="4" s="1"/>
  <c r="AN1454" i="4" s="1"/>
  <c r="AN1605" i="4"/>
  <c r="AL1063" i="4"/>
  <c r="AI1186" i="4"/>
  <c r="AK1174" i="4"/>
  <c r="AL1174" i="4" s="1"/>
  <c r="AN1174" i="4" s="1"/>
  <c r="X1255" i="4"/>
  <c r="AK1210" i="4"/>
  <c r="AM1210" i="4" s="1"/>
  <c r="AL1271" i="4"/>
  <c r="AK1369" i="4"/>
  <c r="AL1369" i="4" s="1"/>
  <c r="AN1369" i="4" s="1"/>
  <c r="W844" i="4"/>
  <c r="AK946" i="4"/>
  <c r="AL946" i="4" s="1"/>
  <c r="AN946" i="4" s="1"/>
  <c r="AN1229" i="4"/>
  <c r="Z844" i="4"/>
  <c r="AN857" i="4"/>
  <c r="AN886" i="4"/>
  <c r="I1047" i="4"/>
  <c r="AN1054" i="4"/>
  <c r="AN1294" i="4"/>
  <c r="AK1544" i="4"/>
  <c r="AN1611" i="4"/>
  <c r="AN1642" i="4"/>
  <c r="AN923" i="4"/>
  <c r="AS1260" i="4"/>
  <c r="AK1498" i="4"/>
  <c r="AL1498" i="4" s="1"/>
  <c r="AN1498" i="4" s="1"/>
  <c r="G1528" i="4"/>
  <c r="AK612" i="4"/>
  <c r="AL612" i="4" s="1"/>
  <c r="AN612" i="4" s="1"/>
  <c r="AK813" i="4"/>
  <c r="AL813" i="4" s="1"/>
  <c r="AN813" i="4" s="1"/>
  <c r="X844" i="4"/>
  <c r="AC911" i="4"/>
  <c r="AK944" i="4"/>
  <c r="AL944" i="4" s="1"/>
  <c r="AN944" i="4" s="1"/>
  <c r="H979" i="4"/>
  <c r="AK1324" i="4"/>
  <c r="AQ1260" i="4" s="1"/>
  <c r="AN1458" i="4"/>
  <c r="AN1599" i="4"/>
  <c r="AM1607" i="4"/>
  <c r="AL1324" i="4"/>
  <c r="M1528" i="4"/>
  <c r="AK1484" i="4"/>
  <c r="AL1484" i="4" s="1"/>
  <c r="AM1592" i="4"/>
  <c r="AN1549" i="4"/>
  <c r="AK876" i="4"/>
  <c r="AL876" i="4" s="1"/>
  <c r="AN876" i="4" s="1"/>
  <c r="AN925" i="4"/>
  <c r="AM1047" i="4"/>
  <c r="AS984" i="4" s="1"/>
  <c r="AK1014" i="4"/>
  <c r="AL1014" i="4" s="1"/>
  <c r="AN1014" i="4" s="1"/>
  <c r="AN1088" i="4"/>
  <c r="AL1340" i="4"/>
  <c r="AM1544" i="4"/>
  <c r="AL577" i="4"/>
  <c r="AK658" i="4"/>
  <c r="AN985" i="4"/>
  <c r="AL995" i="4"/>
  <c r="U1047" i="4"/>
  <c r="AN1022" i="4"/>
  <c r="AN1068" i="4"/>
  <c r="AM1324" i="4"/>
  <c r="AK448" i="4"/>
  <c r="AK542" i="4"/>
  <c r="AL542" i="4" s="1"/>
  <c r="AN897" i="4"/>
  <c r="AL917" i="4"/>
  <c r="AK927" i="4"/>
  <c r="AN997" i="4"/>
  <c r="AN1069" i="4"/>
  <c r="AM1117" i="4"/>
  <c r="AS1052" i="4" s="1"/>
  <c r="AL1186" i="4"/>
  <c r="AR1122" i="4" s="1"/>
  <c r="V1255" i="4"/>
  <c r="AE844" i="4"/>
  <c r="AK911" i="4"/>
  <c r="AN905" i="4"/>
  <c r="AL1202" i="4"/>
  <c r="AN1193" i="4"/>
  <c r="AK1255" i="4"/>
  <c r="AQ1191" i="4" s="1"/>
  <c r="AN853" i="4"/>
  <c r="AL861" i="4"/>
  <c r="AN929" i="4"/>
  <c r="AN1016" i="4"/>
  <c r="AN1024" i="4"/>
  <c r="AN1150" i="4"/>
  <c r="AK1340" i="4"/>
  <c r="AM1462" i="4"/>
  <c r="AT1398" i="4" s="1"/>
  <c r="AK1430" i="4"/>
  <c r="AL1430" i="4" s="1"/>
  <c r="AN1430" i="4" s="1"/>
  <c r="AN1506" i="4"/>
  <c r="AN1548" i="4"/>
  <c r="AK1570" i="4"/>
  <c r="AL1570" i="4" s="1"/>
  <c r="AN1570" i="4" s="1"/>
  <c r="U1592" i="4"/>
  <c r="AK1105" i="4"/>
  <c r="AL1105" i="4" s="1"/>
  <c r="AN1105" i="4" s="1"/>
  <c r="H1324" i="4"/>
  <c r="J1462" i="4"/>
  <c r="AK1433" i="4"/>
  <c r="AM1433" i="4" s="1"/>
  <c r="K103" i="5"/>
  <c r="J103" i="5"/>
  <c r="AK952" i="4"/>
  <c r="AL952" i="4" s="1"/>
  <c r="AN952" i="4" s="1"/>
  <c r="L1117" i="4"/>
  <c r="AN1129" i="4"/>
  <c r="AN1138" i="4"/>
  <c r="AK1152" i="4"/>
  <c r="AL1152" i="4" s="1"/>
  <c r="AN1152" i="4" s="1"/>
  <c r="AM1206" i="4"/>
  <c r="AK1292" i="4"/>
  <c r="AL1292" i="4" s="1"/>
  <c r="AN1292" i="4" s="1"/>
  <c r="AK1365" i="4"/>
  <c r="AL1365" i="4" s="1"/>
  <c r="AN1365" i="4" s="1"/>
  <c r="L1528" i="4"/>
  <c r="J13" i="5"/>
  <c r="J169" i="5"/>
  <c r="AK1012" i="4"/>
  <c r="AL1012" i="4" s="1"/>
  <c r="AN1012" i="4" s="1"/>
  <c r="AK1186" i="4"/>
  <c r="AN1219" i="4"/>
  <c r="AL1255" i="4"/>
  <c r="AM1478" i="4"/>
  <c r="AK1528" i="4"/>
  <c r="AK1607" i="4"/>
  <c r="AR1597" i="4" s="1"/>
  <c r="AK1363" i="4"/>
  <c r="AL1363" i="4" s="1"/>
  <c r="AN1363" i="4" s="1"/>
  <c r="AM1481" i="4"/>
  <c r="AN1588" i="4"/>
  <c r="AL1607" i="4"/>
  <c r="AN1615" i="4"/>
  <c r="K129" i="5"/>
  <c r="J129" i="5"/>
  <c r="K217" i="5"/>
  <c r="AM928" i="4"/>
  <c r="R1117" i="4"/>
  <c r="T1186" i="4"/>
  <c r="AM1186" i="4"/>
  <c r="AS1122" i="4" s="1"/>
  <c r="AN1213" i="4"/>
  <c r="AN1276" i="4"/>
  <c r="AL1400" i="4"/>
  <c r="AL1534" i="4"/>
  <c r="AN1648" i="4"/>
  <c r="AK995" i="4"/>
  <c r="AN1094" i="4"/>
  <c r="AN1131" i="4"/>
  <c r="AK1245" i="4"/>
  <c r="AL1245" i="4" s="1"/>
  <c r="AN1245" i="4" s="1"/>
  <c r="AK1650" i="4"/>
  <c r="K19" i="5"/>
  <c r="Z1462" i="4"/>
  <c r="AK1418" i="4"/>
  <c r="AL1418" i="4" s="1"/>
  <c r="AN1436" i="4"/>
  <c r="AN1524" i="4"/>
  <c r="AL1650" i="4"/>
  <c r="AN1124" i="4"/>
  <c r="K1255" i="4"/>
  <c r="AN1277" i="4"/>
  <c r="AN1320" i="4"/>
  <c r="AN1336" i="4"/>
  <c r="K1393" i="4"/>
  <c r="AN1367" i="4"/>
  <c r="X1462" i="4"/>
  <c r="AM1650" i="4"/>
  <c r="K67" i="5"/>
  <c r="AD1117" i="4"/>
  <c r="AK1133" i="4"/>
  <c r="AE1186" i="4"/>
  <c r="AN1200" i="4"/>
  <c r="AN1239" i="4"/>
  <c r="AN1312" i="4"/>
  <c r="AN1474" i="4"/>
  <c r="AD1528" i="4"/>
  <c r="N1592" i="4"/>
  <c r="AN1574" i="4"/>
  <c r="J67" i="5"/>
  <c r="J179" i="5"/>
  <c r="AK1090" i="4"/>
  <c r="AL1090" i="4" s="1"/>
  <c r="AN1090" i="4" s="1"/>
  <c r="AN1096" i="4"/>
  <c r="AN1209" i="4"/>
  <c r="AK1438" i="4"/>
  <c r="AL1438" i="4" s="1"/>
  <c r="AN1438" i="4" s="1"/>
  <c r="K115" i="5"/>
  <c r="J49" i="5"/>
  <c r="K43" i="5"/>
  <c r="K205" i="5"/>
  <c r="AN1314" i="4"/>
  <c r="AK1564" i="4"/>
  <c r="AL1564" i="4" s="1"/>
  <c r="AN1564" i="4" s="1"/>
  <c r="J205" i="5"/>
  <c r="J229" i="5"/>
  <c r="AK1082" i="4"/>
  <c r="AK1160" i="4"/>
  <c r="AL1160" i="4" s="1"/>
  <c r="AN1160" i="4" s="1"/>
  <c r="AC1393" i="4"/>
  <c r="AN1627" i="4"/>
  <c r="J141" i="5"/>
  <c r="AK1063" i="4"/>
  <c r="J1186" i="4"/>
  <c r="AL1468" i="4"/>
  <c r="AK1478" i="4"/>
  <c r="AR1467" i="4" s="1"/>
  <c r="I1324" i="4"/>
  <c r="J79" i="5"/>
  <c r="J217" i="5"/>
  <c r="AK1490" i="4"/>
  <c r="AL1490" i="4" s="1"/>
  <c r="AN1490" i="4" s="1"/>
  <c r="J115" i="5"/>
  <c r="AN1418" i="4" l="1"/>
  <c r="AL1462" i="4"/>
  <c r="AL797" i="4"/>
  <c r="AK844" i="4"/>
  <c r="AQ781" i="4" s="1"/>
  <c r="AN1484" i="4"/>
  <c r="AL1528" i="4"/>
  <c r="AS714" i="4"/>
  <c r="AL216" i="4"/>
  <c r="AN163" i="4"/>
  <c r="AL501" i="4"/>
  <c r="AR5" i="4"/>
  <c r="AR984" i="4"/>
  <c r="AN726" i="4"/>
  <c r="AM777" i="4"/>
  <c r="AS77" i="4"/>
  <c r="AK1393" i="4"/>
  <c r="AQ1329" i="4" s="1"/>
  <c r="AK1592" i="4"/>
  <c r="AK1047" i="4"/>
  <c r="AQ984" i="4" s="1"/>
  <c r="AM144" i="4"/>
  <c r="AN365" i="4"/>
  <c r="AL377" i="4"/>
  <c r="AM979" i="4"/>
  <c r="AS916" i="4" s="1"/>
  <c r="AN928" i="4"/>
  <c r="AL589" i="4"/>
  <c r="AR576" i="4" s="1"/>
  <c r="AN577" i="4"/>
  <c r="AT1597" i="4"/>
  <c r="AL1393" i="4"/>
  <c r="AM641" i="4"/>
  <c r="AS576" i="4" s="1"/>
  <c r="AN590" i="4"/>
  <c r="AK430" i="4"/>
  <c r="AQ364" i="4" s="1"/>
  <c r="AL382" i="4"/>
  <c r="AK144" i="4"/>
  <c r="AQ77" i="4" s="1"/>
  <c r="AL1409" i="4"/>
  <c r="AS1398" i="4" s="1"/>
  <c r="AN1400" i="4"/>
  <c r="AL979" i="4"/>
  <c r="AL1047" i="4"/>
  <c r="AT1533" i="4"/>
  <c r="AK641" i="4"/>
  <c r="AQ576" i="4" s="1"/>
  <c r="AM792" i="4"/>
  <c r="AS781" i="4" s="1"/>
  <c r="AR1329" i="4"/>
  <c r="AR1260" i="4"/>
  <c r="AS506" i="4"/>
  <c r="AN849" i="4"/>
  <c r="AL859" i="4"/>
  <c r="AN861" i="4"/>
  <c r="AL911" i="4"/>
  <c r="AQ848" i="4"/>
  <c r="AL288" i="4"/>
  <c r="AR222" i="4" s="1"/>
  <c r="AN917" i="4"/>
  <c r="AL927" i="4"/>
  <c r="AR916" i="4" s="1"/>
  <c r="AN449" i="4"/>
  <c r="AM501" i="4"/>
  <c r="AS435" i="4"/>
  <c r="AK359" i="4"/>
  <c r="AQ293" i="4" s="1"/>
  <c r="AN507" i="4"/>
  <c r="AL519" i="4"/>
  <c r="AR506" i="4" s="1"/>
  <c r="AK1462" i="4"/>
  <c r="AR1398" i="4" s="1"/>
  <c r="AR1533" i="4"/>
  <c r="AQ149" i="4"/>
  <c r="AK501" i="4"/>
  <c r="AQ435" i="4" s="1"/>
  <c r="AL1592" i="4"/>
  <c r="AN542" i="4"/>
  <c r="AL359" i="4"/>
  <c r="AR293" i="4" s="1"/>
  <c r="AF431" i="4"/>
  <c r="AS5" i="4"/>
  <c r="AN1468" i="4"/>
  <c r="AL1478" i="4"/>
  <c r="AS1467" i="4" s="1"/>
  <c r="AQ1122" i="4"/>
  <c r="AS1597" i="4"/>
  <c r="AR1191" i="4"/>
  <c r="AK571" i="4"/>
  <c r="AL72" i="4"/>
  <c r="AK216" i="4"/>
  <c r="AK288" i="4"/>
  <c r="AQ222" i="4" s="1"/>
  <c r="AR149" i="4"/>
  <c r="AM1255" i="4"/>
  <c r="AS1191" i="4" s="1"/>
  <c r="AN1206" i="4"/>
  <c r="AK979" i="4"/>
  <c r="AQ916" i="4" s="1"/>
  <c r="AL144" i="4"/>
  <c r="AR77" i="4" s="1"/>
  <c r="AL1082" i="4"/>
  <c r="AK1117" i="4"/>
  <c r="AQ1052" i="4" s="1"/>
  <c r="AN1534" i="4"/>
  <c r="AL1544" i="4"/>
  <c r="AS1533" i="4" s="1"/>
  <c r="AN1481" i="4"/>
  <c r="AM1528" i="4"/>
  <c r="AT1467" i="4" s="1"/>
  <c r="AL571" i="4"/>
  <c r="AR645" i="4"/>
  <c r="AM288" i="4"/>
  <c r="AS222" i="4" s="1"/>
  <c r="AN236" i="4"/>
  <c r="AK710" i="4"/>
  <c r="AQ645" i="4" s="1"/>
  <c r="AR435" i="4"/>
  <c r="AQ506" i="4"/>
  <c r="AL641" i="4"/>
  <c r="AN1082" i="4" l="1"/>
  <c r="AL1117" i="4"/>
  <c r="AR1052" i="4" s="1"/>
  <c r="AL430" i="4"/>
  <c r="AR364" i="4" s="1"/>
  <c r="AN382" i="4"/>
  <c r="AR848" i="4"/>
  <c r="AN797" i="4"/>
  <c r="AL844" i="4"/>
  <c r="AR78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tc={bfceb383-52db-4af9-a7c8-8981ead61890}</author>
    <author>tc={4e9d79bb-c327-4ad5-9c9a-ab5ecd180a1e}</author>
    <author>tc={030154bb-73c9-4dc5-af5f-8f13fa2efadb}</author>
    <author>tc={a2261c27-0b47-465b-bd65-1e1282355ff0}</author>
    <author>tc={f5e850b0-17f2-49a3-8555-195801b7acb5}</author>
    <author>tc={7337f0ae-a21e-45e1-b83a-2d46d4ca6c3c}</author>
    <author>tc={d161e110-8674-42e4-8947-beee18a8cef7}</author>
    <author>tc={30a0c034-2efb-4ead-8994-e9b952002cba}</author>
    <author>tc={2e83d91f-3be3-4c31-a6c0-4330b9b9c39a}</author>
    <author>tc={8b4e6181-70f4-4323-b863-63ad82bb72c8}</author>
    <author>tc={4a3d257e-394d-4fe2-a90e-8343c7d0232c}</author>
    <author>tc={fa5c295a-21e6-4d95-b5d1-2b89b7815e74}</author>
    <author>tc={971d92b4-1a6f-4b4c-a01f-811590039a66}</author>
    <author>tc={828c2bb9-4b31-4293-aeea-803d56fed4c4}</author>
    <author>tc={174e96a8-77a1-4521-87f6-c0a2ee516778}</author>
    <author>tc={17bb31a0-20e0-4a5b-a553-f94097eb8c8d}</author>
    <author>tc={5be2d81c-4f98-42b3-bea4-2d02d7cd160c}</author>
    <author>tc={5f4fdf1f-6b50-4130-9e56-236502bd8603}</author>
    <author>tc={39036762-a73f-43a1-9d1f-ff646c058f86}</author>
    <author>tc={f82943b0-2e33-4619-b349-54176b092c02}</author>
    <author>tc={9534c0c6-7188-48a5-a8fc-3678d22060e3}</author>
    <author>tc={6e4ccf8c-1a3b-4932-a99d-fdea11a9d064}</author>
    <author>tc={d2150910-0b18-465a-af41-76bcb6d11cf8}</author>
    <author>tc={cc3e44aa-f9f9-4d11-8dbc-8d244fb765c3}</author>
    <author>tc={6abc520b-057d-490b-aaac-3e019be20ad8}</author>
    <author>tc={7c6ede4b-c918-4bf5-8489-43a5fa60b19f}</author>
    <author>tc={5bebbe51-2452-49de-b56c-6c26b17bf263}</author>
    <author>tc={ede48332-554c-4b39-b730-6c576c3683e7}</author>
    <author>tc={bcdefb01-2965-4e26-9c02-30b3fe4a9640}</author>
    <author>tc={00de3566-ae13-4008-a9df-59e697a277ad}</author>
    <author>tc={8087ab9b-7e2a-4218-a642-6c9aac391916}</author>
    <author>tc={a481045a-c175-4ea0-b234-2249730763b1}</author>
    <author>tc={70a41de2-d6a4-42ad-ab73-bdaa16c463e3}</author>
    <author>tc={b2bbecfb-62e9-4711-8650-e53131c9198d}</author>
    <author>tc={6336f393-cbfd-4797-bc49-7e668808ae11}</author>
    <author>tc={938e7057-2a7b-49f1-9d5b-486d28090c61}</author>
    <author>tc={7189cfa5-8813-4c00-b7af-f33a40db9f41}</author>
    <author>tc={a4d2defd-d505-4796-8a67-d89c2dc1c8b0}</author>
    <author>tc={4e29f115-015e-4d2b-a9bf-aecc5b013e05}</author>
    <author>tc={17e56ea4-1418-4d62-b960-fc68b1b56dda}</author>
    <author>tc={e75c5648-dd26-4f4d-88d2-75e769ba8d8f}</author>
    <author>tc={3f22fa10-a619-418d-9245-fe95ab0fa758}</author>
    <author>tc={9b5749ac-6975-4eb6-beb1-0984e5f71185}</author>
    <author>tc={375fa7ed-a017-48cc-aeae-3abd0837ade1}</author>
    <author>tc={74b7a043-16a9-4654-80d2-169108978e8f}</author>
    <author>tc={ba205759-f58e-4a47-86b3-ff64ac50ac31}</author>
    <author>tc={5cb7e8b7-5fab-458c-9fc3-3817c5a3c9ee}</author>
    <author>tc={7f2d19f7-3b34-44e2-8a7d-d7bb65b37a14}</author>
    <author>tc={6b81ea91-fc49-4160-bb96-ea5b2072be3e}</author>
    <author>tc={4bd799de-466a-4f01-9de6-0600b9739e74}</author>
    <author>tc={bc6d08e4-4411-4ad9-9ba8-5e107e6ba9aa}</author>
    <author>tc={98392f8e-3170-48e0-bb7e-685c9c00bd18}</author>
    <author>tc={002900ad-5b81-49b6-a743-fbbe37ca2b73}</author>
    <author>tc={74079e74-66a9-475f-a3ea-d895b92168c4}</author>
    <author>tc={dde38abd-1656-4933-81fc-cc4a24115597}</author>
    <author>tc={d755a657-8860-4df7-8733-edcb03f7cd4b}</author>
    <author>tc={1e3dd004-4298-4b80-8233-1ab17af0443a}</author>
    <author>tc={6b1e4436-c008-477b-bae1-82d83b7668e5}</author>
    <author>tc={d62153cc-86f8-405b-a866-ae5c91364402}</author>
    <author>tc={3a745a27-8058-4b43-8601-3e15a72970de}</author>
    <author>tc={235f8f7d-703e-4d57-b519-30462872911a}</author>
    <author>tc={05282881-cc42-4bd5-ad07-9b7927beeb63}</author>
    <author>tc={0a22d170-8cc1-4aec-895f-07da929d52a6}</author>
    <author>tc={54e75483-467a-4227-b23f-07d4f96da2d3}</author>
    <author>tc={d2a99aba-79d2-4334-acf9-717067e2fae1}</author>
    <author>tc={108ab7c8-9449-4f62-86f8-c6d5ac5affba}</author>
    <author>tc={3bd01722-1b04-4420-9736-cb7ffb4c4ae8}</author>
    <author>tc={c7acccf4-4c1b-4213-8d0d-1e4f96ccd8f0}</author>
    <author>tc={79eba68d-5100-4301-8c80-9961fb6c1530}</author>
    <author>tc={b0e601f3-9d82-406f-a74f-425f75d3569e}</author>
    <author>tc={f6a04f6f-49c4-4e09-b72e-25978ee463ba}</author>
    <author>tc={413ddcff-6cee-46d6-ad9a-934c69e96b13}</author>
    <author>tc={ef531ae7-65ef-4892-a83e-4e957eb0e879}</author>
    <author>tc={aad6995e-640e-40e3-a340-570716d575c0}</author>
    <author>tc={0fa6301c-4050-4610-8731-523f8ca4fa8f}</author>
    <author>tc={61752044-64f0-4d4e-8872-a6c9c5c7c8c2}</author>
    <author>tc={2b795a1d-541b-4647-b667-cf510454a910}</author>
    <author>tc={a2847994-8b9b-40a5-9fca-8c21f2f3c9cb}</author>
    <author>tc={ca5374c5-bb6c-4c1f-a717-daf833efbaa4}</author>
    <author>tc={c19f7522-647e-4c2e-905d-e1c1df524093}</author>
    <author>tc={38f8ca96-7efd-40da-9539-1cb537096675}</author>
    <author>tc={cd3eb5c1-7bd0-48cc-91cb-61bac9cde440}</author>
    <author>tc={5e8fe0e3-9ca7-425f-8037-b096032a0cd9}</author>
    <author>tc={b637821b-f4dd-412a-b10b-eaab20c190ac}</author>
    <author>tc={b3b4a89e-7979-4d67-a3c4-8509ac195dc1}</author>
    <author>tc={ca8da068-41a5-4a5b-9942-8600d418142d}</author>
    <author>tc={3a1e84c6-b2a5-4dd0-ae66-d9aa208aedd8}</author>
    <author>tc={90c45800-e111-4141-8756-f8356dd8c5dd}</author>
    <author>tc={89de0eda-2a60-405f-9073-aafd143b114f}</author>
    <author>tc={089afbb4-f126-4cad-bc0f-a5f210592a69}</author>
    <author>tc={ef06fcc4-6f53-4e31-b9c9-f3539db950f9}</author>
    <author>tc={055a905f-2d11-4865-a206-a497ad2f13f3}</author>
    <author>tc={136e9bf3-197e-47b4-a8d6-9e32ee47106e}</author>
    <author>tc={9105d0e1-3579-46c4-9ddb-91000bfd0b7a}</author>
    <author>tc={8470fb2a-3b1f-4a57-bb4f-d3245b9ea927}</author>
    <author>tc={ba7c2120-3e6d-49dd-954c-95c83b5bdb5b}</author>
    <author>tc={28ed7bd7-b122-430e-b76e-af602f79a14e}</author>
    <author>tc={32313dd6-ab8b-46fa-bf59-962a0370e8d2}</author>
    <author>tc={b36f365d-a0c3-4584-876c-6d5514cf3ac6}</author>
    <author>tc={1301d42a-c393-4fc8-9031-c768a905cc24}</author>
    <author>tc={ebc36f89-8f9f-4f3a-bdad-19c208078ac9}</author>
    <author>tc={f721560b-e098-4c72-af7a-1c4ccbc38256}</author>
    <author>tc={9fd652ee-357e-421c-b311-08425d2561ac}</author>
    <author>tc={f6db6d03-4f05-41e7-ae4d-dbfca77d99a4}</author>
    <author>tc={c2f00989-0546-4fca-8d71-18351ecf880c}</author>
    <author>tc={b177ae49-6225-4958-914f-6f979892a5fd}</author>
    <author>tc={edc5d278-68b3-4a8c-86de-149ed3f899ca}</author>
    <author>tc={e9ece19d-2d1c-41ae-817e-cdc6cce215cb}</author>
    <author>tc={54a0128a-83fa-4268-98d2-ccb22f8418cd}</author>
    <author>tc={c848747f-6d38-4ac5-8ee5-5af5029796af}</author>
    <author>tc={c3b508bb-1904-4966-b143-0283915790cd}</author>
    <author>tc={a130e439-fc12-4a8f-9807-b94423318aeb}</author>
    <author>tc={e473fd48-bf5d-41e0-acda-93a40bb392f6}</author>
    <author>tc={2cb03c19-fe85-4597-bfa5-35b19c60753b}</author>
    <author>tc={0b94cacd-73f7-4663-8ff3-8928c8b87f48}</author>
    <author>tc={c71a0d66-9320-432c-9eeb-96b75838b26c}</author>
    <author>tc={92e0eba9-923e-451b-afb8-9d305c878882}</author>
    <author>tc={008bd84b-eda2-49ee-815d-a5a76df4a163}</author>
    <author>tc={62195684-ac0a-453e-bcd3-928c261c94d2}</author>
    <author>tc={1c7a0c64-db51-4b37-9cd4-c17fd7ff3fc5}</author>
    <author>tc={38e57ce4-c065-42d2-a37e-31c7bce35ba2}</author>
    <author>tc={215393ce-0363-469a-b086-66341dc6e856}</author>
    <author>tc={5231afd6-6b50-497b-9ef8-25a3900c8ee8}</author>
    <author>tc={d6f0e72d-dc97-4385-acf3-7fb8c265b35c}</author>
    <author>tc={b2ca26dd-62df-48bf-ae05-7fc34f0fc27b}</author>
    <author>tc={50f5b86d-2597-47d2-8480-5a0e0398feaf}</author>
    <author>tc={de869b77-6c0f-4158-b0ec-b2c47c552cf0}</author>
    <author>tc={f2d9fd3e-0626-40ff-952e-29370dc80eb3}</author>
    <author>tc={ec3fb578-6ccd-45ed-920c-2ef8400c7cd1}</author>
    <author>tc={7224b9c5-d923-4ad1-9eca-84051eac2401}</author>
    <author>tc={09bbd73e-66e3-4d70-8af3-f8ffbcd8e196}</author>
    <author>tc={8a7ffb42-1acc-4daa-a4a7-23403618854b}</author>
    <author>tc={ae2c51ad-21cb-4458-b68e-fcc92f837bfb}</author>
    <author>tc={d7877d49-4a5f-46d5-a1e4-51f0aee2312e}</author>
    <author>tc={bd0f2bab-6874-458d-9d99-f6ca7d73e2c6}</author>
    <author>tc={1219efc5-e311-4134-b2ae-e56cd03818ac}</author>
    <author>tc={1b4500b6-a89f-4e9e-b9d6-37f808576278}</author>
    <author>tc={d0ddac64-6cbc-4401-aa8a-29969cb7a184}</author>
    <author>tc={fc4068e6-aacc-412d-b039-094266aafcc2}</author>
    <author>tc={21cebebf-636f-4519-8a44-1749ce9f112f}</author>
    <author>tc={269ef816-415f-42dc-a008-d5dc3c521575}</author>
    <author>tc={7b45c5f9-2bd1-4b0d-979f-e3dbbe81802b}</author>
    <author>tc={5b5833da-c67b-4a5f-b6e0-dc0a0c2d00be}</author>
    <author>tc={e159c183-8e7c-43e3-9cf1-c634199b343f}</author>
    <author>tc={97f8c8d3-30fe-41c6-b2f7-57e462e621c2}</author>
    <author>tc={6c55e4df-7657-4f3b-949e-ec386f020147}</author>
    <author>tc={d228290a-9c48-431d-8f26-3da175f85761}</author>
    <author>tc={f9135503-0d87-4f6b-a6f0-6c38ec88e102}</author>
    <author>tc={2e6155bb-f47f-4a9d-a80f-51791fce29b2}</author>
    <author>tc={818bfe17-afed-429b-95ff-5586a0c0bb21}</author>
    <author>tc={3cf87c10-52bd-4a37-b804-f3271996d6fb}</author>
    <author>tc={cdfe070a-b221-4e53-b2e5-12eefd6b077a}</author>
    <author>tc={69614ae3-5c96-43a7-9505-0b7663804bc7}</author>
    <author>tc={e18ba2d2-853e-4944-8b34-8100199d368c}</author>
    <author>tc={ed195299-1776-434f-8028-7307e38d17e9}</author>
    <author>tc={13950560-afad-4459-aa73-f37efdb1c052}</author>
    <author>tc={d1db9e90-4248-42fa-b141-85d2793fc666}</author>
    <author>tc={00ac9479-2e0a-4929-a098-4cc746302ff9}</author>
    <author>tc={fc3d419a-a862-47e2-b21b-e82924a075ea}</author>
    <author>tc={4ebcea95-5fff-4d60-bde4-f7728688a0f4}</author>
    <author>tc={b43e512c-2523-4c23-bc1d-975dae3ec11e}</author>
    <author>tc={210fda5d-56ff-4ef3-a6c5-c08871f25a54}</author>
    <author>tc={2c0b2a34-8897-49c0-936d-6ddb20e39bfe}</author>
  </authors>
  <commentList>
    <comment ref="N98" authorId="0" shapeId="0" xr:uid="{BFCEB383-52DB-4AF9-A7C8-8981EAD6189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VPS
</t>
        </r>
      </text>
    </comment>
    <comment ref="AB98" authorId="1" shapeId="0" xr:uid="{4E9D79BB-C327-4AD5-9C9A-AB5ECD180A1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chatgpt
</t>
        </r>
      </text>
    </comment>
    <comment ref="J99" authorId="2" shapeId="0" xr:uid="{030154BB-73C9-4DC5-AF5F-8F13FA2EFAD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БСБ-банк обслуживание карты
</t>
        </r>
      </text>
    </comment>
    <comment ref="J104" authorId="3" shapeId="0" xr:uid="{A2261C27-0B47-465B-BD65-1E1282355FF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себе на карту БСБ
Reply:
	+ винлайн
</t>
        </r>
      </text>
    </comment>
    <comment ref="J156" authorId="4" shapeId="0" xr:uid="{F5E850B0-17F2-49A3-8555-195801B7ACB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G156" authorId="5" shapeId="0" xr:uid="{7337F0AE-A21E-45E1-B83A-2D46D4CA6C3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S170" authorId="6" shapeId="0" xr:uid="{D161E110-8674-42E4-8947-BEEE18A8CEF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Яндекс 360
</t>
        </r>
      </text>
    </comment>
    <comment ref="AD170" authorId="7" shapeId="0" xr:uid="{30A0C034-2EFB-4EAD-8994-E9B952002CB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chatgpt
</t>
        </r>
      </text>
    </comment>
    <comment ref="K171" authorId="8" shapeId="0" xr:uid="{2E83D91F-3BE3-4C31-A6C0-4330B9B9C39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снятие 1500+руб не в АТМ приорбанка
</t>
        </r>
      </text>
    </comment>
    <comment ref="K175" authorId="9" shapeId="0" xr:uid="{8B4E6181-70F4-4323-B863-63AD82BB72C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долг Нику (500usd+65byn)
</t>
        </r>
      </text>
    </comment>
    <comment ref="K176" authorId="10" shapeId="0" xr:uid="{4A3D257E-394D-4FE2-A90E-8343C7D0232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N176" authorId="11" shapeId="0" xr:uid="{FA5C295A-21E6-4D95-B5D1-2B89B7815E7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P176" authorId="12" shapeId="0" xr:uid="{971D92B4-1A6F-4B4C-A01F-811590039A6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Q176" authorId="13" shapeId="0" xr:uid="{828C2BB9-4B31-4293-AEEA-803D56FED4C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S176" authorId="14" shapeId="0" xr:uid="{174E96A8-77A1-4521-87F6-C0A2EE51677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F176" authorId="15" shapeId="0" xr:uid="{17BB31A0-20E0-4A5B-A553-F94097EB8C8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G176" authorId="16" shapeId="0" xr:uid="{5BE2D81C-4F98-42B3-BEA4-2D02D7CD160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H176" authorId="17" shapeId="0" xr:uid="{5F4FDF1F-6B50-4130-9E56-236502BD860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I176" authorId="18" shapeId="0" xr:uid="{39036762-A73F-43A1-9D1F-FF646C058F8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F227" authorId="19" shapeId="0" xr:uid="{F82943B0-2E33-4619-B349-54176B092C0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Нади
</t>
        </r>
      </text>
    </comment>
    <comment ref="S229" authorId="20" shapeId="0" xr:uid="{9534C0C6-7188-48A5-A8FC-3678D22060E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Вовы Нику на подарок
</t>
        </r>
      </text>
    </comment>
    <comment ref="K246" authorId="21" shapeId="0" xr:uid="{6E4CCF8C-1A3B-4932-A99D-FDEA11A9D06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Эду
</t>
        </r>
      </text>
    </comment>
    <comment ref="AF246" authorId="22" shapeId="0" xr:uid="{D2150910-0B18-465A-AF41-76BCB6D11CF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Лехе за застолье
</t>
        </r>
      </text>
    </comment>
    <comment ref="AH246" authorId="23" shapeId="0" xr:uid="{CC3E44AA-F9F9-4D11-8DBC-8D244FB765C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долги Вите и Максу за Москву
</t>
        </r>
      </text>
    </comment>
    <comment ref="G248" authorId="24" shapeId="0" xr:uid="{6ABC520B-057D-490B-AAAC-3E019BE20AD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J248" authorId="25" shapeId="0" xr:uid="{7C6EDE4B-C918-4BF5-8489-43A5FA60B19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K248" authorId="26" shapeId="0" xr:uid="{5BEBBE51-2452-49DE-B56C-6C26B17BF26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L248" authorId="27" shapeId="0" xr:uid="{EDE48332-554C-4B39-B730-6C576C3683E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M248" authorId="28" shapeId="0" xr:uid="{BCDEFB01-2965-4E26-9C02-30B3FE4A964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N248" authorId="29" shapeId="0" xr:uid="{00DE3566-AE13-4008-A9DF-59E697A277A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O248" authorId="30" shapeId="0" xr:uid="{8087AB9B-7E2A-4218-A642-6C9AAC39191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S248" authorId="31" shapeId="0" xr:uid="{A481045A-C175-4EA0-B234-2249730763B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T248" authorId="32" shapeId="0" xr:uid="{70A41DE2-D6A4-42AD-AB73-BDAA16C463E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V248" authorId="33" shapeId="0" xr:uid="{B2BBECFB-62E9-4711-8650-E53131C9198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W248" authorId="34" shapeId="0" xr:uid="{6336F393-CBFD-4797-BC49-7E668808AE1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Z248" authorId="35" shapeId="0" xr:uid="{938E7057-2A7B-49F1-9D5B-486D28090C6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G248" authorId="36" shapeId="0" xr:uid="{7189CFA5-8813-4C00-B7AF-F33A40DB9F4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уличный фотограф
</t>
        </r>
      </text>
    </comment>
    <comment ref="AG269" authorId="37" shapeId="0" xr:uid="{A4D2DEFD-D505-4796-8A67-D89C2DC1C8B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подарки
</t>
        </r>
      </text>
    </comment>
    <comment ref="S275" authorId="38" shapeId="0" xr:uid="{4E29F115-015E-4D2B-A9BF-AECC5B013E0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подарок маме на НГ
</t>
        </r>
      </text>
    </comment>
    <comment ref="AG275" authorId="39" shapeId="0" xr:uid="{17E56EA4-1418-4D62-B960-FC68B1B56DD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упаковка для тайного санты
</t>
        </r>
      </text>
    </comment>
    <comment ref="AD298" authorId="40" shapeId="0" xr:uid="{E75C5648-DD26-4F4D-88D2-75E769BA8D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Эда
</t>
        </r>
      </text>
    </comment>
    <comment ref="T299" authorId="41" shapeId="0" xr:uid="{3F22FA10-A619-418D-9245-FE95AB0FA75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Нади
</t>
        </r>
      </text>
    </comment>
    <comment ref="AB299" authorId="42" shapeId="0" xr:uid="{9B5749AC-6975-4EB6-BEB1-0984E5F7118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Нади
</t>
        </r>
      </text>
    </comment>
    <comment ref="F300" authorId="43" shapeId="0" xr:uid="{375FA7ED-A017-48CC-AEAE-3ABD0837ADE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D300" authorId="44" shapeId="0" xr:uid="{74B7A043-16A9-4654-80D2-169108978E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I300" authorId="45" shapeId="0" xr:uid="{BA205759-F58E-4A47-86B3-FF64AC50AC3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T304" authorId="46" shapeId="0" xr:uid="{5CB7E8B7-5FAB-458C-9FC3-3817C5A3C9E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Кацуры
</t>
        </r>
      </text>
    </comment>
    <comment ref="S305" authorId="47" shapeId="0" xr:uid="{7F2D19F7-3B34-44E2-8A7D-D7BB65B37A1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Эда
</t>
        </r>
      </text>
    </comment>
    <comment ref="Y305" authorId="48" shapeId="0" xr:uid="{6B81EA91-FC49-4160-BB96-EA5B2072BE3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мамы
</t>
        </r>
      </text>
    </comment>
    <comment ref="Z305" authorId="49" shapeId="0" xr:uid="{4BD799DE-466A-4F01-9DE6-0600B9739E7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коллег
</t>
        </r>
      </text>
    </comment>
    <comment ref="J317" authorId="50" shapeId="0" xr:uid="{BC6D08E4-4411-4AD9-9BA8-5E107E6BA9A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долг Валику вернул
</t>
        </r>
      </text>
    </comment>
    <comment ref="K317" authorId="51" shapeId="0" xr:uid="{98392F8E-3170-48E0-BB7E-685C9C00BD1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Кацуре
</t>
        </r>
      </text>
    </comment>
    <comment ref="Z318" authorId="52" shapeId="0" xr:uid="{002900AD-5B81-49B6-A743-FBBE37CA2B7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вернул Наде
</t>
        </r>
      </text>
    </comment>
    <comment ref="F319" authorId="53" shapeId="0" xr:uid="{74079E74-66A9-475F-A3EA-D895B92168C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G319" authorId="54" shapeId="0" xr:uid="{DDE38ABD-1656-4933-81FC-CC4A2411559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L319" authorId="55" shapeId="0" xr:uid="{D755A657-8860-4DF7-8733-EDCB03F7CD4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M319" authorId="56" shapeId="0" xr:uid="{1E3DD004-4298-4B80-8233-1AB17AF0443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U319" authorId="57" shapeId="0" xr:uid="{6B1E4436-C008-477B-BAE1-82D83B7668E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V319" authorId="58" shapeId="0" xr:uid="{D62153CC-86F8-405B-A866-AE5C9136440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Y319" authorId="59" shapeId="0" xr:uid="{3A745A27-8058-4B43-8601-3E15A72970D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Z319" authorId="60" shapeId="0" xr:uid="{235F8F7D-703E-4D57-B519-30462872911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A319" authorId="61" shapeId="0" xr:uid="{05282881-CC42-4BD5-AD07-9B7927BEEB6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C319" authorId="62" shapeId="0" xr:uid="{0A22D170-8CC1-4AEC-895F-07DA929D52A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D319" authorId="63" shapeId="0" xr:uid="{54E75483-467A-4227-B23F-07D4F96DA2D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G319" authorId="64" shapeId="0" xr:uid="{D2A99ABA-79D2-4334-ACF9-717067E2FAE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AI319" authorId="65" shapeId="0" xr:uid="{108AB7C8-9449-4F62-86F8-C6D5AC5AFFB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Андрею Круклинскому (впн)
</t>
        </r>
      </text>
    </comment>
    <comment ref="AF346" authorId="66" shapeId="0" xr:uid="{3BD01722-1B04-4420-9736-CB7FFB4C4AE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маме подарок
</t>
        </r>
      </text>
    </comment>
    <comment ref="O347" authorId="67" shapeId="0" xr:uid="{C7ACCCF4-4C1B-4213-8D0D-1E4F96CCD8F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Витю и на Егора
</t>
        </r>
      </text>
    </comment>
    <comment ref="W376" authorId="68" shapeId="0" xr:uid="{79EBA68D-5100-4301-8C80-9961FB6C153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Нади за пиво
</t>
        </r>
      </text>
    </comment>
    <comment ref="N390" authorId="69" shapeId="0" xr:uid="{B0E601F3-9D82-406F-A74F-425F75D3569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Максу за баню
</t>
        </r>
      </text>
    </comment>
    <comment ref="O390" authorId="70" shapeId="0" xr:uid="{F6A04F6F-49C4-4E09-B72E-25978EE463B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31,22 usd - ставки
</t>
        </r>
      </text>
    </comment>
    <comment ref="P390" authorId="71" shapeId="0" xr:uid="{413DDCFF-6CEE-46D6-AD9A-934C69E96B1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 ставки
</t>
        </r>
      </text>
    </comment>
    <comment ref="Q390" authorId="72" shapeId="0" xr:uid="{EF531AE7-65EF-4892-A83E-4E957EB0E87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50р Валик долг за бар + винлайн 90р ставка
</t>
        </r>
      </text>
    </comment>
    <comment ref="X390" authorId="73" shapeId="0" xr:uid="{AAD6995E-640E-40E3-A340-570716D575C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ставка 31,22usd + 20,85usd
</t>
        </r>
      </text>
    </comment>
    <comment ref="AB390" authorId="74" shapeId="0" xr:uid="{0FA6301C-4050-4610-8731-523F8CA4FA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ставки
</t>
        </r>
      </text>
    </comment>
    <comment ref="AC390" authorId="75" shapeId="0" xr:uid="{61752044-64F0-4D4E-8872-A6C9C5C7C8C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ставки
</t>
        </r>
      </text>
    </comment>
    <comment ref="AH390" authorId="76" shapeId="0" xr:uid="{2B795A1D-541B-4647-B667-CF510454A91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ставка
</t>
        </r>
      </text>
    </comment>
    <comment ref="AJ390" authorId="77" shapeId="0" xr:uid="{A2847994-8B9B-40A5-9FCA-8C21F2F3C9C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винлайн
</t>
        </r>
      </text>
    </comment>
    <comment ref="W402" authorId="78" shapeId="0" xr:uid="{CA5374C5-BB6C-4C1F-A717-DAF833EFBAA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пачки + зажигалка
</t>
        </r>
      </text>
    </comment>
    <comment ref="W404" authorId="79" shapeId="0" xr:uid="{C19F7522-647E-4C2E-905D-E1C1DF52409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бар пятница
</t>
        </r>
      </text>
    </comment>
    <comment ref="I406" authorId="80" shapeId="0" xr:uid="{38F8CA96-7EFD-40DA-9539-1CB53709667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обезбол + жидкость для глаз
</t>
        </r>
      </text>
    </comment>
    <comment ref="M406" authorId="81" shapeId="0" xr:uid="{CD3EB5C1-7BD0-48CC-91CB-61BAC9CDE44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спрей для носа и порошки
</t>
        </r>
      </text>
    </comment>
    <comment ref="W408" authorId="82" shapeId="0" xr:uid="{5E8FE0E3-9CA7-425F-8037-B096032A0CD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дезодорант
</t>
        </r>
      </text>
    </comment>
    <comment ref="L415" authorId="83" shapeId="0" xr:uid="{B637821B-F4DD-412A-B10B-EAAB20C190A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чайник
</t>
        </r>
      </text>
    </comment>
    <comment ref="W417" authorId="84" shapeId="0" xr:uid="{B3B4A89E-7979-4D67-A3C4-8509AC195DC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др Лехи
</t>
        </r>
      </text>
    </comment>
    <comment ref="F429" authorId="85" shapeId="0" xr:uid="{CA8DA068-41A5-4A5B-9942-8600D418142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кофе за баллы 4 + накопительная грин 0,18
</t>
        </r>
      </text>
    </comment>
    <comment ref="L429" authorId="86" shapeId="0" xr:uid="{3A1E84C6-B2A5-4DD0-AE66-D9AA208AEDD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кофе за баллы (4р) + 4,58 по промокоду чайник
</t>
        </r>
      </text>
    </comment>
    <comment ref="M429" authorId="87" shapeId="0" xr:uid="{90C45800-E111-4141-8756-F8356DD8C5D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капучино по баллам
</t>
        </r>
      </text>
    </comment>
    <comment ref="N429" authorId="88" shapeId="0" xr:uid="{89DE0EDA-2A60-405F-9073-AAFD143B114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баллы евроопт
</t>
        </r>
      </text>
    </comment>
    <comment ref="V429" authorId="89" shapeId="0" xr:uid="{089AFBB4-F126-4CAD-BC0F-A5F210592A6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скидка на пельмени грин
</t>
        </r>
      </text>
    </comment>
    <comment ref="S442" authorId="90" shapeId="0" xr:uid="{EF06FCC4-6F53-4E31-B9C9-F3539DB950F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вывел со ставок на инт (285usd)
</t>
        </r>
      </text>
    </comment>
    <comment ref="X456" authorId="91" shapeId="0" xr:uid="{055A905F-2D11-4865-A206-A497AD2F13F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Налог на имущество
</t>
        </r>
      </text>
    </comment>
    <comment ref="G459" authorId="92" shapeId="0" xr:uid="{136E9BF3-197E-47B4-A8D6-9E32EE47106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дал в долг Владу
</t>
        </r>
      </text>
    </comment>
    <comment ref="AA459" authorId="93" shapeId="0" xr:uid="{9105D0E1-3579-46C4-9DDB-91000BFD0B7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Диме в долг
</t>
        </r>
      </text>
    </comment>
    <comment ref="G461" authorId="94" shapeId="0" xr:uid="{8470FB2A-3B1F-4A57-BB4F-D3245B9EA92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донат Петушаре 1,25$ (100rub)
</t>
        </r>
      </text>
    </comment>
    <comment ref="N461" authorId="95" shapeId="0" xr:uid="{BA7C2120-3E6D-49DD-954C-95C83B5BDB5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Донат Петушаре (1,22usd*2)
</t>
        </r>
      </text>
    </comment>
    <comment ref="P461" authorId="96" shapeId="0" xr:uid="{28ED7BD7-B122-430E-B76E-AF602F79A14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31,22usd ставка
</t>
        </r>
      </text>
    </comment>
    <comment ref="Q461" authorId="97" shapeId="0" xr:uid="{32313DD6-AB8B-46FA-BF59-962A0370E8D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134,98usd на ставки
</t>
        </r>
      </text>
    </comment>
    <comment ref="V461" authorId="98" shapeId="0" xr:uid="{B36F365D-A0C3-4584-876C-6D5514CF3AC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Максу за баню
</t>
        </r>
      </text>
    </comment>
    <comment ref="T481" authorId="99" shapeId="0" xr:uid="{1301D42A-C393-4FC8-9031-C768A905CC2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No, I'm not a human
</t>
        </r>
      </text>
    </comment>
    <comment ref="W481" authorId="100" shapeId="0" xr:uid="{EBC36F89-8F9F-4F3A-BDAD-19C208078AC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Игры в стиме yes your grace &amp; ni no kuni (6,06 usd)
</t>
        </r>
      </text>
    </comment>
    <comment ref="Z481" authorId="101" shapeId="0" xr:uid="{F721560B-E098-4C72-AF7A-1C4CCBC3825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Лёхе подарок The Alters (13,99usd)
</t>
        </r>
      </text>
    </comment>
    <comment ref="AH481" authorId="102" shapeId="0" xr:uid="{9FD652EE-357E-421C-B311-08425D2561A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подарок Владу CloverPit (5,66usd)
</t>
        </r>
      </text>
    </comment>
    <comment ref="J487" authorId="103" shapeId="0" xr:uid="{F6DB6D03-4F05-41E7-AE4D-DBFCA77D99A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Камера от Ника
</t>
        </r>
      </text>
    </comment>
    <comment ref="AB488" authorId="104" shapeId="0" xr:uid="{C2F00989-0546-4FCA-8D71-18351ECF880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ДР Насти коллеге
</t>
        </r>
      </text>
    </comment>
    <comment ref="N489" authorId="105" shapeId="0" xr:uid="{B177AE49-6225-4958-914F-6F979892A5F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Розочка Наде
</t>
        </r>
      </text>
    </comment>
    <comment ref="Z500" authorId="106" shapeId="0" xr:uid="{EDC5D278-68B3-4A8C-86DE-149ED3F899C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Купоны грин
</t>
        </r>
      </text>
    </comment>
    <comment ref="AF500" authorId="107" shapeId="0" xr:uid="{E9ECE19D-2D1C-41AE-817E-CDC6CCE215C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Корона Замок скидка на кулинарию
</t>
        </r>
      </text>
    </comment>
    <comment ref="J507" authorId="108" shapeId="0" xr:uid="{54A0128A-83FA-4268-98D2-CCB22F8418C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ЗП + отпускные
</t>
        </r>
      </text>
    </comment>
    <comment ref="L512" authorId="109" shapeId="0" xr:uid="{C848747F-6D38-4AC5-8EE5-5AF5029796A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пиво и орешки от Димы
</t>
        </r>
      </text>
    </comment>
    <comment ref="T526" authorId="110" shapeId="0" xr:uid="{C3B508BB-1904-4966-B143-0283915790C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16,99$ Google Drive 100gb
</t>
        </r>
      </text>
    </comment>
    <comment ref="AA526" authorId="111" shapeId="0" xr:uid="{A130E439-FC12-4A8F-9807-B94423318AE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грок
</t>
        </r>
      </text>
    </comment>
    <comment ref="J527" authorId="112" shapeId="0" xr:uid="{E473FD48-BF5D-41E0-ACDA-93A40BB392F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письмо Димы
</t>
        </r>
      </text>
    </comment>
    <comment ref="I530" authorId="113" shapeId="0" xr:uid="{2CB03C19-FE85-4597-BFA5-35B19C60753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Валику за шашлык
</t>
        </r>
      </text>
    </comment>
    <comment ref="AD530" authorId="114" shapeId="0" xr:uid="{0B94CACD-73F7-4663-8FF3-8928C8B87F4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Владу за водку
</t>
        </r>
      </text>
    </comment>
    <comment ref="V538" authorId="115" shapeId="0" xr:uid="{C71A0D66-9320-432C-9EEB-96B75838B26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Диме орешки и кола зиро 2л (20руб)
</t>
        </r>
      </text>
    </comment>
    <comment ref="AA544" authorId="116" shapeId="0" xr:uid="{92E0EBA9-923E-451B-AFB8-9D305C87888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Диме для вейпа 16,99
</t>
        </r>
      </text>
    </comment>
    <comment ref="L546" authorId="117" shapeId="0" xr:uid="{008BD84B-EDA2-49EE-815D-A5A76DF4A16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Диме пиво
</t>
        </r>
      </text>
    </comment>
    <comment ref="AA552" authorId="118" shapeId="0" xr:uid="{62195684-AC0A-453E-BCD3-928C261C94D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Наде мунлайтер
</t>
        </r>
      </text>
    </comment>
    <comment ref="O553" authorId="119" shapeId="0" xr:uid="{1C7A0C64-DB51-4B37-9CD4-C17FD7FF3FC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Л-теанин
</t>
        </r>
      </text>
    </comment>
    <comment ref="P560" authorId="120" shapeId="0" xr:uid="{38E57CE4-C065-42D2-A37E-31C7BCE35BA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стимдек Наде
</t>
        </r>
      </text>
    </comment>
    <comment ref="U563" authorId="121" shapeId="0" xr:uid="{215393CE-0363-469A-B086-66341DC6E85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Кино + фото
</t>
        </r>
      </text>
    </comment>
    <comment ref="P568" authorId="122" shapeId="0" xr:uid="{5231AFD6-6B50-497B-9EF8-25A3900C8EE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Молния рюкзака
</t>
        </r>
      </text>
    </comment>
    <comment ref="T581" authorId="123" shapeId="0" xr:uid="{D6F0E72D-DC97-4385-ACF3-7FB8C265B35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Надя за гравировку и такси и Дима за еду
</t>
        </r>
      </text>
    </comment>
    <comment ref="Z581" authorId="124" shapeId="0" xr:uid="{B2CA26DD-62DF-48BF-AE05-7FC34F0FC27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Марины за Кгд и от Димы за пиво и орешки
</t>
        </r>
      </text>
    </comment>
    <comment ref="AH582" authorId="125" shapeId="0" xr:uid="{50F5B86D-2597-47D2-8480-5A0E0398FEA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долг от Димы на магаз
</t>
        </r>
      </text>
    </comment>
    <comment ref="AG600" authorId="126" shapeId="0" xr:uid="{DE869B77-6C0F-4158-B0EC-B2C47C552CF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Калининград Оксане, Вите, Жене и Владу
</t>
        </r>
      </text>
    </comment>
    <comment ref="R601" authorId="127" shapeId="0" xr:uid="{F2D9FD3E-0626-40FF-952E-29370DC80EB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вернул Диме
</t>
        </r>
      </text>
    </comment>
    <comment ref="AI601" authorId="128" shapeId="0" xr:uid="{EC3FB578-6CCD-45ED-920C-2EF8400C7CD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вернул Диме с сотки
</t>
        </r>
      </text>
    </comment>
    <comment ref="Q619" authorId="129" shapeId="0" xr:uid="{7224B9C5-D923-4AD1-9ECA-84051EAC240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линзы (-2,5)
</t>
        </r>
      </text>
    </comment>
    <comment ref="G622" authorId="130" shapeId="0" xr:uid="{09BBD73E-66E3-4D70-8AF3-F8FFBCD8E19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ggsel games
</t>
        </r>
      </text>
    </comment>
    <comment ref="U622" authorId="131" shapeId="0" xr:uid="{8A7FFB42-1ACC-4DAA-A4A7-23403618854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подарок Валику даркест данжен
</t>
        </r>
      </text>
    </comment>
    <comment ref="AF623" authorId="132" shapeId="0" xr:uid="{AE2C51AD-21CB-4458-B68E-FCC92F837BF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телескоп, удочка и водонагреватель
</t>
        </r>
      </text>
    </comment>
    <comment ref="Q630" authorId="133" shapeId="0" xr:uid="{D7877D49-4A5F-46D5-A1E4-51F0AEE2312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Марину и Максима
</t>
        </r>
      </text>
    </comment>
    <comment ref="AE631" authorId="134" shapeId="0" xr:uid="{BD0F2BAB-6874-458D-9D99-F6CA7D73E2C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85+85 за байдарки (за себя и за Вову)
</t>
        </r>
      </text>
    </comment>
    <comment ref="T637" authorId="135" shapeId="0" xr:uid="{1219EFC5-E311-4134-B2AE-E56CD03818A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гравировка клавы на макбук Наде
</t>
        </r>
      </text>
    </comment>
    <comment ref="F650" authorId="136" shapeId="0" xr:uid="{1B4500B6-A89F-4E9E-B9D6-37F80857627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 Нади за заказ с вб подарок Леше
Reply:
	+такси
</t>
        </r>
      </text>
    </comment>
    <comment ref="K654" authorId="137" shapeId="0" xr:uid="{D0DDAC64-6CBC-4401-AA8A-29969CB7A18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возврат с вб
</t>
        </r>
      </text>
    </comment>
    <comment ref="AA665" authorId="138" shapeId="0" xr:uid="{FC4068E6-AACC-412D-B039-094266AAFCC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SuperGrok
</t>
        </r>
      </text>
    </comment>
    <comment ref="P669" authorId="139" shapeId="0" xr:uid="{21CEBEBF-636F-4519-8A44-1749CE9F112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Кацуре
</t>
        </r>
      </text>
    </comment>
    <comment ref="AB669" authorId="140" shapeId="0" xr:uid="{269EF816-415F-42DC-A008-D5DC3C52157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шашлык ребят с мили
</t>
        </r>
      </text>
    </comment>
    <comment ref="Y679" authorId="141" shapeId="0" xr:uid="{7B45C5F9-2BD1-4B0D-979F-E3DBBE81802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пицца на работе
Reply:
	+ 2 колы для Нины и для Оксаны
</t>
        </r>
      </text>
    </comment>
    <comment ref="I687" authorId="142" shapeId="0" xr:uid="{5B5833DA-C67B-4A5F-B6E0-DC0A0C2D00B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линзы
</t>
        </r>
      </text>
    </comment>
    <comment ref="M689" authorId="143" shapeId="0" xr:uid="{E159C183-8E7C-43E3-9CF1-C634199B343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жидкое мыло
</t>
        </r>
      </text>
    </comment>
    <comment ref="R691" authorId="144" shapeId="0" xr:uid="{97F8C8D3-30FE-41C6-B2F7-57E462E621C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Alters
</t>
        </r>
      </text>
    </comment>
    <comment ref="AE691" authorId="145" shapeId="0" xr:uid="{6C55E4DF-7657-4F3B-949E-EC386F02014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стим распродажа
</t>
        </r>
      </text>
    </comment>
    <comment ref="AF691" authorId="146" shapeId="0" xr:uid="{D228290A-9C48-431D-8F26-3DA175F8576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Наде дивинити
</t>
        </r>
      </text>
    </comment>
    <comment ref="AI691" authorId="147" shapeId="0" xr:uid="{F9135503-0D87-4F6B-A6F0-6C38EC88E10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распродажа стим
</t>
        </r>
      </text>
    </comment>
    <comment ref="K692" authorId="148" shapeId="0" xr:uid="{2E6155BB-F47F-4A9D-A80F-51791FCE29B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олд мани одежда
</t>
        </r>
      </text>
    </comment>
    <comment ref="M692" authorId="149" shapeId="0" xr:uid="{818BFE17-AFED-429B-95FF-5586A0C0BB2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ремень и сумка с вб
</t>
        </r>
      </text>
    </comment>
    <comment ref="AA692" authorId="150" shapeId="0" xr:uid="{3CF87C10-52BD-4A37-B804-F3271996D6F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Штаны и мышка с вб
</t>
        </r>
      </text>
    </comment>
    <comment ref="K698" authorId="151" shapeId="0" xr:uid="{CDFE070A-B221-4E53-B2E5-12EEFD6B077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сдал на др Кать на работе
</t>
        </r>
      </text>
    </comment>
    <comment ref="M698" authorId="152" shapeId="0" xr:uid="{69614AE3-5C96-43A7-9505-0B7663804BC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игра про котика Наде
</t>
        </r>
      </text>
    </comment>
    <comment ref="AD698" authorId="153" shapeId="0" xr:uid="{E18BA2D2-853E-4944-8B34-8100199D368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др коллегам
</t>
        </r>
      </text>
    </comment>
    <comment ref="J700" authorId="154" shapeId="0" xr:uid="{ED195299-1776-434F-8028-7307E38D17E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баня
</t>
        </r>
      </text>
    </comment>
    <comment ref="X702" authorId="155" shapeId="0" xr:uid="{13950560-AFAD-4459-AA73-F37EFDB1C05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Том Ям с Надей
</t>
        </r>
      </text>
    </comment>
    <comment ref="AB719" authorId="156" shapeId="0" xr:uid="{D1DB9E90-4248-42FA-B141-85D2793FC66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Эд отдал долг
</t>
        </r>
      </text>
    </comment>
    <comment ref="V736" authorId="157" shapeId="0" xr:uid="{00AC9479-2E0A-4929-A098-4CC746302FF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дал в долг Эду
</t>
        </r>
      </text>
    </comment>
    <comment ref="R754" authorId="158" shapeId="0" xr:uid="{FC3D419A-A862-47E2-B21B-E82924A075E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ежовик
</t>
        </r>
      </text>
    </comment>
    <comment ref="K766" authorId="159" shapeId="0" xr:uid="{4EBCEA95-5FFF-4D60-BDE4-F7728688A0F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др Ксюши
</t>
        </r>
      </text>
    </comment>
    <comment ref="Y767" authorId="160" shapeId="0" xr:uid="{B43E512C-2523-4C23-BC1D-975DAE3EC11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предоплата за баню Максу
</t>
        </r>
      </text>
    </comment>
    <comment ref="L805" authorId="161" shapeId="0" xr:uid="{210FDA5D-56FF-4EF3-A6C5-C08871F25A5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подарок книгу Руслику - Оксане
</t>
        </r>
      </text>
    </comment>
    <comment ref="M826" authorId="162" shapeId="0" xr:uid="{2C0B2A34-8897-49C0-936D-6DDB20E39BF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расширитель для носа
</t>
        </r>
      </text>
    </comment>
  </commentList>
</comments>
</file>

<file path=xl/sharedStrings.xml><?xml version="1.0" encoding="utf-8"?>
<sst xmlns="http://schemas.openxmlformats.org/spreadsheetml/2006/main" count="3713" uniqueCount="174">
  <si>
    <t>Кто</t>
  </si>
  <si>
    <t>Алкоголь</t>
  </si>
  <si>
    <t>Комментарий</t>
  </si>
  <si>
    <t>Валик</t>
  </si>
  <si>
    <t>Дима</t>
  </si>
  <si>
    <t>Надя</t>
  </si>
  <si>
    <t>Эд</t>
  </si>
  <si>
    <t>Я</t>
  </si>
  <si>
    <t>Январь 2026</t>
  </si>
  <si>
    <t>День</t>
  </si>
  <si>
    <t>вс</t>
  </si>
  <si>
    <t>пн</t>
  </si>
  <si>
    <t>вт</t>
  </si>
  <si>
    <t>ср</t>
  </si>
  <si>
    <t>чт</t>
  </si>
  <si>
    <t>пт</t>
  </si>
  <si>
    <t>сб</t>
  </si>
  <si>
    <t>Общий</t>
  </si>
  <si>
    <t>BYN 💳</t>
  </si>
  <si>
    <t>BYN 💶</t>
  </si>
  <si>
    <t>Счет</t>
  </si>
  <si>
    <t>Всего</t>
  </si>
  <si>
    <t>💳+💶</t>
  </si>
  <si>
    <t>Профицит</t>
  </si>
  <si>
    <t>Доход</t>
  </si>
  <si>
    <t>ЗП</t>
  </si>
  <si>
    <t>Дополнительный</t>
  </si>
  <si>
    <t>Находка</t>
  </si>
  <si>
    <t>Долг+</t>
  </si>
  <si>
    <t>Переводы+</t>
  </si>
  <si>
    <t>Возврат</t>
  </si>
  <si>
    <t>Подарок+</t>
  </si>
  <si>
    <t>Сумма</t>
  </si>
  <si>
    <t>Счета</t>
  </si>
  <si>
    <t>Коммуналка</t>
  </si>
  <si>
    <t>Телефон</t>
  </si>
  <si>
    <t>Интернет</t>
  </si>
  <si>
    <t>Проезд</t>
  </si>
  <si>
    <t>Подписки</t>
  </si>
  <si>
    <t>Налоги/Комиссии</t>
  </si>
  <si>
    <t>Штрафы</t>
  </si>
  <si>
    <t>Долги-</t>
  </si>
  <si>
    <t>Переводы-</t>
  </si>
  <si>
    <t>Потеря/Украдено</t>
  </si>
  <si>
    <t>Подарок-</t>
  </si>
  <si>
    <t>Расходники</t>
  </si>
  <si>
    <t>Продукты/Бытовые расходники</t>
  </si>
  <si>
    <t>Снэки/Сладости</t>
  </si>
  <si>
    <t>Обед на работе</t>
  </si>
  <si>
    <t>Кофейни/Кофе</t>
  </si>
  <si>
    <t>Сигареты</t>
  </si>
  <si>
    <t>Аптека/Мед услуги/БАДы</t>
  </si>
  <si>
    <t>Гигиена/Бытовая химия</t>
  </si>
  <si>
    <t>Покупки</t>
  </si>
  <si>
    <t>Игры/Софт/Курсы</t>
  </si>
  <si>
    <t>Инет заказы</t>
  </si>
  <si>
    <t>Одежда</t>
  </si>
  <si>
    <t>Техника/Инструменты/Разное</t>
  </si>
  <si>
    <t>Мероприятия</t>
  </si>
  <si>
    <t>Дни рождения/Подарки</t>
  </si>
  <si>
    <t>Отдых/Путешествие</t>
  </si>
  <si>
    <t>Заведения</t>
  </si>
  <si>
    <t>Тренировки</t>
  </si>
  <si>
    <t>Услуги</t>
  </si>
  <si>
    <t>Ремонт/сервисный центр</t>
  </si>
  <si>
    <t>Барбер</t>
  </si>
  <si>
    <t>Скидка/кешбек</t>
  </si>
  <si>
    <t>Февраль 2026</t>
  </si>
  <si>
    <t>Декабрь 2025</t>
  </si>
  <si>
    <t>Ноябрь 2025</t>
  </si>
  <si>
    <t>Октябрь 2025</t>
  </si>
  <si>
    <t>Сентябрь 2025</t>
  </si>
  <si>
    <t>Август 2025</t>
  </si>
  <si>
    <t>Июль 2025</t>
  </si>
  <si>
    <t>Июнь 2025</t>
  </si>
  <si>
    <t>Ремонт</t>
  </si>
  <si>
    <t>Май 2025</t>
  </si>
  <si>
    <t>Апрель 2025</t>
  </si>
  <si>
    <t>Аптека/Мед услуги</t>
  </si>
  <si>
    <t>Март 2025</t>
  </si>
  <si>
    <t>Февраль 2025</t>
  </si>
  <si>
    <t>Январь 2025</t>
  </si>
  <si>
    <t>Декабрь 2024</t>
  </si>
  <si>
    <t>Перелив</t>
  </si>
  <si>
    <t>С карты в нал</t>
  </si>
  <si>
    <t>Нал на карту</t>
  </si>
  <si>
    <t>Обмен на валюту</t>
  </si>
  <si>
    <t>Ноябрь 2024</t>
  </si>
  <si>
    <t>Дни рождения/Праздники</t>
  </si>
  <si>
    <t>Октябрь 2024</t>
  </si>
  <si>
    <t>Сентябрь 2024</t>
  </si>
  <si>
    <t>Проезд/Оплати</t>
  </si>
  <si>
    <t>Август 2024</t>
  </si>
  <si>
    <t>Бюджет</t>
  </si>
  <si>
    <t>Накопление</t>
  </si>
  <si>
    <t>Июль 2024</t>
  </si>
  <si>
    <t>Бюджет/Прогноз</t>
  </si>
  <si>
    <t>Аптека</t>
  </si>
  <si>
    <t>Июнь 2024</t>
  </si>
  <si>
    <t>Май 2024</t>
  </si>
  <si>
    <t>Апрель 2024</t>
  </si>
  <si>
    <t>Потрачено</t>
  </si>
  <si>
    <t>Остаток на неделю</t>
  </si>
  <si>
    <t>Март 2026</t>
  </si>
  <si>
    <t>Дата</t>
  </si>
  <si>
    <t>Ксюша</t>
  </si>
  <si>
    <t>что</t>
  </si>
  <si>
    <t>Кому</t>
  </si>
  <si>
    <t>Должен</t>
  </si>
  <si>
    <t>Валюта</t>
  </si>
  <si>
    <t>До какого</t>
  </si>
  <si>
    <t>Нал/Карта</t>
  </si>
  <si>
    <t>Статус</t>
  </si>
  <si>
    <t>Сколько возврат</t>
  </si>
  <si>
    <t>Одолжил</t>
  </si>
  <si>
    <t>Владу</t>
  </si>
  <si>
    <t>BYN</t>
  </si>
  <si>
    <t>карта+нал</t>
  </si>
  <si>
    <t>отпустил</t>
  </si>
  <si>
    <t>подарил шматок сала (можно скинуть)
вероятно отпущу</t>
  </si>
  <si>
    <t>Вове</t>
  </si>
  <si>
    <t>с карты</t>
  </si>
  <si>
    <t>списал за дизайн на худи для ребят (на работе)</t>
  </si>
  <si>
    <t>21-22.12.2024</t>
  </si>
  <si>
    <t>Руслику</t>
  </si>
  <si>
    <t>RUB</t>
  </si>
  <si>
    <t>нал</t>
  </si>
  <si>
    <t>Вите</t>
  </si>
  <si>
    <t>отпустил (+ я за Москву отдал меньше)</t>
  </si>
  <si>
    <t>Мне</t>
  </si>
  <si>
    <t>вернул</t>
  </si>
  <si>
    <t>31р за подарки Ване, остальное за бар</t>
  </si>
  <si>
    <t>узнать сколько за оливки</t>
  </si>
  <si>
    <t>висит</t>
  </si>
  <si>
    <t>Нику</t>
  </si>
  <si>
    <t>Ник</t>
  </si>
  <si>
    <t>стим+пополнение стима+очки+ комплект к очкам
+2400 rub (30usd) на стим акк (1 316,27 BYN) - вернул 500usd + 65byn</t>
  </si>
  <si>
    <t>Диме</t>
  </si>
  <si>
    <t>Кацуре</t>
  </si>
  <si>
    <t>Эду</t>
  </si>
  <si>
    <t>Что</t>
  </si>
  <si>
    <t>Сколько</t>
  </si>
  <si>
    <t>Когда</t>
  </si>
  <si>
    <t>https://grok.com</t>
  </si>
  <si>
    <r>
      <rPr>
        <sz val="12"/>
        <color theme="1"/>
        <rFont val="Arial"/>
      </rPr>
      <t>30 USD/</t>
    </r>
    <r>
      <rPr>
        <b/>
        <sz val="12"/>
        <color theme="1"/>
        <rFont val="Arial"/>
      </rPr>
      <t>per month</t>
    </r>
  </si>
  <si>
    <r>
      <rPr>
        <sz val="12"/>
        <color theme="1"/>
        <rFont val="Arial"/>
      </rPr>
      <t>22/</t>
    </r>
    <r>
      <rPr>
        <b/>
        <sz val="12"/>
        <color theme="1"/>
        <rFont val="Arial"/>
      </rPr>
      <t>per month</t>
    </r>
  </si>
  <si>
    <t>чатгпт дешевле и лучше (но пока не доступно к подписке из блр)</t>
  </si>
  <si>
    <t>отменил, конец 22 января 2026</t>
  </si>
  <si>
    <t>https://play.google.com/store/account/subscriptions</t>
  </si>
  <si>
    <r>
      <rPr>
        <sz val="12"/>
        <color theme="1"/>
        <rFont val="Arial"/>
      </rPr>
      <t xml:space="preserve">16,99 USD </t>
    </r>
    <r>
      <rPr>
        <b/>
        <sz val="12"/>
        <color theme="1"/>
        <rFont val="Arial"/>
      </rPr>
      <t>first year</t>
    </r>
    <r>
      <rPr>
        <sz val="12"/>
        <color theme="1"/>
        <rFont val="Arial"/>
      </rPr>
      <t xml:space="preserve">/ 19,99 USD </t>
    </r>
    <r>
      <rPr>
        <b/>
        <sz val="12"/>
        <color theme="1"/>
        <rFont val="Arial"/>
      </rPr>
      <t>per year</t>
    </r>
  </si>
  <si>
    <r>
      <rPr>
        <sz val="12"/>
        <color theme="1"/>
        <rFont val="Arial"/>
      </rPr>
      <t>15 august/</t>
    </r>
    <r>
      <rPr>
        <b/>
        <sz val="12"/>
        <color theme="1"/>
        <rFont val="Arial"/>
      </rPr>
      <t>per year</t>
    </r>
  </si>
  <si>
    <t>отписаться и подписаться на яндекс диск (дешевле и больше)</t>
  </si>
  <si>
    <t>отменил, конец рабочего периода 15 августа 2026</t>
  </si>
  <si>
    <t>https://360.yandex.by/my-space/</t>
  </si>
  <si>
    <r>
      <rPr>
        <sz val="12"/>
        <color theme="1"/>
        <rFont val="Arial"/>
      </rPr>
      <t xml:space="preserve">87 BYN </t>
    </r>
    <r>
      <rPr>
        <b/>
        <sz val="12"/>
        <color theme="1"/>
        <rFont val="Arial"/>
      </rPr>
      <t>первый год</t>
    </r>
    <r>
      <rPr>
        <sz val="12"/>
        <color theme="1"/>
        <rFont val="Arial"/>
      </rPr>
      <t>/108.69 BYN в год</t>
    </r>
  </si>
  <si>
    <t>14 января каждый год</t>
  </si>
  <si>
    <t>оплатил со сбербанка</t>
  </si>
  <si>
    <t>https://chatgpt.com/</t>
  </si>
  <si>
    <t>19 (23) eur/month</t>
  </si>
  <si>
    <r>
      <rPr>
        <sz val="12"/>
        <color theme="1"/>
        <rFont val="Arial"/>
      </rPr>
      <t>25/</t>
    </r>
    <r>
      <rPr>
        <b/>
        <sz val="12"/>
        <color theme="1"/>
        <rFont val="Arial"/>
      </rPr>
      <t>per month</t>
    </r>
  </si>
  <si>
    <t>https://portal.massivegrid.com/clientarea.php?action=productdetails&amp;id=30054</t>
  </si>
  <si>
    <t>4.79 USD/month</t>
  </si>
  <si>
    <t>9/per month</t>
  </si>
  <si>
    <t>валютная карта приорбанк 0947</t>
  </si>
  <si>
    <t>до 09/27</t>
  </si>
  <si>
    <t>основная карта приорбанк 9978</t>
  </si>
  <si>
    <t>до 04/28</t>
  </si>
  <si>
    <t>карта сбербанк 5616</t>
  </si>
  <si>
    <t>до 03/30</t>
  </si>
  <si>
    <t>карта BSB банк</t>
  </si>
  <si>
    <t>12 EUR/year</t>
  </si>
  <si>
    <t>до 01/28</t>
  </si>
  <si>
    <t>виртуальная карта Технобанк</t>
  </si>
  <si>
    <t>до 01/29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</si>
</sst>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m\.yyyy"/>
    <numFmt numFmtId="165" formatCode="dd\.mm\.yyyy"/>
  </numFmts>
  <fonts count="32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i/>
      <sz val="10"/>
      <color theme="1"/>
      <name val="Arial"/>
    </font>
    <font>
      <sz val="10"/>
      <name val="Arial"/>
    </font>
    <font>
      <b/>
      <i/>
      <sz val="10"/>
      <color rgb="FFFFFFFF"/>
      <name val="Arial"/>
    </font>
    <font>
      <b/>
      <sz val="13"/>
      <color theme="1"/>
      <name val="Arial"/>
    </font>
    <font>
      <i/>
      <sz val="10"/>
      <color theme="1"/>
      <name val="Arial"/>
      <scheme val="minor"/>
    </font>
    <font>
      <sz val="10"/>
      <color rgb="FFFFFFFF"/>
      <name val="Arial"/>
      <scheme val="minor"/>
    </font>
    <font>
      <sz val="13"/>
      <color theme="1"/>
      <name val="Montserrat"/>
    </font>
    <font>
      <b/>
      <sz val="14"/>
      <color rgb="FFFFFFFF"/>
      <name val="Montserrat"/>
    </font>
    <font>
      <b/>
      <i/>
      <sz val="13"/>
      <color rgb="FFFFFFFF"/>
      <name val="Montserrat"/>
    </font>
    <font>
      <b/>
      <i/>
      <sz val="13"/>
      <color theme="1"/>
      <name val="Montserrat"/>
    </font>
    <font>
      <b/>
      <sz val="14"/>
      <color theme="1"/>
      <name val="Montserrat"/>
    </font>
    <font>
      <b/>
      <sz val="13"/>
      <color rgb="FFCCCCCC"/>
      <name val="Montserrat"/>
    </font>
    <font>
      <b/>
      <sz val="13"/>
      <color rgb="FF000000"/>
      <name val="Montserrat"/>
    </font>
    <font>
      <sz val="13"/>
      <color rgb="FFCCCCCC"/>
      <name val="Montserrat"/>
    </font>
    <font>
      <sz val="13"/>
      <color rgb="FF000000"/>
      <name val="Montserrat"/>
    </font>
    <font>
      <b/>
      <sz val="13"/>
      <color rgb="FFFFFFFF"/>
      <name val="Montserrat"/>
    </font>
    <font>
      <b/>
      <sz val="13"/>
      <color theme="1"/>
      <name val="Montserrat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b/>
      <sz val="12"/>
      <color rgb="FFFFFFFF"/>
      <name val="Roboto"/>
    </font>
    <font>
      <u/>
      <sz val="12"/>
      <color rgb="FF0000FF"/>
      <name val="Arial"/>
    </font>
    <font>
      <u/>
      <sz val="12"/>
      <color rgb="FF0000FF"/>
      <name val="Arial"/>
    </font>
    <font>
      <sz val="12"/>
      <color theme="1"/>
      <name val="Arial"/>
    </font>
    <font>
      <b/>
      <sz val="12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85200C"/>
        <bgColor rgb="FF85200C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 style="thick">
        <color rgb="FF000000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rgb="FF000000"/>
      </left>
      <right/>
      <top style="medium">
        <color rgb="FFFFFFFF"/>
      </top>
      <bottom/>
      <diagonal/>
    </border>
    <border>
      <left/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000000"/>
      </left>
      <right/>
      <top/>
      <bottom style="medium">
        <color rgb="FFFFFFFF"/>
      </bottom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666666"/>
      </left>
      <right/>
      <top/>
      <bottom/>
      <diagonal/>
    </border>
  </borders>
  <cellStyleXfs count="1">
    <xf numFmtId="0" fontId="0" fillId="0" borderId="0"/>
  </cellStyleXfs>
  <cellXfs count="660">
    <xf numFmtId="0" fontId="0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>
      <alignment horizontal="center" vertical="center"/>
    </xf>
    <xf numFmtId="0" fontId="5" fillId="0" borderId="0" xfId="0" applyFont="1" applyAlignme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4" borderId="0" xfId="0" applyFont="1" applyFill="1" applyAlignment="1"/>
    <xf numFmtId="0" fontId="5" fillId="5" borderId="0" xfId="0" applyFont="1" applyFill="1" applyAlignment="1"/>
    <xf numFmtId="0" fontId="5" fillId="3" borderId="0" xfId="0" applyFont="1" applyFill="1" applyAlignment="1"/>
    <xf numFmtId="0" fontId="6" fillId="5" borderId="0" xfId="0" applyFont="1" applyFill="1" applyAlignment="1"/>
    <xf numFmtId="0" fontId="6" fillId="4" borderId="8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5" fillId="4" borderId="0" xfId="0" applyFont="1" applyFill="1" applyAlignment="1">
      <alignment horizontal="right"/>
    </xf>
    <xf numFmtId="0" fontId="5" fillId="4" borderId="2" xfId="0" applyFont="1" applyFill="1" applyBorder="1" applyAlignment="1">
      <alignment wrapText="1"/>
    </xf>
    <xf numFmtId="0" fontId="5" fillId="5" borderId="3" xfId="0" applyFont="1" applyFill="1" applyBorder="1" applyAlignment="1"/>
    <xf numFmtId="0" fontId="5" fillId="5" borderId="7" xfId="0" applyFont="1" applyFill="1" applyBorder="1" applyAlignment="1"/>
    <xf numFmtId="0" fontId="5" fillId="5" borderId="2" xfId="0" applyFont="1" applyFill="1" applyBorder="1" applyAlignment="1"/>
    <xf numFmtId="0" fontId="5" fillId="5" borderId="2" xfId="0" applyFont="1" applyFill="1" applyBorder="1" applyAlignment="1">
      <alignment horizontal="right"/>
    </xf>
    <xf numFmtId="0" fontId="5" fillId="5" borderId="2" xfId="0" applyFont="1" applyFill="1" applyBorder="1" applyAlignment="1"/>
    <xf numFmtId="0" fontId="5" fillId="5" borderId="9" xfId="0" applyFont="1" applyFill="1" applyBorder="1" applyAlignment="1"/>
    <xf numFmtId="0" fontId="5" fillId="5" borderId="3" xfId="0" applyFont="1" applyFill="1" applyBorder="1" applyAlignment="1">
      <alignment horizontal="right"/>
    </xf>
    <xf numFmtId="0" fontId="5" fillId="5" borderId="0" xfId="0" applyFont="1" applyFill="1" applyAlignment="1">
      <alignment horizontal="right"/>
    </xf>
    <xf numFmtId="0" fontId="8" fillId="3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5" fillId="5" borderId="9" xfId="0" applyFont="1" applyFill="1" applyBorder="1" applyAlignment="1"/>
    <xf numFmtId="0" fontId="5" fillId="5" borderId="8" xfId="0" applyFont="1" applyFill="1" applyBorder="1" applyAlignment="1"/>
    <xf numFmtId="0" fontId="5" fillId="5" borderId="9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4" borderId="2" xfId="0" applyFont="1" applyFill="1" applyBorder="1" applyAlignment="1"/>
    <xf numFmtId="0" fontId="5" fillId="4" borderId="9" xfId="0" applyFont="1" applyFill="1" applyBorder="1" applyAlignment="1"/>
    <xf numFmtId="0" fontId="5" fillId="4" borderId="8" xfId="0" applyFont="1" applyFill="1" applyBorder="1" applyAlignment="1"/>
    <xf numFmtId="0" fontId="5" fillId="4" borderId="9" xfId="0" applyFont="1" applyFill="1" applyBorder="1" applyAlignment="1">
      <alignment horizontal="right"/>
    </xf>
    <xf numFmtId="0" fontId="5" fillId="5" borderId="4" xfId="0" applyFont="1" applyFill="1" applyBorder="1" applyAlignment="1"/>
    <xf numFmtId="0" fontId="5" fillId="4" borderId="5" xfId="0" applyFont="1" applyFill="1" applyBorder="1" applyAlignment="1">
      <alignment horizontal="right"/>
    </xf>
    <xf numFmtId="0" fontId="5" fillId="5" borderId="0" xfId="0" applyFont="1" applyFill="1" applyAlignment="1"/>
    <xf numFmtId="0" fontId="5" fillId="4" borderId="0" xfId="0" applyFont="1" applyFill="1" applyAlignment="1"/>
    <xf numFmtId="0" fontId="5" fillId="4" borderId="9" xfId="0" applyFont="1" applyFill="1" applyBorder="1" applyAlignment="1"/>
    <xf numFmtId="0" fontId="5" fillId="5" borderId="8" xfId="0" applyFont="1" applyFill="1" applyBorder="1" applyAlignment="1">
      <alignment horizontal="right"/>
    </xf>
    <xf numFmtId="0" fontId="5" fillId="5" borderId="10" xfId="0" applyFont="1" applyFill="1" applyBorder="1" applyAlignment="1"/>
    <xf numFmtId="0" fontId="5" fillId="4" borderId="6" xfId="0" applyFont="1" applyFill="1" applyBorder="1" applyAlignment="1"/>
    <xf numFmtId="0" fontId="5" fillId="4" borderId="11" xfId="0" applyFont="1" applyFill="1" applyBorder="1" applyAlignment="1"/>
    <xf numFmtId="0" fontId="5" fillId="4" borderId="6" xfId="0" applyFont="1" applyFill="1" applyBorder="1" applyAlignment="1">
      <alignment horizontal="right"/>
    </xf>
    <xf numFmtId="0" fontId="6" fillId="4" borderId="0" xfId="0" applyFont="1" applyFill="1" applyAlignment="1">
      <alignment horizontal="center" vertical="center"/>
    </xf>
    <xf numFmtId="0" fontId="5" fillId="4" borderId="3" xfId="0" applyFont="1" applyFill="1" applyBorder="1" applyAlignment="1"/>
    <xf numFmtId="0" fontId="5" fillId="6" borderId="0" xfId="0" applyFont="1" applyFill="1" applyAlignment="1">
      <alignment horizontal="right"/>
    </xf>
    <xf numFmtId="0" fontId="5" fillId="7" borderId="12" xfId="0" applyFont="1" applyFill="1" applyBorder="1" applyAlignment="1">
      <alignment wrapText="1"/>
    </xf>
    <xf numFmtId="0" fontId="5" fillId="8" borderId="13" xfId="0" applyFont="1" applyFill="1" applyBorder="1" applyAlignment="1"/>
    <xf numFmtId="0" fontId="5" fillId="8" borderId="14" xfId="0" applyFont="1" applyFill="1" applyBorder="1" applyAlignment="1"/>
    <xf numFmtId="0" fontId="5" fillId="8" borderId="15" xfId="0" applyFont="1" applyFill="1" applyBorder="1" applyAlignment="1"/>
    <xf numFmtId="0" fontId="5" fillId="8" borderId="15" xfId="0" applyFont="1" applyFill="1" applyBorder="1" applyAlignment="1">
      <alignment horizontal="right"/>
    </xf>
    <xf numFmtId="0" fontId="5" fillId="8" borderId="16" xfId="0" applyFont="1" applyFill="1" applyBorder="1" applyAlignment="1">
      <alignment horizontal="right"/>
    </xf>
    <xf numFmtId="0" fontId="5" fillId="8" borderId="17" xfId="0" applyFont="1" applyFill="1" applyBorder="1" applyAlignment="1"/>
    <xf numFmtId="0" fontId="5" fillId="7" borderId="17" xfId="0" applyFont="1" applyFill="1" applyBorder="1" applyAlignment="1">
      <alignment horizontal="right"/>
    </xf>
    <xf numFmtId="0" fontId="8" fillId="3" borderId="18" xfId="0" applyFont="1" applyFill="1" applyBorder="1" applyAlignment="1">
      <alignment horizontal="center"/>
    </xf>
    <xf numFmtId="0" fontId="5" fillId="7" borderId="9" xfId="0" applyFont="1" applyFill="1" applyBorder="1" applyAlignment="1"/>
    <xf numFmtId="0" fontId="5" fillId="7" borderId="0" xfId="0" applyFont="1" applyFill="1" applyAlignment="1"/>
    <xf numFmtId="0" fontId="5" fillId="7" borderId="0" xfId="0" applyFont="1" applyFill="1" applyAlignment="1">
      <alignment horizontal="right"/>
    </xf>
    <xf numFmtId="0" fontId="5" fillId="7" borderId="20" xfId="0" applyFont="1" applyFill="1" applyBorder="1" applyAlignment="1">
      <alignment horizontal="right"/>
    </xf>
    <xf numFmtId="0" fontId="5" fillId="8" borderId="0" xfId="0" applyFont="1" applyFill="1" applyAlignment="1"/>
    <xf numFmtId="0" fontId="5" fillId="7" borderId="0" xfId="0" applyFont="1" applyFill="1" applyAlignment="1">
      <alignment horizontal="right"/>
    </xf>
    <xf numFmtId="0" fontId="5" fillId="7" borderId="19" xfId="0" applyFont="1" applyFill="1" applyBorder="1" applyAlignment="1">
      <alignment wrapText="1"/>
    </xf>
    <xf numFmtId="0" fontId="5" fillId="8" borderId="9" xfId="0" applyFont="1" applyFill="1" applyBorder="1" applyAlignment="1"/>
    <xf numFmtId="0" fontId="5" fillId="8" borderId="8" xfId="0" applyFont="1" applyFill="1" applyBorder="1" applyAlignment="1"/>
    <xf numFmtId="0" fontId="5" fillId="8" borderId="0" xfId="0" applyFont="1" applyFill="1" applyAlignment="1">
      <alignment horizontal="right"/>
    </xf>
    <xf numFmtId="0" fontId="5" fillId="8" borderId="20" xfId="0" applyFont="1" applyFill="1" applyBorder="1" applyAlignment="1">
      <alignment horizontal="right"/>
    </xf>
    <xf numFmtId="0" fontId="5" fillId="8" borderId="0" xfId="0" applyFont="1" applyFill="1" applyAlignment="1">
      <alignment horizontal="right"/>
    </xf>
    <xf numFmtId="0" fontId="8" fillId="3" borderId="21" xfId="0" applyFont="1" applyFill="1" applyBorder="1" applyAlignment="1">
      <alignment horizontal="center"/>
    </xf>
    <xf numFmtId="0" fontId="5" fillId="8" borderId="20" xfId="0" applyFont="1" applyFill="1" applyBorder="1" applyAlignment="1"/>
    <xf numFmtId="0" fontId="5" fillId="7" borderId="23" xfId="0" applyFont="1" applyFill="1" applyBorder="1" applyAlignment="1"/>
    <xf numFmtId="0" fontId="5" fillId="7" borderId="24" xfId="0" applyFont="1" applyFill="1" applyBorder="1" applyAlignment="1"/>
    <xf numFmtId="0" fontId="5" fillId="7" borderId="25" xfId="0" applyFont="1" applyFill="1" applyBorder="1" applyAlignment="1"/>
    <xf numFmtId="0" fontId="5" fillId="7" borderId="26" xfId="0" applyFont="1" applyFill="1" applyBorder="1" applyAlignment="1">
      <alignment horizontal="right"/>
    </xf>
    <xf numFmtId="0" fontId="5" fillId="8" borderId="27" xfId="0" applyFont="1" applyFill="1" applyBorder="1" applyAlignment="1"/>
    <xf numFmtId="0" fontId="5" fillId="7" borderId="27" xfId="0" applyFont="1" applyFill="1" applyBorder="1" applyAlignment="1">
      <alignment horizontal="right"/>
    </xf>
    <xf numFmtId="0" fontId="5" fillId="7" borderId="0" xfId="0" applyFont="1" applyFill="1" applyAlignment="1">
      <alignment wrapText="1"/>
    </xf>
    <xf numFmtId="0" fontId="5" fillId="8" borderId="8" xfId="0" applyFont="1" applyFill="1" applyBorder="1" applyAlignment="1"/>
    <xf numFmtId="0" fontId="5" fillId="8" borderId="15" xfId="0" applyFont="1" applyFill="1" applyBorder="1" applyAlignment="1"/>
    <xf numFmtId="0" fontId="5" fillId="8" borderId="13" xfId="0" applyFont="1" applyFill="1" applyBorder="1" applyAlignment="1"/>
    <xf numFmtId="0" fontId="5" fillId="8" borderId="15" xfId="0" applyFont="1" applyFill="1" applyBorder="1" applyAlignment="1">
      <alignment horizontal="right"/>
    </xf>
    <xf numFmtId="0" fontId="5" fillId="8" borderId="13" xfId="0" applyFont="1" applyFill="1" applyBorder="1" applyAlignment="1">
      <alignment horizontal="right"/>
    </xf>
    <xf numFmtId="0" fontId="5" fillId="8" borderId="0" xfId="0" applyFont="1" applyFill="1" applyAlignment="1"/>
    <xf numFmtId="0" fontId="5" fillId="8" borderId="9" xfId="0" applyFont="1" applyFill="1" applyBorder="1" applyAlignment="1">
      <alignment horizontal="right"/>
    </xf>
    <xf numFmtId="0" fontId="5" fillId="8" borderId="10" xfId="0" applyFont="1" applyFill="1" applyBorder="1" applyAlignment="1">
      <alignment horizontal="right"/>
    </xf>
    <xf numFmtId="0" fontId="5" fillId="7" borderId="8" xfId="0" applyFont="1" applyFill="1" applyBorder="1" applyAlignment="1"/>
    <xf numFmtId="0" fontId="5" fillId="7" borderId="0" xfId="0" applyFont="1" applyFill="1" applyAlignment="1"/>
    <xf numFmtId="0" fontId="5" fillId="7" borderId="9" xfId="0" applyFont="1" applyFill="1" applyBorder="1" applyAlignment="1">
      <alignment horizontal="right"/>
    </xf>
    <xf numFmtId="0" fontId="5" fillId="8" borderId="4" xfId="0" applyFont="1" applyFill="1" applyBorder="1" applyAlignment="1"/>
    <xf numFmtId="0" fontId="5" fillId="7" borderId="5" xfId="0" applyFont="1" applyFill="1" applyBorder="1" applyAlignment="1">
      <alignment horizontal="right"/>
    </xf>
    <xf numFmtId="0" fontId="5" fillId="8" borderId="9" xfId="0" applyFont="1" applyFill="1" applyBorder="1" applyAlignment="1"/>
    <xf numFmtId="0" fontId="5" fillId="8" borderId="1" xfId="0" applyFont="1" applyFill="1" applyBorder="1" applyAlignment="1">
      <alignment horizontal="right"/>
    </xf>
    <xf numFmtId="0" fontId="5" fillId="7" borderId="2" xfId="0" applyFont="1" applyFill="1" applyBorder="1" applyAlignment="1"/>
    <xf numFmtId="0" fontId="5" fillId="8" borderId="8" xfId="0" applyFont="1" applyFill="1" applyBorder="1" applyAlignment="1">
      <alignment horizontal="right"/>
    </xf>
    <xf numFmtId="0" fontId="5" fillId="8" borderId="9" xfId="0" applyFont="1" applyFill="1" applyBorder="1" applyAlignment="1">
      <alignment horizontal="right"/>
    </xf>
    <xf numFmtId="0" fontId="5" fillId="7" borderId="6" xfId="0" applyFont="1" applyFill="1" applyBorder="1" applyAlignment="1"/>
    <xf numFmtId="0" fontId="5" fillId="7" borderId="11" xfId="0" applyFont="1" applyFill="1" applyBorder="1" applyAlignment="1"/>
    <xf numFmtId="0" fontId="5" fillId="7" borderId="6" xfId="0" applyFont="1" applyFill="1" applyBorder="1" applyAlignment="1">
      <alignment horizontal="right"/>
    </xf>
    <xf numFmtId="0" fontId="5" fillId="8" borderId="3" xfId="0" applyFont="1" applyFill="1" applyBorder="1" applyAlignment="1"/>
    <xf numFmtId="0" fontId="5" fillId="8" borderId="7" xfId="0" applyFont="1" applyFill="1" applyBorder="1" applyAlignment="1">
      <alignment horizontal="right"/>
    </xf>
    <xf numFmtId="0" fontId="5" fillId="8" borderId="2" xfId="0" applyFont="1" applyFill="1" applyBorder="1" applyAlignment="1"/>
    <xf numFmtId="0" fontId="5" fillId="8" borderId="2" xfId="0" applyFont="1" applyFill="1" applyBorder="1" applyAlignment="1">
      <alignment horizontal="right"/>
    </xf>
    <xf numFmtId="0" fontId="5" fillId="8" borderId="3" xfId="0" applyFont="1" applyFill="1" applyBorder="1" applyAlignment="1">
      <alignment horizontal="right"/>
    </xf>
    <xf numFmtId="0" fontId="5" fillId="8" borderId="2" xfId="0" applyFont="1" applyFill="1" applyBorder="1" applyAlignment="1">
      <alignment horizontal="right"/>
    </xf>
    <xf numFmtId="0" fontId="5" fillId="8" borderId="2" xfId="0" applyFont="1" applyFill="1" applyBorder="1" applyAlignment="1"/>
    <xf numFmtId="0" fontId="5" fillId="7" borderId="8" xfId="0" applyFont="1" applyFill="1" applyBorder="1" applyAlignment="1"/>
    <xf numFmtId="0" fontId="5" fillId="7" borderId="8" xfId="0" applyFont="1" applyFill="1" applyBorder="1" applyAlignment="1">
      <alignment horizontal="right"/>
    </xf>
    <xf numFmtId="0" fontId="5" fillId="7" borderId="9" xfId="0" applyFont="1" applyFill="1" applyBorder="1" applyAlignment="1"/>
    <xf numFmtId="0" fontId="5" fillId="8" borderId="8" xfId="0" applyFont="1" applyFill="1" applyBorder="1" applyAlignment="1">
      <alignment horizontal="right"/>
    </xf>
    <xf numFmtId="0" fontId="5" fillId="8" borderId="10" xfId="0" applyFont="1" applyFill="1" applyBorder="1" applyAlignment="1"/>
    <xf numFmtId="0" fontId="5" fillId="7" borderId="2" xfId="0" applyFont="1" applyFill="1" applyBorder="1" applyAlignment="1">
      <alignment wrapText="1"/>
    </xf>
    <xf numFmtId="0" fontId="5" fillId="8" borderId="7" xfId="0" applyFont="1" applyFill="1" applyBorder="1" applyAlignment="1"/>
    <xf numFmtId="0" fontId="6" fillId="2" borderId="29" xfId="0" applyFont="1" applyFill="1" applyBorder="1" applyAlignment="1">
      <alignment horizontal="center"/>
    </xf>
    <xf numFmtId="0" fontId="5" fillId="2" borderId="30" xfId="0" applyFont="1" applyFill="1" applyBorder="1" applyAlignment="1"/>
    <xf numFmtId="0" fontId="5" fillId="2" borderId="31" xfId="0" applyFont="1" applyFill="1" applyBorder="1" applyAlignment="1"/>
    <xf numFmtId="0" fontId="5" fillId="2" borderId="32" xfId="0" applyFont="1" applyFill="1" applyBorder="1" applyAlignment="1"/>
    <xf numFmtId="0" fontId="5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3" xfId="0" applyFont="1" applyFill="1" applyBorder="1" applyAlignment="1">
      <alignment horizontal="right"/>
    </xf>
    <xf numFmtId="0" fontId="5" fillId="2" borderId="31" xfId="0" applyFont="1" applyFill="1" applyBorder="1" applyAlignment="1">
      <alignment horizontal="right"/>
    </xf>
    <xf numFmtId="0" fontId="5" fillId="2" borderId="29" xfId="0" applyFont="1" applyFill="1" applyBorder="1" applyAlignment="1"/>
    <xf numFmtId="0" fontId="6" fillId="7" borderId="0" xfId="0" applyFont="1" applyFill="1" applyAlignment="1">
      <alignment horizontal="center"/>
    </xf>
    <xf numFmtId="0" fontId="5" fillId="7" borderId="8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0" fontId="5" fillId="11" borderId="0" xfId="0" applyFont="1" applyFill="1" applyAlignment="1">
      <alignment horizontal="right"/>
    </xf>
    <xf numFmtId="0" fontId="11" fillId="7" borderId="11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3" fillId="0" borderId="2" xfId="0" applyFont="1" applyBorder="1"/>
    <xf numFmtId="0" fontId="5" fillId="0" borderId="0" xfId="0" applyFont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0" xfId="0" applyFont="1" applyFill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5" fillId="12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5" fillId="5" borderId="8" xfId="0" applyFont="1" applyFill="1" applyBorder="1" applyAlignment="1">
      <alignment vertical="center"/>
    </xf>
    <xf numFmtId="0" fontId="5" fillId="12" borderId="9" xfId="0" applyFont="1" applyFill="1" applyBorder="1" applyAlignment="1">
      <alignment vertical="center"/>
    </xf>
    <xf numFmtId="0" fontId="5" fillId="5" borderId="9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5" borderId="0" xfId="0" applyFont="1" applyFill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vertical="center"/>
    </xf>
    <xf numFmtId="0" fontId="5" fillId="12" borderId="2" xfId="0" applyFont="1" applyFill="1" applyBorder="1" applyAlignment="1">
      <alignment vertical="center"/>
    </xf>
    <xf numFmtId="0" fontId="5" fillId="6" borderId="0" xfId="0" applyFont="1" applyFill="1" applyAlignment="1">
      <alignment horizontal="right" vertical="center"/>
    </xf>
    <xf numFmtId="0" fontId="5" fillId="8" borderId="9" xfId="0" applyFont="1" applyFill="1" applyBorder="1" applyAlignment="1">
      <alignment vertical="center"/>
    </xf>
    <xf numFmtId="0" fontId="5" fillId="8" borderId="14" xfId="0" applyFont="1" applyFill="1" applyBorder="1" applyAlignment="1">
      <alignment vertical="center"/>
    </xf>
    <xf numFmtId="0" fontId="5" fillId="8" borderId="15" xfId="0" applyFont="1" applyFill="1" applyBorder="1" applyAlignment="1">
      <alignment vertical="center"/>
    </xf>
    <xf numFmtId="0" fontId="5" fillId="8" borderId="15" xfId="0" applyFont="1" applyFill="1" applyBorder="1" applyAlignment="1">
      <alignment horizontal="right" vertical="center"/>
    </xf>
    <xf numFmtId="0" fontId="5" fillId="8" borderId="13" xfId="0" applyFont="1" applyFill="1" applyBorder="1" applyAlignment="1">
      <alignment vertical="center"/>
    </xf>
    <xf numFmtId="0" fontId="5" fillId="12" borderId="15" xfId="0" applyFont="1" applyFill="1" applyBorder="1" applyAlignment="1">
      <alignment vertical="center"/>
    </xf>
    <xf numFmtId="0" fontId="5" fillId="12" borderId="13" xfId="0" applyFont="1" applyFill="1" applyBorder="1" applyAlignment="1">
      <alignment vertical="center"/>
    </xf>
    <xf numFmtId="0" fontId="5" fillId="8" borderId="16" xfId="0" applyFont="1" applyFill="1" applyBorder="1" applyAlignment="1">
      <alignment horizontal="right" vertical="center"/>
    </xf>
    <xf numFmtId="0" fontId="5" fillId="8" borderId="17" xfId="0" applyFont="1" applyFill="1" applyBorder="1" applyAlignment="1">
      <alignment horizontal="right" vertical="center"/>
    </xf>
    <xf numFmtId="0" fontId="5" fillId="7" borderId="17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20" xfId="0" applyFont="1" applyFill="1" applyBorder="1" applyAlignment="1">
      <alignment horizontal="right" vertical="center"/>
    </xf>
    <xf numFmtId="0" fontId="5" fillId="8" borderId="0" xfId="0" applyFont="1" applyFill="1" applyAlignment="1">
      <alignment vertical="center"/>
    </xf>
    <xf numFmtId="0" fontId="5" fillId="7" borderId="0" xfId="0" applyFont="1" applyFill="1" applyAlignment="1">
      <alignment horizontal="right" vertical="center"/>
    </xf>
    <xf numFmtId="0" fontId="5" fillId="7" borderId="19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/>
    </xf>
    <xf numFmtId="0" fontId="5" fillId="8" borderId="0" xfId="0" applyFont="1" applyFill="1" applyAlignment="1">
      <alignment horizontal="right" vertical="center"/>
    </xf>
    <xf numFmtId="0" fontId="5" fillId="8" borderId="20" xfId="0" applyFont="1" applyFill="1" applyBorder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8" fillId="3" borderId="21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vertical="center"/>
    </xf>
    <xf numFmtId="0" fontId="5" fillId="7" borderId="24" xfId="0" applyFont="1" applyFill="1" applyBorder="1" applyAlignment="1">
      <alignment vertical="center"/>
    </xf>
    <xf numFmtId="0" fontId="5" fillId="7" borderId="25" xfId="0" applyFont="1" applyFill="1" applyBorder="1" applyAlignment="1">
      <alignment vertical="center"/>
    </xf>
    <xf numFmtId="0" fontId="5" fillId="12" borderId="25" xfId="0" applyFont="1" applyFill="1" applyBorder="1" applyAlignment="1">
      <alignment vertical="center"/>
    </xf>
    <xf numFmtId="0" fontId="5" fillId="12" borderId="23" xfId="0" applyFont="1" applyFill="1" applyBorder="1" applyAlignment="1">
      <alignment vertical="center"/>
    </xf>
    <xf numFmtId="0" fontId="5" fillId="7" borderId="26" xfId="0" applyFont="1" applyFill="1" applyBorder="1" applyAlignment="1">
      <alignment horizontal="right" vertical="center"/>
    </xf>
    <xf numFmtId="0" fontId="5" fillId="8" borderId="27" xfId="0" applyFont="1" applyFill="1" applyBorder="1" applyAlignment="1">
      <alignment vertical="center"/>
    </xf>
    <xf numFmtId="0" fontId="5" fillId="7" borderId="27" xfId="0" applyFont="1" applyFill="1" applyBorder="1" applyAlignment="1">
      <alignment horizontal="right" vertical="center"/>
    </xf>
    <xf numFmtId="0" fontId="5" fillId="7" borderId="0" xfId="0" applyFont="1" applyFill="1" applyAlignment="1">
      <alignment vertical="center" wrapText="1"/>
    </xf>
    <xf numFmtId="0" fontId="5" fillId="8" borderId="13" xfId="0" applyFont="1" applyFill="1" applyBorder="1" applyAlignment="1">
      <alignment horizontal="right" vertical="center"/>
    </xf>
    <xf numFmtId="0" fontId="5" fillId="8" borderId="15" xfId="0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5" fillId="8" borderId="10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vertical="center"/>
    </xf>
    <xf numFmtId="0" fontId="5" fillId="7" borderId="9" xfId="0" applyFont="1" applyFill="1" applyBorder="1" applyAlignment="1">
      <alignment horizontal="right" vertical="center"/>
    </xf>
    <xf numFmtId="0" fontId="5" fillId="8" borderId="4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right" vertical="center"/>
    </xf>
    <xf numFmtId="0" fontId="5" fillId="8" borderId="0" xfId="0" applyFont="1" applyFill="1" applyAlignment="1">
      <alignment vertical="center"/>
    </xf>
    <xf numFmtId="0" fontId="5" fillId="8" borderId="1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11" xfId="0" applyFont="1" applyFill="1" applyBorder="1" applyAlignment="1">
      <alignment vertical="center"/>
    </xf>
    <xf numFmtId="0" fontId="5" fillId="7" borderId="6" xfId="0" applyFont="1" applyFill="1" applyBorder="1" applyAlignment="1">
      <alignment horizontal="right" vertical="center"/>
    </xf>
    <xf numFmtId="0" fontId="5" fillId="8" borderId="3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right" vertical="center"/>
    </xf>
    <xf numFmtId="0" fontId="5" fillId="8" borderId="2" xfId="0" applyFont="1" applyFill="1" applyBorder="1" applyAlignment="1">
      <alignment vertical="center"/>
    </xf>
    <xf numFmtId="0" fontId="5" fillId="8" borderId="3" xfId="0" applyFont="1" applyFill="1" applyBorder="1" applyAlignment="1">
      <alignment horizontal="right" vertical="center"/>
    </xf>
    <xf numFmtId="0" fontId="5" fillId="8" borderId="3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right" vertical="center"/>
    </xf>
    <xf numFmtId="0" fontId="5" fillId="7" borderId="9" xfId="0" applyFont="1" applyFill="1" applyBorder="1" applyAlignment="1">
      <alignment vertical="center"/>
    </xf>
    <xf numFmtId="0" fontId="5" fillId="8" borderId="10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12" borderId="31" xfId="0" applyFont="1" applyFill="1" applyBorder="1" applyAlignment="1">
      <alignment vertical="center"/>
    </xf>
    <xf numFmtId="0" fontId="5" fillId="2" borderId="31" xfId="0" applyFont="1" applyFill="1" applyBorder="1" applyAlignment="1">
      <alignment horizontal="right" vertical="center"/>
    </xf>
    <xf numFmtId="0" fontId="5" fillId="2" borderId="29" xfId="0" applyFont="1" applyFill="1" applyBorder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right" vertical="center"/>
    </xf>
    <xf numFmtId="0" fontId="5" fillId="12" borderId="9" xfId="0" applyFont="1" applyFill="1" applyBorder="1" applyAlignment="1">
      <alignment horizontal="right" vertical="center"/>
    </xf>
    <xf numFmtId="0" fontId="5" fillId="11" borderId="0" xfId="0" applyFont="1" applyFill="1" applyAlignment="1">
      <alignment horizontal="right" vertical="center"/>
    </xf>
    <xf numFmtId="0" fontId="11" fillId="7" borderId="11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5" borderId="1" xfId="0" applyFont="1" applyFill="1" applyBorder="1" applyAlignment="1"/>
    <xf numFmtId="0" fontId="5" fillId="5" borderId="0" xfId="0" applyFont="1" applyFill="1" applyAlignment="1">
      <alignment horizontal="right"/>
    </xf>
    <xf numFmtId="0" fontId="5" fillId="4" borderId="10" xfId="0" applyFont="1" applyFill="1" applyBorder="1" applyAlignment="1"/>
    <xf numFmtId="0" fontId="5" fillId="5" borderId="10" xfId="0" applyFont="1" applyFill="1" applyBorder="1" applyAlignment="1">
      <alignment horizontal="right"/>
    </xf>
    <xf numFmtId="0" fontId="5" fillId="4" borderId="4" xfId="0" applyFont="1" applyFill="1" applyBorder="1" applyAlignment="1"/>
    <xf numFmtId="0" fontId="5" fillId="8" borderId="33" xfId="0" applyFont="1" applyFill="1" applyBorder="1" applyAlignment="1"/>
    <xf numFmtId="0" fontId="5" fillId="7" borderId="34" xfId="0" applyFont="1" applyFill="1" applyBorder="1" applyAlignment="1"/>
    <xf numFmtId="0" fontId="5" fillId="7" borderId="10" xfId="0" applyFont="1" applyFill="1" applyBorder="1" applyAlignment="1"/>
    <xf numFmtId="0" fontId="5" fillId="7" borderId="4" xfId="0" applyFont="1" applyFill="1" applyBorder="1" applyAlignment="1"/>
    <xf numFmtId="0" fontId="5" fillId="8" borderId="3" xfId="0" applyFont="1" applyFill="1" applyBorder="1" applyAlignment="1"/>
    <xf numFmtId="0" fontId="5" fillId="8" borderId="10" xfId="0" applyFont="1" applyFill="1" applyBorder="1" applyAlignment="1"/>
    <xf numFmtId="0" fontId="5" fillId="7" borderId="10" xfId="0" applyFont="1" applyFill="1" applyBorder="1" applyAlignment="1"/>
    <xf numFmtId="0" fontId="5" fillId="7" borderId="10" xfId="0" applyFont="1" applyFill="1" applyBorder="1" applyAlignment="1">
      <alignment horizontal="right"/>
    </xf>
    <xf numFmtId="0" fontId="5" fillId="8" borderId="10" xfId="0" applyFont="1" applyFill="1" applyBorder="1" applyAlignment="1">
      <alignment horizontal="right"/>
    </xf>
    <xf numFmtId="0" fontId="5" fillId="8" borderId="1" xfId="0" applyFont="1" applyFill="1" applyBorder="1" applyAlignment="1"/>
    <xf numFmtId="0" fontId="5" fillId="7" borderId="10" xfId="0" applyFont="1" applyFill="1" applyBorder="1" applyAlignment="1">
      <alignment horizontal="right"/>
    </xf>
    <xf numFmtId="0" fontId="7" fillId="4" borderId="0" xfId="0" applyFont="1" applyFill="1" applyAlignment="1">
      <alignment horizontal="center"/>
    </xf>
    <xf numFmtId="0" fontId="5" fillId="5" borderId="2" xfId="0" applyFont="1" applyFill="1" applyBorder="1" applyAlignment="1">
      <alignment horizontal="right"/>
    </xf>
    <xf numFmtId="0" fontId="5" fillId="5" borderId="1" xfId="0" applyFont="1" applyFill="1" applyBorder="1" applyAlignment="1"/>
    <xf numFmtId="0" fontId="5" fillId="4" borderId="10" xfId="0" applyFont="1" applyFill="1" applyBorder="1" applyAlignment="1">
      <alignment horizontal="right"/>
    </xf>
    <xf numFmtId="0" fontId="5" fillId="4" borderId="5" xfId="0" applyFont="1" applyFill="1" applyBorder="1" applyAlignment="1"/>
    <xf numFmtId="0" fontId="5" fillId="4" borderId="4" xfId="0" applyFont="1" applyFill="1" applyBorder="1" applyAlignment="1">
      <alignment horizontal="right"/>
    </xf>
    <xf numFmtId="0" fontId="5" fillId="7" borderId="13" xfId="0" applyFont="1" applyFill="1" applyBorder="1" applyAlignment="1"/>
    <xf numFmtId="0" fontId="5" fillId="7" borderId="33" xfId="0" applyFont="1" applyFill="1" applyBorder="1" applyAlignment="1"/>
    <xf numFmtId="0" fontId="5" fillId="7" borderId="15" xfId="0" applyFont="1" applyFill="1" applyBorder="1" applyAlignment="1"/>
    <xf numFmtId="0" fontId="5" fillId="7" borderId="15" xfId="0" applyFont="1" applyFill="1" applyBorder="1" applyAlignment="1">
      <alignment horizontal="right"/>
    </xf>
    <xf numFmtId="0" fontId="5" fillId="7" borderId="16" xfId="0" applyFont="1" applyFill="1" applyBorder="1" applyAlignment="1">
      <alignment horizontal="right"/>
    </xf>
    <xf numFmtId="0" fontId="5" fillId="7" borderId="5" xfId="0" applyFont="1" applyFill="1" applyBorder="1" applyAlignment="1"/>
    <xf numFmtId="0" fontId="5" fillId="8" borderId="3" xfId="0" applyFont="1" applyFill="1" applyBorder="1" applyAlignment="1">
      <alignment horizontal="right"/>
    </xf>
    <xf numFmtId="0" fontId="5" fillId="7" borderId="5" xfId="0" applyFont="1" applyFill="1" applyBorder="1" applyAlignment="1"/>
    <xf numFmtId="0" fontId="5" fillId="2" borderId="30" xfId="0" applyFont="1" applyFill="1" applyBorder="1" applyAlignment="1">
      <alignment horizontal="right"/>
    </xf>
    <xf numFmtId="0" fontId="5" fillId="2" borderId="29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9" xfId="0" applyFont="1" applyFill="1" applyBorder="1" applyAlignment="1"/>
    <xf numFmtId="0" fontId="5" fillId="5" borderId="10" xfId="0" applyFont="1" applyFill="1" applyBorder="1" applyAlignment="1"/>
    <xf numFmtId="0" fontId="5" fillId="5" borderId="7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right"/>
    </xf>
    <xf numFmtId="0" fontId="5" fillId="4" borderId="10" xfId="0" applyFont="1" applyFill="1" applyBorder="1" applyAlignment="1"/>
    <xf numFmtId="0" fontId="5" fillId="4" borderId="5" xfId="0" applyFont="1" applyFill="1" applyBorder="1" applyAlignment="1"/>
    <xf numFmtId="0" fontId="5" fillId="4" borderId="11" xfId="0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5" fillId="4" borderId="1" xfId="0" applyFont="1" applyFill="1" applyBorder="1" applyAlignment="1"/>
    <xf numFmtId="0" fontId="5" fillId="7" borderId="36" xfId="0" applyFont="1" applyFill="1" applyBorder="1" applyAlignment="1">
      <alignment wrapText="1"/>
    </xf>
    <xf numFmtId="0" fontId="5" fillId="7" borderId="17" xfId="0" applyFont="1" applyFill="1" applyBorder="1" applyAlignment="1"/>
    <xf numFmtId="0" fontId="5" fillId="7" borderId="37" xfId="0" applyFont="1" applyFill="1" applyBorder="1" applyAlignment="1"/>
    <xf numFmtId="0" fontId="5" fillId="7" borderId="38" xfId="0" applyFont="1" applyFill="1" applyBorder="1" applyAlignment="1"/>
    <xf numFmtId="0" fontId="5" fillId="7" borderId="17" xfId="0" applyFont="1" applyFill="1" applyBorder="1" applyAlignment="1"/>
    <xf numFmtId="0" fontId="5" fillId="7" borderId="17" xfId="0" applyFont="1" applyFill="1" applyBorder="1" applyAlignment="1">
      <alignment horizontal="right"/>
    </xf>
    <xf numFmtId="0" fontId="5" fillId="7" borderId="39" xfId="0" applyFont="1" applyFill="1" applyBorder="1" applyAlignment="1">
      <alignment horizontal="right"/>
    </xf>
    <xf numFmtId="0" fontId="5" fillId="7" borderId="40" xfId="0" applyFont="1" applyFill="1" applyBorder="1" applyAlignment="1">
      <alignment wrapText="1"/>
    </xf>
    <xf numFmtId="0" fontId="5" fillId="7" borderId="27" xfId="0" applyFont="1" applyFill="1" applyBorder="1" applyAlignment="1"/>
    <xf numFmtId="0" fontId="5" fillId="7" borderId="42" xfId="0" applyFont="1" applyFill="1" applyBorder="1" applyAlignment="1"/>
    <xf numFmtId="0" fontId="5" fillId="7" borderId="43" xfId="0" applyFont="1" applyFill="1" applyBorder="1" applyAlignment="1"/>
    <xf numFmtId="0" fontId="5" fillId="7" borderId="44" xfId="0" applyFont="1" applyFill="1" applyBorder="1" applyAlignment="1">
      <alignment horizontal="right"/>
    </xf>
    <xf numFmtId="0" fontId="5" fillId="7" borderId="9" xfId="0" applyFont="1" applyFill="1" applyBorder="1" applyAlignment="1">
      <alignment horizontal="right"/>
    </xf>
    <xf numFmtId="0" fontId="5" fillId="7" borderId="11" xfId="0" applyFont="1" applyFill="1" applyBorder="1" applyAlignment="1">
      <alignment horizontal="right"/>
    </xf>
    <xf numFmtId="0" fontId="6" fillId="2" borderId="29" xfId="0" applyFont="1" applyFill="1" applyBorder="1" applyAlignment="1">
      <alignment horizontal="center"/>
    </xf>
    <xf numFmtId="0" fontId="5" fillId="2" borderId="31" xfId="0" applyFont="1" applyFill="1" applyBorder="1" applyAlignment="1"/>
    <xf numFmtId="0" fontId="5" fillId="2" borderId="29" xfId="0" applyFont="1" applyFill="1" applyBorder="1" applyAlignment="1"/>
    <xf numFmtId="0" fontId="5" fillId="2" borderId="0" xfId="0" applyFont="1" applyFill="1" applyAlignment="1"/>
    <xf numFmtId="0" fontId="5" fillId="2" borderId="0" xfId="0" applyFont="1" applyFill="1" applyAlignment="1"/>
    <xf numFmtId="0" fontId="5" fillId="2" borderId="9" xfId="0" applyFont="1" applyFill="1" applyBorder="1" applyAlignment="1"/>
    <xf numFmtId="0" fontId="5" fillId="2" borderId="10" xfId="0" applyFont="1" applyFill="1" applyBorder="1" applyAlignment="1"/>
    <xf numFmtId="0" fontId="5" fillId="2" borderId="10" xfId="0" applyFont="1" applyFill="1" applyBorder="1" applyAlignment="1"/>
    <xf numFmtId="0" fontId="5" fillId="2" borderId="0" xfId="0" applyFont="1" applyFill="1" applyAlignment="1">
      <alignment horizontal="right"/>
    </xf>
    <xf numFmtId="0" fontId="5" fillId="2" borderId="9" xfId="0" applyFont="1" applyFill="1" applyBorder="1" applyAlignment="1"/>
    <xf numFmtId="0" fontId="5" fillId="2" borderId="0" xfId="0" applyFont="1" applyFill="1" applyAlignment="1">
      <alignment horizontal="right"/>
    </xf>
    <xf numFmtId="0" fontId="5" fillId="2" borderId="30" xfId="0" applyFont="1" applyFill="1" applyBorder="1" applyAlignment="1"/>
    <xf numFmtId="0" fontId="6" fillId="7" borderId="0" xfId="0" applyFont="1" applyFill="1" applyAlignment="1">
      <alignment horizontal="center"/>
    </xf>
    <xf numFmtId="0" fontId="5" fillId="7" borderId="4" xfId="0" applyFont="1" applyFill="1" applyBorder="1" applyAlignment="1">
      <alignment horizontal="right"/>
    </xf>
    <xf numFmtId="0" fontId="5" fillId="7" borderId="30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7" borderId="38" xfId="0" applyFont="1" applyFill="1" applyBorder="1" applyAlignment="1">
      <alignment horizontal="right"/>
    </xf>
    <xf numFmtId="0" fontId="5" fillId="2" borderId="30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8" borderId="13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6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wrapText="1"/>
    </xf>
    <xf numFmtId="0" fontId="8" fillId="2" borderId="31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/>
    <xf numFmtId="0" fontId="5" fillId="4" borderId="2" xfId="0" applyFont="1" applyFill="1" applyBorder="1" applyAlignment="1">
      <alignment wrapText="1"/>
    </xf>
    <xf numFmtId="0" fontId="8" fillId="3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5" fillId="3" borderId="0" xfId="0" applyFont="1" applyFill="1"/>
    <xf numFmtId="0" fontId="5" fillId="7" borderId="36" xfId="0" applyFont="1" applyFill="1" applyBorder="1" applyAlignment="1">
      <alignment wrapText="1"/>
    </xf>
    <xf numFmtId="0" fontId="8" fillId="3" borderId="18" xfId="0" applyFont="1" applyFill="1" applyBorder="1" applyAlignment="1">
      <alignment horizontal="center"/>
    </xf>
    <xf numFmtId="0" fontId="5" fillId="7" borderId="40" xfId="0" applyFont="1" applyFill="1" applyBorder="1" applyAlignment="1">
      <alignment wrapText="1"/>
    </xf>
    <xf numFmtId="0" fontId="8" fillId="3" borderId="21" xfId="0" applyFont="1" applyFill="1" applyBorder="1" applyAlignment="1">
      <alignment horizontal="center"/>
    </xf>
    <xf numFmtId="0" fontId="5" fillId="7" borderId="0" xfId="0" applyFont="1" applyFill="1" applyAlignment="1">
      <alignment wrapText="1"/>
    </xf>
    <xf numFmtId="0" fontId="5" fillId="7" borderId="2" xfId="0" applyFont="1" applyFill="1" applyBorder="1" applyAlignment="1">
      <alignment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/>
    <xf numFmtId="0" fontId="3" fillId="4" borderId="0" xfId="0" applyFont="1" applyFill="1" applyAlignment="1"/>
    <xf numFmtId="0" fontId="3" fillId="3" borderId="0" xfId="0" applyFont="1" applyFill="1"/>
    <xf numFmtId="0" fontId="3" fillId="5" borderId="0" xfId="0" applyFont="1" applyFill="1"/>
    <xf numFmtId="0" fontId="2" fillId="5" borderId="0" xfId="0" applyFont="1" applyFill="1" applyAlignment="1"/>
    <xf numFmtId="0" fontId="3" fillId="3" borderId="0" xfId="0" applyFont="1" applyFill="1" applyAlignment="1"/>
    <xf numFmtId="0" fontId="3" fillId="4" borderId="0" xfId="0" applyFont="1" applyFill="1"/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/>
    <xf numFmtId="0" fontId="3" fillId="5" borderId="2" xfId="0" applyFont="1" applyFill="1" applyBorder="1"/>
    <xf numFmtId="0" fontId="3" fillId="5" borderId="7" xfId="0" applyFont="1" applyFill="1" applyBorder="1"/>
    <xf numFmtId="0" fontId="1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5" borderId="8" xfId="0" applyFont="1" applyFill="1" applyBorder="1"/>
    <xf numFmtId="0" fontId="3" fillId="5" borderId="1" xfId="0" applyFont="1" applyFill="1" applyBorder="1"/>
    <xf numFmtId="0" fontId="3" fillId="4" borderId="2" xfId="0" applyFont="1" applyFill="1" applyBorder="1"/>
    <xf numFmtId="0" fontId="3" fillId="4" borderId="8" xfId="0" applyFont="1" applyFill="1" applyBorder="1"/>
    <xf numFmtId="0" fontId="3" fillId="5" borderId="4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/>
    <xf numFmtId="0" fontId="3" fillId="4" borderId="11" xfId="0" applyFont="1" applyFill="1" applyBorder="1"/>
    <xf numFmtId="0" fontId="3" fillId="4" borderId="0" xfId="0" applyFont="1" applyFill="1" applyAlignment="1">
      <alignment vertical="center" wrapText="1"/>
    </xf>
    <xf numFmtId="0" fontId="3" fillId="6" borderId="0" xfId="0" applyFont="1" applyFill="1"/>
    <xf numFmtId="0" fontId="3" fillId="7" borderId="36" xfId="0" applyFont="1" applyFill="1" applyBorder="1" applyAlignment="1">
      <alignment vertical="center" wrapText="1"/>
    </xf>
    <xf numFmtId="0" fontId="3" fillId="7" borderId="17" xfId="0" applyFont="1" applyFill="1" applyBorder="1" applyAlignment="1"/>
    <xf numFmtId="0" fontId="3" fillId="7" borderId="17" xfId="0" applyFont="1" applyFill="1" applyBorder="1"/>
    <xf numFmtId="0" fontId="3" fillId="7" borderId="39" xfId="0" applyFont="1" applyFill="1" applyBorder="1"/>
    <xf numFmtId="0" fontId="3" fillId="8" borderId="17" xfId="0" applyFont="1" applyFill="1" applyBorder="1"/>
    <xf numFmtId="0" fontId="12" fillId="3" borderId="18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vertical="center" wrapText="1"/>
    </xf>
    <xf numFmtId="0" fontId="3" fillId="8" borderId="0" xfId="0" applyFont="1" applyFill="1" applyAlignment="1"/>
    <xf numFmtId="0" fontId="3" fillId="8" borderId="0" xfId="0" applyFont="1" applyFill="1"/>
    <xf numFmtId="0" fontId="3" fillId="8" borderId="8" xfId="0" applyFont="1" applyFill="1" applyBorder="1"/>
    <xf numFmtId="0" fontId="3" fillId="7" borderId="0" xfId="0" applyFont="1" applyFill="1"/>
    <xf numFmtId="0" fontId="12" fillId="3" borderId="21" xfId="0" applyFont="1" applyFill="1" applyBorder="1" applyAlignment="1">
      <alignment horizontal="center" vertical="center"/>
    </xf>
    <xf numFmtId="0" fontId="3" fillId="7" borderId="27" xfId="0" applyFont="1" applyFill="1" applyBorder="1" applyAlignment="1"/>
    <xf numFmtId="0" fontId="3" fillId="7" borderId="27" xfId="0" applyFont="1" applyFill="1" applyBorder="1"/>
    <xf numFmtId="0" fontId="3" fillId="7" borderId="44" xfId="0" applyFont="1" applyFill="1" applyBorder="1"/>
    <xf numFmtId="0" fontId="3" fillId="8" borderId="27" xfId="0" applyFont="1" applyFill="1" applyBorder="1"/>
    <xf numFmtId="0" fontId="3" fillId="7" borderId="0" xfId="0" applyFont="1" applyFill="1" applyAlignment="1">
      <alignment vertical="center" wrapText="1"/>
    </xf>
    <xf numFmtId="0" fontId="3" fillId="8" borderId="10" xfId="0" applyFont="1" applyFill="1" applyBorder="1"/>
    <xf numFmtId="0" fontId="3" fillId="7" borderId="0" xfId="0" applyFont="1" applyFill="1" applyAlignment="1"/>
    <xf numFmtId="0" fontId="3" fillId="7" borderId="8" xfId="0" applyFont="1" applyFill="1" applyBorder="1"/>
    <xf numFmtId="0" fontId="3" fillId="8" borderId="4" xfId="0" applyFont="1" applyFill="1" applyBorder="1"/>
    <xf numFmtId="0" fontId="3" fillId="7" borderId="5" xfId="0" applyFont="1" applyFill="1" applyBorder="1"/>
    <xf numFmtId="0" fontId="3" fillId="8" borderId="1" xfId="0" applyFont="1" applyFill="1" applyBorder="1"/>
    <xf numFmtId="0" fontId="3" fillId="7" borderId="2" xfId="0" applyFont="1" applyFill="1" applyBorder="1"/>
    <xf numFmtId="0" fontId="3" fillId="7" borderId="5" xfId="0" applyFont="1" applyFill="1" applyBorder="1" applyAlignment="1"/>
    <xf numFmtId="0" fontId="3" fillId="8" borderId="2" xfId="0" applyFont="1" applyFill="1" applyBorder="1" applyAlignment="1"/>
    <xf numFmtId="0" fontId="3" fillId="8" borderId="2" xfId="0" applyFont="1" applyFill="1" applyBorder="1"/>
    <xf numFmtId="0" fontId="3" fillId="2" borderId="0" xfId="0" applyFont="1" applyFill="1" applyAlignment="1">
      <alignment vertical="center" wrapText="1"/>
    </xf>
    <xf numFmtId="0" fontId="3" fillId="8" borderId="9" xfId="0" applyFont="1" applyFill="1" applyBorder="1"/>
    <xf numFmtId="0" fontId="3" fillId="7" borderId="9" xfId="0" applyFont="1" applyFill="1" applyBorder="1"/>
    <xf numFmtId="0" fontId="3" fillId="7" borderId="2" xfId="0" applyFont="1" applyFill="1" applyBorder="1" applyAlignment="1">
      <alignment vertical="center" wrapText="1"/>
    </xf>
    <xf numFmtId="0" fontId="3" fillId="8" borderId="3" xfId="0" applyFont="1" applyFill="1" applyBorder="1"/>
    <xf numFmtId="0" fontId="3" fillId="7" borderId="6" xfId="0" applyFont="1" applyFill="1" applyBorder="1"/>
    <xf numFmtId="0" fontId="3" fillId="7" borderId="11" xfId="0" applyFont="1" applyFill="1" applyBorder="1"/>
    <xf numFmtId="0" fontId="2" fillId="7" borderId="0" xfId="0" applyFont="1" applyFill="1" applyAlignment="1">
      <alignment horizontal="center" vertical="center"/>
    </xf>
    <xf numFmtId="0" fontId="3" fillId="11" borderId="0" xfId="0" applyFont="1" applyFill="1"/>
    <xf numFmtId="0" fontId="3" fillId="8" borderId="9" xfId="0" applyFont="1" applyFill="1" applyBorder="1" applyAlignment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3" fillId="2" borderId="0" xfId="0" applyFont="1" applyFill="1" applyAlignment="1"/>
    <xf numFmtId="0" fontId="3" fillId="2" borderId="9" xfId="0" applyFont="1" applyFill="1" applyBorder="1"/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/>
    <xf numFmtId="0" fontId="3" fillId="2" borderId="5" xfId="0" applyFont="1" applyFill="1" applyBorder="1"/>
    <xf numFmtId="0" fontId="3" fillId="2" borderId="6" xfId="0" applyFont="1" applyFill="1" applyBorder="1"/>
    <xf numFmtId="0" fontId="3" fillId="7" borderId="41" xfId="0" applyFont="1" applyFill="1" applyBorder="1" applyAlignment="1">
      <alignment vertical="center" wrapText="1"/>
    </xf>
    <xf numFmtId="0" fontId="12" fillId="3" borderId="28" xfId="0" applyFont="1" applyFill="1" applyBorder="1" applyAlignment="1">
      <alignment horizontal="center" vertical="center"/>
    </xf>
    <xf numFmtId="0" fontId="3" fillId="11" borderId="17" xfId="0" applyFont="1" applyFill="1" applyBorder="1" applyAlignment="1"/>
    <xf numFmtId="0" fontId="3" fillId="11" borderId="0" xfId="0" applyFont="1" applyFill="1" applyAlignment="1"/>
    <xf numFmtId="0" fontId="3" fillId="11" borderId="27" xfId="0" applyFont="1" applyFill="1" applyBorder="1" applyAlignment="1"/>
    <xf numFmtId="0" fontId="3" fillId="10" borderId="17" xfId="0" applyFont="1" applyFill="1" applyBorder="1" applyAlignment="1"/>
    <xf numFmtId="0" fontId="2" fillId="0" borderId="0" xfId="0" applyFont="1" applyAlignment="1">
      <alignment horizontal="center" vertical="center"/>
    </xf>
    <xf numFmtId="0" fontId="3" fillId="7" borderId="2" xfId="0" applyFont="1" applyFill="1" applyBorder="1" applyAlignment="1"/>
    <xf numFmtId="0" fontId="3" fillId="7" borderId="7" xfId="0" applyFont="1" applyFill="1" applyBorder="1"/>
    <xf numFmtId="0" fontId="3" fillId="8" borderId="3" xfId="0" applyFont="1" applyFill="1" applyBorder="1" applyAlignment="1"/>
    <xf numFmtId="0" fontId="13" fillId="13" borderId="0" xfId="0" applyFont="1" applyFill="1" applyAlignment="1">
      <alignment wrapText="1"/>
    </xf>
    <xf numFmtId="0" fontId="13" fillId="13" borderId="0" xfId="0" applyFont="1" applyFill="1"/>
    <xf numFmtId="0" fontId="2" fillId="0" borderId="0" xfId="0" applyFont="1" applyAlignment="1"/>
    <xf numFmtId="0" fontId="13" fillId="13" borderId="45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3" borderId="4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 applyAlignment="1"/>
    <xf numFmtId="0" fontId="5" fillId="2" borderId="6" xfId="0" applyFont="1" applyFill="1" applyBorder="1" applyAlignment="1"/>
    <xf numFmtId="0" fontId="5" fillId="7" borderId="7" xfId="0" applyFont="1" applyFill="1" applyBorder="1" applyAlignment="1">
      <alignment horizontal="right"/>
    </xf>
    <xf numFmtId="0" fontId="12" fillId="3" borderId="3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3" borderId="48" xfId="0" applyFont="1" applyFill="1" applyBorder="1" applyAlignment="1">
      <alignment horizontal="center" vertical="center"/>
    </xf>
    <xf numFmtId="0" fontId="16" fillId="14" borderId="48" xfId="0" applyFont="1" applyFill="1" applyBorder="1" applyAlignment="1">
      <alignment horizontal="center" vertical="center" wrapText="1"/>
    </xf>
    <xf numFmtId="0" fontId="16" fillId="15" borderId="48" xfId="0" applyFont="1" applyFill="1" applyBorder="1" applyAlignment="1">
      <alignment horizontal="center" vertical="center" wrapText="1"/>
    </xf>
    <xf numFmtId="0" fontId="16" fillId="16" borderId="48" xfId="0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/>
    <xf numFmtId="0" fontId="17" fillId="0" borderId="0" xfId="0" applyFont="1" applyAlignment="1">
      <alignment horizontal="center" vertical="center"/>
    </xf>
    <xf numFmtId="0" fontId="19" fillId="17" borderId="52" xfId="0" applyFont="1" applyFill="1" applyBorder="1" applyAlignment="1">
      <alignment horizontal="right"/>
    </xf>
    <xf numFmtId="0" fontId="19" fillId="17" borderId="0" xfId="0" applyFont="1" applyFill="1" applyAlignment="1">
      <alignment horizontal="right"/>
    </xf>
    <xf numFmtId="0" fontId="20" fillId="17" borderId="53" xfId="0" applyFont="1" applyFill="1" applyBorder="1" applyAlignment="1">
      <alignment horizontal="right"/>
    </xf>
    <xf numFmtId="0" fontId="21" fillId="0" borderId="52" xfId="0" applyFont="1" applyBorder="1" applyAlignment="1">
      <alignment horizontal="right"/>
    </xf>
    <xf numFmtId="0" fontId="21" fillId="0" borderId="0" xfId="0" applyFont="1" applyAlignment="1">
      <alignment horizontal="right"/>
    </xf>
    <xf numFmtId="0" fontId="22" fillId="0" borderId="53" xfId="0" applyFont="1" applyBorder="1" applyAlignment="1">
      <alignment horizontal="right"/>
    </xf>
    <xf numFmtId="0" fontId="17" fillId="11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24" fillId="17" borderId="52" xfId="0" applyFont="1" applyFill="1" applyBorder="1" applyAlignment="1">
      <alignment horizontal="right"/>
    </xf>
    <xf numFmtId="0" fontId="24" fillId="17" borderId="0" xfId="0" applyFont="1" applyFill="1" applyAlignment="1">
      <alignment horizontal="right"/>
    </xf>
    <xf numFmtId="0" fontId="24" fillId="17" borderId="53" xfId="0" applyFont="1" applyFill="1" applyBorder="1" applyAlignment="1">
      <alignment horizontal="right"/>
    </xf>
    <xf numFmtId="0" fontId="14" fillId="0" borderId="52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53" xfId="0" applyFont="1" applyBorder="1" applyAlignment="1">
      <alignment horizontal="right"/>
    </xf>
    <xf numFmtId="0" fontId="20" fillId="17" borderId="0" xfId="0" applyFont="1" applyFill="1" applyAlignment="1">
      <alignment horizontal="right"/>
    </xf>
    <xf numFmtId="0" fontId="22" fillId="0" borderId="53" xfId="0" applyFont="1" applyBorder="1" applyAlignment="1">
      <alignment horizontal="right"/>
    </xf>
    <xf numFmtId="0" fontId="19" fillId="17" borderId="53" xfId="0" applyFont="1" applyFill="1" applyBorder="1" applyAlignment="1">
      <alignment horizontal="right"/>
    </xf>
    <xf numFmtId="0" fontId="14" fillId="0" borderId="56" xfId="0" applyFont="1" applyBorder="1" applyAlignment="1">
      <alignment horizontal="right"/>
    </xf>
    <xf numFmtId="0" fontId="14" fillId="0" borderId="57" xfId="0" applyFont="1" applyBorder="1" applyAlignment="1">
      <alignment horizontal="right"/>
    </xf>
    <xf numFmtId="0" fontId="21" fillId="0" borderId="57" xfId="0" applyFont="1" applyBorder="1" applyAlignment="1">
      <alignment horizontal="right"/>
    </xf>
    <xf numFmtId="0" fontId="21" fillId="0" borderId="58" xfId="0" applyFont="1" applyBorder="1" applyAlignment="1">
      <alignment horizontal="right"/>
    </xf>
    <xf numFmtId="0" fontId="14" fillId="0" borderId="52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53" xfId="0" applyFont="1" applyBorder="1" applyAlignment="1">
      <alignment horizontal="right"/>
    </xf>
    <xf numFmtId="0" fontId="14" fillId="0" borderId="56" xfId="0" applyFont="1" applyBorder="1" applyAlignment="1">
      <alignment horizontal="right"/>
    </xf>
    <xf numFmtId="0" fontId="14" fillId="0" borderId="57" xfId="0" applyFont="1" applyBorder="1" applyAlignment="1">
      <alignment horizontal="right"/>
    </xf>
    <xf numFmtId="0" fontId="21" fillId="0" borderId="57" xfId="0" applyFont="1" applyBorder="1" applyAlignment="1">
      <alignment horizontal="right"/>
    </xf>
    <xf numFmtId="0" fontId="17" fillId="18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22" fillId="0" borderId="57" xfId="0" applyFont="1" applyBorder="1" applyAlignment="1">
      <alignment horizontal="right"/>
    </xf>
    <xf numFmtId="0" fontId="22" fillId="0" borderId="57" xfId="0" applyFont="1" applyBorder="1" applyAlignment="1"/>
    <xf numFmtId="0" fontId="21" fillId="0" borderId="57" xfId="0" applyFont="1" applyBorder="1" applyAlignment="1"/>
    <xf numFmtId="0" fontId="20" fillId="17" borderId="52" xfId="0" applyFont="1" applyFill="1" applyBorder="1" applyAlignment="1">
      <alignment horizontal="right"/>
    </xf>
    <xf numFmtId="0" fontId="22" fillId="0" borderId="52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14" fillId="0" borderId="53" xfId="0" applyFont="1" applyBorder="1" applyAlignment="1">
      <alignment horizontal="right"/>
    </xf>
    <xf numFmtId="0" fontId="14" fillId="0" borderId="0" xfId="0" applyFont="1" applyAlignment="1"/>
    <xf numFmtId="0" fontId="14" fillId="0" borderId="53" xfId="0" applyFont="1" applyBorder="1" applyAlignment="1"/>
    <xf numFmtId="0" fontId="17" fillId="19" borderId="0" xfId="0" applyFont="1" applyFill="1" applyAlignment="1">
      <alignment horizontal="center"/>
    </xf>
    <xf numFmtId="0" fontId="14" fillId="0" borderId="56" xfId="0" applyFont="1" applyBorder="1" applyAlignment="1"/>
    <xf numFmtId="0" fontId="14" fillId="0" borderId="57" xfId="0" applyFont="1" applyBorder="1" applyAlignment="1"/>
    <xf numFmtId="0" fontId="19" fillId="17" borderId="52" xfId="0" applyFont="1" applyFill="1" applyBorder="1" applyAlignment="1">
      <alignment horizontal="right"/>
    </xf>
    <xf numFmtId="0" fontId="19" fillId="17" borderId="0" xfId="0" applyFont="1" applyFill="1" applyAlignment="1">
      <alignment horizontal="right"/>
    </xf>
    <xf numFmtId="0" fontId="20" fillId="17" borderId="0" xfId="0" applyFont="1" applyFill="1" applyAlignment="1">
      <alignment horizontal="right"/>
    </xf>
    <xf numFmtId="0" fontId="20" fillId="17" borderId="53" xfId="0" applyFont="1" applyFill="1" applyBorder="1" applyAlignment="1">
      <alignment horizontal="right"/>
    </xf>
    <xf numFmtId="0" fontId="22" fillId="0" borderId="56" xfId="0" applyFont="1" applyBorder="1" applyAlignment="1"/>
    <xf numFmtId="0" fontId="14" fillId="0" borderId="0" xfId="0" applyFont="1" applyAlignment="1">
      <alignment horizontal="center"/>
    </xf>
    <xf numFmtId="0" fontId="21" fillId="0" borderId="58" xfId="0" applyFont="1" applyBorder="1" applyAlignment="1"/>
    <xf numFmtId="0" fontId="5" fillId="0" borderId="0" xfId="0" applyFont="1"/>
    <xf numFmtId="0" fontId="17" fillId="11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4" fillId="0" borderId="52" xfId="0" applyFont="1" applyBorder="1" applyAlignment="1"/>
    <xf numFmtId="0" fontId="17" fillId="18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5" fillId="20" borderId="0" xfId="0" applyFont="1" applyFill="1"/>
    <xf numFmtId="0" fontId="17" fillId="20" borderId="0" xfId="0" applyFont="1" applyFill="1" applyAlignment="1">
      <alignment horizontal="center"/>
    </xf>
    <xf numFmtId="0" fontId="21" fillId="0" borderId="58" xfId="0" applyFont="1" applyBorder="1" applyAlignment="1">
      <alignment horizontal="right"/>
    </xf>
    <xf numFmtId="0" fontId="19" fillId="17" borderId="52" xfId="0" applyFont="1" applyFill="1" applyBorder="1" applyAlignment="1"/>
    <xf numFmtId="0" fontId="19" fillId="17" borderId="0" xfId="0" applyFont="1" applyFill="1" applyAlignment="1"/>
    <xf numFmtId="0" fontId="20" fillId="17" borderId="0" xfId="0" applyFont="1" applyFill="1" applyAlignment="1"/>
    <xf numFmtId="0" fontId="20" fillId="17" borderId="53" xfId="0" applyFont="1" applyFill="1" applyBorder="1" applyAlignment="1"/>
    <xf numFmtId="0" fontId="21" fillId="0" borderId="52" xfId="0" applyFont="1" applyBorder="1" applyAlignment="1"/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53" xfId="0" applyFont="1" applyBorder="1" applyAlignment="1">
      <alignment horizontal="right"/>
    </xf>
    <xf numFmtId="0" fontId="24" fillId="17" borderId="52" xfId="0" applyFont="1" applyFill="1" applyBorder="1" applyAlignment="1"/>
    <xf numFmtId="0" fontId="24" fillId="17" borderId="0" xfId="0" applyFont="1" applyFill="1" applyAlignment="1"/>
    <xf numFmtId="0" fontId="24" fillId="17" borderId="53" xfId="0" applyFont="1" applyFill="1" applyBorder="1" applyAlignment="1"/>
    <xf numFmtId="0" fontId="14" fillId="0" borderId="52" xfId="0" applyFont="1" applyBorder="1" applyAlignment="1"/>
    <xf numFmtId="0" fontId="14" fillId="0" borderId="53" xfId="0" applyFont="1" applyBorder="1" applyAlignment="1"/>
    <xf numFmtId="0" fontId="19" fillId="17" borderId="53" xfId="0" applyFont="1" applyFill="1" applyBorder="1" applyAlignment="1"/>
    <xf numFmtId="0" fontId="14" fillId="0" borderId="56" xfId="0" applyFont="1" applyBorder="1" applyAlignment="1"/>
    <xf numFmtId="0" fontId="14" fillId="0" borderId="57" xfId="0" applyFont="1" applyBorder="1" applyAlignment="1"/>
    <xf numFmtId="0" fontId="21" fillId="0" borderId="58" xfId="0" applyFont="1" applyBorder="1" applyAlignment="1"/>
    <xf numFmtId="0" fontId="21" fillId="0" borderId="57" xfId="0" applyFont="1" applyBorder="1" applyAlignment="1"/>
    <xf numFmtId="0" fontId="21" fillId="0" borderId="0" xfId="0" applyFont="1" applyAlignment="1"/>
    <xf numFmtId="0" fontId="22" fillId="0" borderId="0" xfId="0" applyFont="1" applyAlignment="1"/>
    <xf numFmtId="0" fontId="21" fillId="0" borderId="57" xfId="0" applyFont="1" applyBorder="1" applyAlignment="1">
      <alignment horizontal="right"/>
    </xf>
    <xf numFmtId="0" fontId="21" fillId="0" borderId="58" xfId="0" applyFont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5" fontId="3" fillId="0" borderId="60" xfId="0" applyNumberFormat="1" applyFont="1" applyBorder="1" applyAlignment="1">
      <alignment horizontal="center" vertical="center" wrapText="1"/>
    </xf>
    <xf numFmtId="0" fontId="25" fillId="2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6" fillId="2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6" fillId="2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6" fillId="21" borderId="0" xfId="0" applyFont="1" applyFill="1" applyAlignment="1">
      <alignment horizontal="center" vertical="center" wrapText="1"/>
    </xf>
    <xf numFmtId="0" fontId="27" fillId="21" borderId="0" xfId="0" applyFont="1" applyFill="1" applyAlignment="1">
      <alignment horizontal="center" vertical="center" wrapText="1"/>
    </xf>
    <xf numFmtId="0" fontId="27" fillId="2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6" fillId="21" borderId="0" xfId="0" applyFont="1" applyFill="1" applyAlignment="1">
      <alignment horizontal="center" vertical="center" wrapText="1"/>
    </xf>
    <xf numFmtId="0" fontId="1" fillId="12" borderId="0" xfId="0" applyFont="1" applyFill="1" applyAlignment="1"/>
    <xf numFmtId="0" fontId="28" fillId="7" borderId="0" xfId="0" applyFont="1" applyFill="1" applyAlignment="1"/>
    <xf numFmtId="0" fontId="4" fillId="7" borderId="0" xfId="0" applyFont="1" applyFill="1" applyAlignment="1"/>
    <xf numFmtId="0" fontId="29" fillId="3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/>
    <xf numFmtId="0" fontId="5" fillId="4" borderId="0" xfId="0" applyFont="1" applyFill="1" applyAlignment="1">
      <alignment wrapText="1"/>
    </xf>
    <xf numFmtId="0" fontId="0" fillId="0" borderId="0" xfId="0" applyFont="1" applyAlignment="1"/>
    <xf numFmtId="0" fontId="6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9" fillId="0" borderId="10" xfId="0" applyFont="1" applyBorder="1"/>
    <xf numFmtId="0" fontId="9" fillId="0" borderId="4" xfId="0" applyFont="1" applyBorder="1"/>
    <xf numFmtId="0" fontId="8" fillId="3" borderId="3" xfId="0" applyFont="1" applyFill="1" applyBorder="1" applyAlignment="1">
      <alignment horizontal="center"/>
    </xf>
    <xf numFmtId="0" fontId="9" fillId="0" borderId="6" xfId="0" applyFont="1" applyBorder="1"/>
    <xf numFmtId="0" fontId="5" fillId="7" borderId="0" xfId="0" applyFont="1" applyFill="1" applyAlignment="1">
      <alignment wrapText="1"/>
    </xf>
    <xf numFmtId="0" fontId="9" fillId="0" borderId="5" xfId="0" applyFont="1" applyBorder="1"/>
    <xf numFmtId="0" fontId="8" fillId="3" borderId="9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9" fillId="0" borderId="21" xfId="0" applyFont="1" applyBorder="1"/>
    <xf numFmtId="0" fontId="8" fillId="3" borderId="21" xfId="0" applyFont="1" applyFill="1" applyBorder="1" applyAlignment="1">
      <alignment horizontal="center"/>
    </xf>
    <xf numFmtId="0" fontId="9" fillId="0" borderId="28" xfId="0" applyFont="1" applyBorder="1"/>
    <xf numFmtId="0" fontId="5" fillId="2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0" fillId="9" borderId="3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/>
    </xf>
    <xf numFmtId="0" fontId="11" fillId="7" borderId="29" xfId="0" applyFont="1" applyFill="1" applyBorder="1" applyAlignment="1">
      <alignment horizontal="center"/>
    </xf>
    <xf numFmtId="0" fontId="9" fillId="0" borderId="30" xfId="0" applyFont="1" applyBorder="1"/>
    <xf numFmtId="0" fontId="9" fillId="0" borderId="31" xfId="0" applyFont="1" applyBorder="1"/>
    <xf numFmtId="0" fontId="5" fillId="4" borderId="2" xfId="0" applyFont="1" applyFill="1" applyBorder="1" applyAlignment="1">
      <alignment wrapText="1"/>
    </xf>
    <xf numFmtId="0" fontId="5" fillId="7" borderId="12" xfId="0" applyFont="1" applyFill="1" applyBorder="1" applyAlignment="1">
      <alignment wrapText="1"/>
    </xf>
    <xf numFmtId="0" fontId="9" fillId="0" borderId="19" xfId="0" applyFont="1" applyBorder="1"/>
    <xf numFmtId="0" fontId="5" fillId="7" borderId="19" xfId="0" applyFont="1" applyFill="1" applyBorder="1" applyAlignment="1">
      <alignment wrapText="1"/>
    </xf>
    <xf numFmtId="0" fontId="9" fillId="0" borderId="22" xfId="0" applyFont="1" applyBorder="1"/>
    <xf numFmtId="0" fontId="5" fillId="7" borderId="2" xfId="0" applyFont="1" applyFill="1" applyBorder="1" applyAlignment="1">
      <alignment wrapText="1"/>
    </xf>
    <xf numFmtId="0" fontId="11" fillId="7" borderId="5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9" fillId="0" borderId="9" xfId="0" applyFont="1" applyBorder="1"/>
    <xf numFmtId="0" fontId="5" fillId="4" borderId="0" xfId="0" applyFont="1" applyFill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0" fontId="5" fillId="7" borderId="19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1" fillId="7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9" fillId="0" borderId="35" xfId="0" applyFont="1" applyBorder="1"/>
    <xf numFmtId="0" fontId="6" fillId="4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3" borderId="46" xfId="0" applyFont="1" applyFill="1" applyBorder="1" applyAlignment="1">
      <alignment horizontal="center" vertical="center"/>
    </xf>
    <xf numFmtId="0" fontId="9" fillId="0" borderId="47" xfId="0" applyFont="1" applyBorder="1"/>
    <xf numFmtId="0" fontId="1" fillId="7" borderId="29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40" xfId="0" applyFont="1" applyFill="1" applyBorder="1" applyAlignment="1">
      <alignment wrapText="1"/>
    </xf>
    <xf numFmtId="0" fontId="9" fillId="0" borderId="41" xfId="0" applyFont="1" applyBorder="1"/>
    <xf numFmtId="0" fontId="3" fillId="7" borderId="40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18" fillId="0" borderId="49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23" fillId="13" borderId="54" xfId="0" applyFont="1" applyFill="1" applyBorder="1" applyAlignment="1">
      <alignment horizontal="center" vertical="center"/>
    </xf>
    <xf numFmtId="0" fontId="9" fillId="0" borderId="55" xfId="0" applyFont="1" applyBorder="1"/>
    <xf numFmtId="0" fontId="9" fillId="0" borderId="59" xfId="0" applyFont="1" applyBorder="1"/>
  </cellXfs>
  <cellStyles count="1">
    <cellStyle name="Обычный" xfId="0" builtinId="0"/>
  </cellStyles>
  <dxfs count="34"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ДР 2025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Генеалогия-style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Рюкзак выживания-style" pivot="0" count="4" xr9:uid="{00000000-0011-0000-FFFF-FFFF02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Вещи в пользовании-style" pivot="0" count="4" xr9:uid="{00000000-0011-0000-FFFF-FFFF03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Долги-style" pivot="0" count="4" xr9:uid="{00000000-0011-0000-FFFF-FFFF04000000}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Счет – количество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Финансы!$AN$1206</c:f>
              <c:strCache>
                <c:ptCount val="1"/>
                <c:pt idx="0">
                  <c:v>60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852-405A-8349-FEA4B5B4363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852-405A-8349-FEA4B5B4363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852-405A-8349-FEA4B5B4363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852-405A-8349-FEA4B5B4363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852-405A-8349-FEA4B5B4363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852-405A-8349-FEA4B5B4363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852-405A-8349-FEA4B5B4363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852-405A-8349-FEA4B5B4363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852-405A-8349-FEA4B5B4363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F852-405A-8349-FEA4B5B4363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F852-405A-8349-FEA4B5B4363B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F852-405A-8349-FEA4B5B4363B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F852-405A-8349-FEA4B5B4363B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F852-405A-8349-FEA4B5B4363B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F852-405A-8349-FEA4B5B4363B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F852-405A-8349-FEA4B5B4363B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F852-405A-8349-FEA4B5B4363B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F852-405A-8349-FEA4B5B4363B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F852-405A-8349-FEA4B5B4363B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F852-405A-8349-FEA4B5B4363B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F852-405A-8349-FEA4B5B4363B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F852-405A-8349-FEA4B5B4363B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F852-405A-8349-FEA4B5B4363B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F852-405A-8349-FEA4B5B4363B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F852-405A-8349-FEA4B5B4363B}"/>
              </c:ext>
            </c:extLst>
          </c:dPt>
          <c:dPt>
            <c:idx val="25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33-F852-405A-8349-FEA4B5B4363B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F852-405A-8349-FEA4B5B4363B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F852-405A-8349-FEA4B5B4363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8-F852-405A-8349-FEA4B5B4363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9-F852-405A-8349-FEA4B5B4363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A-F852-405A-8349-FEA4B5B4363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B-F852-405A-8349-FEA4B5B4363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3C-F852-405A-8349-FEA4B5B4363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3D-F852-405A-8349-FEA4B5B4363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3E-F852-405A-8349-FEA4B5B4363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3F-F852-405A-8349-FEA4B5B4363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0-F852-405A-8349-FEA4B5B4363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1-F852-405A-8349-FEA4B5B4363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2-F852-405A-8349-FEA4B5B4363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3-F852-405A-8349-FEA4B5B4363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44-F852-405A-8349-FEA4B5B4363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45-F852-405A-8349-FEA4B5B4363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46-F852-405A-8349-FEA4B5B4363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47-F852-405A-8349-FEA4B5B4363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48-F852-405A-8349-FEA4B5B4363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49-F852-405A-8349-FEA4B5B4363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4A-F852-405A-8349-FEA4B5B4363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4B-F852-405A-8349-FEA4B5B436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Финансы!$D$1207:$D$1254</c:f>
              <c:strCache>
                <c:ptCount val="47"/>
                <c:pt idx="0">
                  <c:v>Телефон</c:v>
                </c:pt>
                <c:pt idx="1">
                  <c:v>Интернет</c:v>
                </c:pt>
                <c:pt idx="2">
                  <c:v>Проезд</c:v>
                </c:pt>
                <c:pt idx="4">
                  <c:v>Подписки</c:v>
                </c:pt>
                <c:pt idx="5">
                  <c:v>Налоги/Комиссии</c:v>
                </c:pt>
                <c:pt idx="6">
                  <c:v>Штрафы</c:v>
                </c:pt>
                <c:pt idx="8">
                  <c:v>Долги-</c:v>
                </c:pt>
                <c:pt idx="10">
                  <c:v>Переводы-</c:v>
                </c:pt>
                <c:pt idx="11">
                  <c:v>Потеря/Украдено</c:v>
                </c:pt>
                <c:pt idx="12">
                  <c:v>Подарок-</c:v>
                </c:pt>
                <c:pt idx="14">
                  <c:v>Продукты/Бытовые расходники</c:v>
                </c:pt>
                <c:pt idx="16">
                  <c:v>Снэки/Сладости</c:v>
                </c:pt>
                <c:pt idx="18">
                  <c:v>Обед на работе</c:v>
                </c:pt>
                <c:pt idx="20">
                  <c:v>Кофейни/Кофе</c:v>
                </c:pt>
                <c:pt idx="22">
                  <c:v>Сигареты</c:v>
                </c:pt>
                <c:pt idx="24">
                  <c:v>Алкоголь</c:v>
                </c:pt>
                <c:pt idx="26">
                  <c:v>Аптека/Мед услуги</c:v>
                </c:pt>
                <c:pt idx="28">
                  <c:v>Гигиена/Бытовая химия</c:v>
                </c:pt>
                <c:pt idx="30">
                  <c:v>Игры/Софт/Курсы</c:v>
                </c:pt>
                <c:pt idx="31">
                  <c:v>Инет заказы</c:v>
                </c:pt>
                <c:pt idx="32">
                  <c:v>Одежда</c:v>
                </c:pt>
                <c:pt idx="34">
                  <c:v>Техника/Инструменты/Разное</c:v>
                </c:pt>
                <c:pt idx="36">
                  <c:v>Дни рождения/Подарки</c:v>
                </c:pt>
                <c:pt idx="38">
                  <c:v>Отдых/Путешествие</c:v>
                </c:pt>
                <c:pt idx="40">
                  <c:v>Заведения</c:v>
                </c:pt>
                <c:pt idx="42">
                  <c:v>Тренировки</c:v>
                </c:pt>
                <c:pt idx="44">
                  <c:v>Ремонт</c:v>
                </c:pt>
                <c:pt idx="46">
                  <c:v>Барбер</c:v>
                </c:pt>
              </c:strCache>
            </c:strRef>
          </c:cat>
          <c:val>
            <c:numRef>
              <c:f>Финансы!$AN$1207:$AN$1254</c:f>
              <c:numCache>
                <c:formatCode>General</c:formatCode>
                <c:ptCount val="48"/>
                <c:pt idx="0">
                  <c:v>10</c:v>
                </c:pt>
                <c:pt idx="1">
                  <c:v>27.5</c:v>
                </c:pt>
                <c:pt idx="2">
                  <c:v>102.5</c:v>
                </c:pt>
                <c:pt idx="4">
                  <c:v>56.95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94</c:v>
                </c:pt>
                <c:pt idx="11">
                  <c:v>0</c:v>
                </c:pt>
                <c:pt idx="12">
                  <c:v>40.61</c:v>
                </c:pt>
                <c:pt idx="14">
                  <c:v>258.68</c:v>
                </c:pt>
                <c:pt idx="16">
                  <c:v>175.08999999999997</c:v>
                </c:pt>
                <c:pt idx="18">
                  <c:v>77.490000000000009</c:v>
                </c:pt>
                <c:pt idx="20">
                  <c:v>23.35</c:v>
                </c:pt>
                <c:pt idx="22">
                  <c:v>185.20000000000005</c:v>
                </c:pt>
                <c:pt idx="24">
                  <c:v>55.92</c:v>
                </c:pt>
                <c:pt idx="26">
                  <c:v>34.18</c:v>
                </c:pt>
                <c:pt idx="28">
                  <c:v>0</c:v>
                </c:pt>
                <c:pt idx="30">
                  <c:v>14.19</c:v>
                </c:pt>
                <c:pt idx="31">
                  <c:v>120.60999999999999</c:v>
                </c:pt>
                <c:pt idx="32">
                  <c:v>15.16</c:v>
                </c:pt>
                <c:pt idx="34">
                  <c:v>0</c:v>
                </c:pt>
                <c:pt idx="36">
                  <c:v>25</c:v>
                </c:pt>
                <c:pt idx="38">
                  <c:v>104.8</c:v>
                </c:pt>
                <c:pt idx="40">
                  <c:v>67.47</c:v>
                </c:pt>
                <c:pt idx="42">
                  <c:v>60</c:v>
                </c:pt>
                <c:pt idx="44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852-405A-8349-FEA4B5B4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ru-B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76200</xdr:colOff>
      <xdr:row>1205</xdr:row>
      <xdr:rowOff>0</xdr:rowOff>
    </xdr:from>
    <xdr:ext cx="9972675" cy="6172200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rews Sche" id="{e25bff14-ec82-4bf4-b677-363293ccf3cb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Таблица2" displayName="Таблица2" ref="B2:L16">
  <autoFilter ref="B2:L16" xr:uid="{00000000-0009-0000-0100-000005000000}">
    <filterColumn colId="8">
      <filters>
        <filter val="висит"/>
      </filters>
    </filterColumn>
  </autoFilter>
  <tableColumns count="11">
    <tableColumn id="1" xr3:uid="{00000000-0010-0000-0400-000001000000}" name="Дата"/>
    <tableColumn id="2" xr3:uid="{00000000-0010-0000-0400-000002000000}" name="Кто"/>
    <tableColumn id="3" xr3:uid="{00000000-0010-0000-0400-000003000000}" name="что"/>
    <tableColumn id="4" xr3:uid="{00000000-0010-0000-0400-000004000000}" name="Кому"/>
    <tableColumn id="5" xr3:uid="{00000000-0010-0000-0400-000005000000}" name="Должен"/>
    <tableColumn id="6" xr3:uid="{00000000-0010-0000-0400-000006000000}" name="Валюта"/>
    <tableColumn id="7" xr3:uid="{00000000-0010-0000-0400-000007000000}" name="До какого"/>
    <tableColumn id="8" xr3:uid="{00000000-0010-0000-0400-000008000000}" name="Нал/Карта"/>
    <tableColumn id="9" xr3:uid="{00000000-0010-0000-0400-000009000000}" name="Статус"/>
    <tableColumn id="10" xr3:uid="{00000000-0010-0000-0400-00000A000000}" name="Сколько возврат"/>
    <tableColumn id="11" xr3:uid="{00000000-0010-0000-0400-00000B000000}" name="Комментарий"/>
  </tableColumns>
  <tableStyleInfo name="Долг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300" dT="2025-11-30T20:16:56.00" personId="{e25bff14-ec82-4bf4-b677-363293ccf3cb}" id="{ba205759-f58e-4a47-86b3-ff64ac50ac31}" done="0">
    <x18tc:text xml:space="preserve">винлайн</x18tc:text>
  </x18tc:threadedComment>
  <x18tc:threadedComment ref="M698" dT="2025-06-08T22:22:06.00" personId="{e25bff14-ec82-4bf4-b677-363293ccf3cb}" id="{69614ae3-5c96-43a7-9505-0b7663804bc7}" done="0">
    <x18tc:text xml:space="preserve">игра про котика Наде</x18tc:text>
  </x18tc:threadedComment>
  <x18tc:threadedComment ref="N176" dT="2026-01-09T20:03:48.00" personId="{e25bff14-ec82-4bf4-b677-363293ccf3cb}" id="{fa5c295a-21e6-4d95-b5d1-2b89b7815e74}" done="0">
    <x18tc:text xml:space="preserve">винлайн</x18tc:text>
  </x18tc:threadedComment>
  <x18tc:threadedComment ref="U319" dT="2025-11-17T07:59:15.00" personId="{e25bff14-ec82-4bf4-b677-363293ccf3cb}" id="{6b1e4436-c008-477b-bae1-82d83b7668e5}" done="0">
    <x18tc:text xml:space="preserve">винлайн</x18tc:text>
  </x18tc:threadedComment>
  <x18tc:threadedComment ref="J487" dT="2025-09-05T20:54:31.00" personId="{e25bff14-ec82-4bf4-b677-363293ccf3cb}" id="{f6db6d03-4f05-41e7-ae4d-dbfca77d99a4}" done="0">
    <x18tc:text xml:space="preserve">Камера от Ника</x18tc:text>
  </x18tc:threadedComment>
  <x18tc:threadedComment ref="AG600" dT="2025-07-28T10:31:36.00" personId="{e25bff14-ec82-4bf4-b677-363293ccf3cb}" id="{de869b77-6c0f-4158-b0ec-b2c47c552cf0}" done="0">
    <x18tc:text xml:space="preserve">за Калининград Оксане, Вите, Жене и Владу</x18tc:text>
  </x18tc:threadedComment>
  <x18tc:threadedComment ref="Y767" dT="2025-05-20T08:16:43.00" personId="{e25bff14-ec82-4bf4-b677-363293ccf3cb}" id="{b43e512c-2523-4c23-bc1d-975dae3ec11e}" done="0">
    <x18tc:text xml:space="preserve">предоплата за баню Максу</x18tc:text>
  </x18tc:threadedComment>
  <x18tc:threadedComment ref="L319" dT="2025-11-07T11:00:58.00" personId="{e25bff14-ec82-4bf4-b677-363293ccf3cb}" id="{d755a657-8860-4df7-8733-edcb03f7cd4b}" done="0">
    <x18tc:text xml:space="preserve">винлайн</x18tc:text>
  </x18tc:threadedComment>
  <x18tc:threadedComment ref="J507" dT="2025-08-05T19:25:20.00" personId="{e25bff14-ec82-4bf4-b677-363293ccf3cb}" id="{54a0128a-83fa-4268-98d2-ccb22f8418cd}" done="0">
    <x18tc:text xml:space="preserve">ЗП + отпускные</x18tc:text>
  </x18tc:threadedComment>
  <x18tc:threadedComment ref="AG156" dT="2026-01-28T19:44:52.00" personId="{e25bff14-ec82-4bf4-b677-363293ccf3cb}" id="{7337f0ae-a21e-45e1-b83a-2d46d4ca6c3c}" done="0">
    <x18tc:text xml:space="preserve">винлайн</x18tc:text>
  </x18tc:threadedComment>
  <x18tc:threadedComment ref="Z248" dT="2025-12-24T14:09:41.00" personId="{e25bff14-ec82-4bf4-b677-363293ccf3cb}" id="{938e7057-2a7b-49f1-9d5b-486d28090c61}" done="0">
    <x18tc:text xml:space="preserve">винлайн</x18tc:text>
  </x18tc:threadedComment>
  <x18tc:threadedComment ref="S170" dT="2026-01-14T23:01:59.00" personId="{e25bff14-ec82-4bf4-b677-363293ccf3cb}" id="{d161e110-8674-42e4-8947-beee18a8cef7}" done="0">
    <x18tc:text xml:space="preserve">Яндекс 360</x18tc:text>
  </x18tc:threadedComment>
  <x18tc:threadedComment ref="T637" dT="2025-07-15T21:18:50.00" personId="{e25bff14-ec82-4bf4-b677-363293ccf3cb}" id="{1219efc5-e311-4134-b2ae-e56cd03818ac}" done="0">
    <x18tc:text xml:space="preserve">гравировка клавы на макбук Наде</x18tc:text>
  </x18tc:threadedComment>
  <x18tc:threadedComment ref="G459" dT="2025-09-02T15:07:39.00" personId="{e25bff14-ec82-4bf4-b677-363293ccf3cb}" id="{136e9bf3-197e-47b4-a8d6-9e32ee47106e}" done="0">
    <x18tc:text xml:space="preserve">дал в долг Владу</x18tc:text>
  </x18tc:threadedComment>
  <x18tc:threadedComment ref="T581" dT="2025-07-15T21:20:25.00" personId="{e25bff14-ec82-4bf4-b677-363293ccf3cb}" id="{d6f0e72d-dc97-4385-acf3-7fb8c265b35c}" done="0">
    <x18tc:text xml:space="preserve">Надя за гравировку и такси и Дима за еду</x18tc:text>
  </x18tc:threadedComment>
  <x18tc:threadedComment ref="K171" dT="2026-01-06T17:14:01.00" personId="{e25bff14-ec82-4bf4-b677-363293ccf3cb}" id="{2e83d91f-3be3-4c31-a6c0-4330b9b9c39a}" done="0">
    <x18tc:text xml:space="preserve">снятие 1500+руб не в АТМ приорбанка</x18tc:text>
  </x18tc:threadedComment>
  <x18tc:threadedComment ref="Q619" dT="2025-07-12T11:41:32.00" personId="{e25bff14-ec82-4bf4-b677-363293ccf3cb}" id="{7224b9c5-d923-4ad1-9eca-84051eac2401}" done="0">
    <x18tc:text xml:space="preserve">линзы (-2,5)</x18tc:text>
  </x18tc:threadedComment>
  <x18tc:threadedComment ref="F650" dT="2025-06-01T18:20:54.00" personId="{e25bff14-ec82-4bf4-b677-363293ccf3cb}" id="{1b4500b6-a89f-4e9e-b9d6-37f808576278}" done="0">
    <x18tc:text xml:space="preserve">от Нади за заказ с вб подарок Леше</x18tc:text>
  </x18tc:threadedComment>
  <x18tc:threadedComment ref="F650" dT="2025-06-01T18:21:27.00" personId="{e25bff14-ec82-4bf4-b677-363293ccf3cb}" id="{e9d510fc-4dc0-4567-a46b-d11fa37eebe4}" parentId="{1b4500b6-a89f-4e9e-b9d6-37f808576278}">
    <x18tc:text xml:space="preserve">+такси</x18tc:text>
  </x18tc:threadedComment>
  <x18tc:threadedComment ref="G319" dT="2025-11-02T16:40:56.00" personId="{e25bff14-ec82-4bf4-b677-363293ccf3cb}" id="{dde38abd-1656-4933-81fc-cc4a24115597}" done="0">
    <x18tc:text xml:space="preserve">винлайн</x18tc:text>
  </x18tc:threadedComment>
  <x18tc:threadedComment ref="AG176" dT="2026-01-28T12:42:46.00" personId="{e25bff14-ec82-4bf4-b677-363293ccf3cb}" id="{5be2d81c-4f98-42b3-bea4-2d02d7cd160c}" done="0">
    <x18tc:text xml:space="preserve">винлайн</x18tc:text>
  </x18tc:threadedComment>
  <x18tc:threadedComment ref="AA459" dT="2025-09-22T12:23:10.00" personId="{e25bff14-ec82-4bf4-b677-363293ccf3cb}" id="{9105d0e1-3579-46c4-9ddb-91000bfd0b7a}" done="0">
    <x18tc:text xml:space="preserve">Диме в долг</x18tc:text>
  </x18tc:threadedComment>
  <x18tc:threadedComment ref="Q630" dT="2025-07-12T11:42:43.00" personId="{e25bff14-ec82-4bf4-b677-363293ccf3cb}" id="{d7877d49-4a5f-46d5-a1e4-51f0aee2312e}" done="0">
    <x18tc:text xml:space="preserve">на Марину и Максима</x18tc:text>
  </x18tc:threadedComment>
  <x18tc:threadedComment ref="AD530" dT="2025-08-25T08:28:53.00" personId="{e25bff14-ec82-4bf4-b677-363293ccf3cb}" id="{0b94cacd-73f7-4663-8ff3-8928c8b87f48}" done="0">
    <x18tc:text xml:space="preserve">Владу за водку</x18tc:text>
  </x18tc:threadedComment>
  <x18tc:threadedComment ref="J99" dT="2026-02-05T13:27:15.00" personId="{e25bff14-ec82-4bf4-b677-363293ccf3cb}" id="{030154bb-73c9-4dc5-af5f-8f13fa2efadb}" done="0">
    <x18tc:text xml:space="preserve">БСБ-банк обслуживание карты</x18tc:text>
  </x18tc:threadedComment>
  <x18tc:threadedComment ref="J248" dT="2025-12-05T09:50:55.00" personId="{e25bff14-ec82-4bf4-b677-363293ccf3cb}" id="{7c6ede4b-c918-4bf5-8489-43a5fa60b19f}" done="0">
    <x18tc:text xml:space="preserve">винлайн</x18tc:text>
  </x18tc:threadedComment>
  <x18tc:threadedComment ref="P560" dT="2025-08-13T19:24:29.00" personId="{e25bff14-ec82-4bf4-b677-363293ccf3cb}" id="{38e57ce4-c065-42d2-a37e-31c7bce35ba2}" done="0">
    <x18tc:text xml:space="preserve">стимдек Наде</x18tc:text>
  </x18tc:threadedComment>
  <x18tc:threadedComment ref="Y679" dT="2025-06-20T07:38:32.00" personId="{e25bff14-ec82-4bf4-b677-363293ccf3cb}" id="{7b45c5f9-2bd1-4b0d-979f-e3dbbe81802b}" done="0">
    <x18tc:text xml:space="preserve">пицца на работе</x18tc:text>
  </x18tc:threadedComment>
  <x18tc:threadedComment ref="Y679" dT="2025-06-20T08:38:07.00" personId="{e25bff14-ec82-4bf4-b677-363293ccf3cb}" id="{fe29bf00-ba97-4761-9b20-7e6cea45fe1e}" parentId="{7b45c5f9-2bd1-4b0d-979f-e3dbbe81802b}">
    <x18tc:text xml:space="preserve">+ 2 колы для Нины и для Оксаны</x18tc:text>
  </x18tc:threadedComment>
  <x18tc:threadedComment ref="AD319" dT="2025-11-25T17:28:12.00" personId="{e25bff14-ec82-4bf4-b677-363293ccf3cb}" id="{54e75483-467a-4227-b23f-07d4f96da2d3}" done="0">
    <x18tc:text xml:space="preserve">винлайн</x18tc:text>
  </x18tc:threadedComment>
  <x18tc:threadedComment ref="J527" dT="2025-08-05T11:40:44.00" personId="{e25bff14-ec82-4bf4-b677-363293ccf3cb}" id="{e473fd48-bf5d-41e0-acda-93a40bb392f6}" done="0">
    <x18tc:text xml:space="preserve">письмо Димы</x18tc:text>
  </x18tc:threadedComment>
  <x18tc:threadedComment ref="Z318" dT="2025-12-03T18:39:23.00" personId="{e25bff14-ec82-4bf4-b677-363293ccf3cb}" id="{002900ad-5b81-49b6-a743-fbbe37ca2b73}" done="0">
    <x18tc:text xml:space="preserve">вернул Наде</x18tc:text>
  </x18tc:threadedComment>
  <x18tc:threadedComment ref="K175" dT="2026-01-06T17:15:54.00" personId="{e25bff14-ec82-4bf4-b677-363293ccf3cb}" id="{8b4e6181-70f4-4323-b863-63ad82bb72c8}" done="0">
    <x18tc:text xml:space="preserve">долг Нику (500usd+65byn)</x18tc:text>
  </x18tc:threadedComment>
  <x18tc:threadedComment ref="X702" dT="2025-06-20T07:38:10.00" personId="{e25bff14-ec82-4bf4-b677-363293ccf3cb}" id="{13950560-afad-4459-aa73-f37efdb1c052}" done="0">
    <x18tc:text xml:space="preserve">Том Ям с Надей</x18tc:text>
  </x18tc:threadedComment>
  <x18tc:threadedComment ref="AD298" dT="2025-12-03T18:37:28.00" personId="{e25bff14-ec82-4bf4-b677-363293ccf3cb}" id="{e75c5648-dd26-4f4d-88d2-75e769ba8d8f}" done="0">
    <x18tc:text xml:space="preserve">от Эда</x18tc:text>
  </x18tc:threadedComment>
  <x18tc:threadedComment ref="AD698" dT="2025-06-25T10:13:54.00" personId="{e25bff14-ec82-4bf4-b677-363293ccf3cb}" id="{e18ba2d2-853e-4944-8b34-8100199d368c}" done="0">
    <x18tc:text xml:space="preserve">на др коллегам</x18tc:text>
  </x18tc:threadedComment>
  <x18tc:threadedComment ref="S442" dT="2025-09-15T09:50:55.00" personId="{e25bff14-ec82-4bf4-b677-363293ccf3cb}" id="{ef06fcc4-6f53-4e31-b9c9-f3539db950f9}" done="0">
    <x18tc:text xml:space="preserve">вывел со ставок на инт (285usd)</x18tc:text>
  </x18tc:threadedComment>
  <x18tc:threadedComment ref="V319" dT="2025-11-17T09:29:38.00" personId="{e25bff14-ec82-4bf4-b677-363293ccf3cb}" id="{d62153cc-86f8-405b-a866-ae5c91364402}" done="0">
    <x18tc:text xml:space="preserve">винлайн</x18tc:text>
  </x18tc:threadedComment>
  <x18tc:threadedComment ref="AH176" dT="2026-01-29T12:19:55.00" personId="{e25bff14-ec82-4bf4-b677-363293ccf3cb}" id="{5f4fdf1f-6b50-4130-9e56-236502bd8603}" done="0">
    <x18tc:text xml:space="preserve">винлайн</x18tc:text>
  </x18tc:threadedComment>
  <x18tc:threadedComment ref="O248" dT="2025-12-10T12:55:27.00" personId="{e25bff14-ec82-4bf4-b677-363293ccf3cb}" id="{8087ab9b-7e2a-4218-a642-6c9aac391916}" done="0">
    <x18tc:text xml:space="preserve">винлайн</x18tc:text>
  </x18tc:threadedComment>
  <x18tc:threadedComment ref="L415" dT="2025-10-07T18:27:45.00" personId="{e25bff14-ec82-4bf4-b677-363293ccf3cb}" id="{b637821b-f4dd-412a-b10b-eaab20c190ac}" done="0">
    <x18tc:text xml:space="preserve">чайник</x18tc:text>
  </x18tc:threadedComment>
  <x18tc:threadedComment ref="X390" dT="2025-10-19T18:11:39.00" personId="{e25bff14-ec82-4bf4-b677-363293ccf3cb}" id="{aad6995e-640e-40e3-a340-570716d575c0}" done="0">
    <x18tc:text xml:space="preserve">ставка 31,22usd + 20,85usd</x18tc:text>
  </x18tc:threadedComment>
  <x18tc:threadedComment ref="T304" dT="2025-12-03T18:36:31.00" personId="{e25bff14-ec82-4bf4-b677-363293ccf3cb}" id="{5cb7e8b7-5fab-458c-9fc3-3817c5a3c9ee}" done="0">
    <x18tc:text xml:space="preserve">от Кацуры</x18tc:text>
  </x18tc:threadedComment>
  <x18tc:threadedComment ref="Z581" dT="2025-07-22T11:28:40.00" personId="{e25bff14-ec82-4bf4-b677-363293ccf3cb}" id="{b2ca26dd-62df-48bf-ae05-7fc34f0fc27b}" done="0">
    <x18tc:text xml:space="preserve">от Марины за Кгд и от Димы за пиво и орешки</x18tc:text>
  </x18tc:threadedComment>
  <x18tc:threadedComment ref="K766" dT="2025-05-06T09:55:51.00" personId="{e25bff14-ec82-4bf4-b677-363293ccf3cb}" id="{4ebcea95-5fff-4d60-bde4-f7728688a0f4}" done="0">
    <x18tc:text xml:space="preserve">на др Ксюши</x18tc:text>
  </x18tc:threadedComment>
  <x18tc:threadedComment ref="L429" dT="2025-10-07T18:26:43.00" personId="{e25bff14-ec82-4bf4-b677-363293ccf3cb}" id="{3a1e84c6-b2a5-4dd0-ae66-d9aa208aedd8}" done="0">
    <x18tc:text xml:space="preserve">кофе за баллы (4р) + 4,58 по промокоду чайник</x18tc:text>
  </x18tc:threadedComment>
  <x18tc:threadedComment ref="K698" dT="2025-06-06T08:26:05.00" personId="{e25bff14-ec82-4bf4-b677-363293ccf3cb}" id="{cdfe070a-b221-4e53-b2e5-12eefd6b077a}" done="0">
    <x18tc:text xml:space="preserve">сдал на др Кать на работе</x18tc:text>
  </x18tc:threadedComment>
  <x18tc:threadedComment ref="W402" dT="2025-10-19T18:11:24.00" personId="{e25bff14-ec82-4bf4-b677-363293ccf3cb}" id="{ca5374c5-bb6c-4c1f-a717-daf833efbaa4}" done="0">
    <x18tc:text xml:space="preserve">2 пачки + зажигалка</x18tc:text>
  </x18tc:threadedComment>
  <x18tc:threadedComment ref="V461" dT="2025-09-17T09:56:33.00" personId="{e25bff14-ec82-4bf4-b677-363293ccf3cb}" id="{b36f365d-a0c3-4584-876c-6d5514cf3ac6}" done="0">
    <x18tc:text xml:space="preserve">Максу за баню</x18tc:text>
  </x18tc:threadedComment>
  <x18tc:threadedComment ref="S305" dT="2025-12-03T18:36:24.00" personId="{e25bff14-ec82-4bf4-b677-363293ccf3cb}" id="{7f2d19f7-3b34-44e2-8a7d-d7bb65b37a14}" done="0">
    <x18tc:text xml:space="preserve">от Эда</x18tc:text>
  </x18tc:threadedComment>
  <x18tc:threadedComment ref="T248" dT="2025-12-15T16:36:09.00" personId="{e25bff14-ec82-4bf4-b677-363293ccf3cb}" id="{70a41de2-d6a4-42ad-ab73-bdaa16c463e3}" done="0">
    <x18tc:text xml:space="preserve">винлайн</x18tc:text>
  </x18tc:threadedComment>
  <x18tc:threadedComment ref="Q390" dT="2025-10-12T19:31:06.00" personId="{e25bff14-ec82-4bf4-b677-363293ccf3cb}" id="{ef531ae7-65ef-4892-a83e-4e957eb0e879}" done="0">
    <x18tc:text xml:space="preserve">50р Валик долг за бар + винлайн 90р ставка</x18tc:text>
  </x18tc:threadedComment>
  <x18tc:threadedComment ref="V248" dT="2025-12-17T15:51:23.00" personId="{e25bff14-ec82-4bf4-b677-363293ccf3cb}" id="{b2bbecfb-62e9-4711-8650-e53131c9198d}" done="0">
    <x18tc:text xml:space="preserve">винлайн</x18tc:text>
  </x18tc:threadedComment>
  <x18tc:threadedComment ref="K654" dT="2025-06-08T12:23:03.00" personId="{e25bff14-ec82-4bf4-b677-363293ccf3cb}" id="{d0ddac64-6cbc-4401-aa8a-29969cb7a184}" done="0">
    <x18tc:text xml:space="preserve">возврат с вб</x18tc:text>
  </x18tc:threadedComment>
  <x18tc:threadedComment ref="N390" dT="2025-10-10T11:26:01.00" personId="{e25bff14-ec82-4bf4-b677-363293ccf3cb}" id="{b0e601f3-9d82-406f-a74f-425f75d3569e}" done="0">
    <x18tc:text xml:space="preserve">Максу за баню</x18tc:text>
  </x18tc:threadedComment>
  <x18tc:threadedComment ref="K246" dT="2025-12-06T17:09:49.00" personId="{e25bff14-ec82-4bf4-b677-363293ccf3cb}" id="{6e4ccf8c-1a3b-4932-a99d-fdea11a9d064}" done="0">
    <x18tc:text xml:space="preserve">Эду</x18tc:text>
  </x18tc:threadedComment>
  <x18tc:threadedComment ref="AI319" dT="2025-11-30T21:19:31.00" personId="{e25bff14-ec82-4bf4-b677-363293ccf3cb}" id="{108ab7c8-9449-4f62-86f8-c6d5ac5affba}" done="0">
    <x18tc:text xml:space="preserve">Андрею Круклинскому (впн)</x18tc:text>
  </x18tc:threadedComment>
  <x18tc:threadedComment ref="N429" dT="2025-10-10T11:29:12.00" personId="{e25bff14-ec82-4bf4-b677-363293ccf3cb}" id="{89de0eda-2a60-405f-9073-aafd143b114f}" done="0">
    <x18tc:text xml:space="preserve">баллы евроопт</x18tc:text>
  </x18tc:threadedComment>
  <x18tc:threadedComment ref="AB299" dT="2025-12-03T18:37:21.00" personId="{e25bff14-ec82-4bf4-b677-363293ccf3cb}" id="{9b5749ac-6975-4eb6-beb1-0984e5f71185}" done="0">
    <x18tc:text xml:space="preserve">от Нади</x18tc:text>
  </x18tc:threadedComment>
  <x18tc:threadedComment ref="T526" dT="2025-08-15T09:51:13.00" personId="{e25bff14-ec82-4bf4-b677-363293ccf3cb}" id="{c3b508bb-1904-4966-b143-0283915790cd}" done="0">
    <x18tc:text xml:space="preserve">16,99$ Google Drive 100gb</x18tc:text>
  </x18tc:threadedComment>
  <x18tc:threadedComment ref="AB669" dT="2025-06-23T08:10:50.00" personId="{e25bff14-ec82-4bf4-b677-363293ccf3cb}" id="{269ef816-415f-42dc-a008-d5dc3c521575}" done="0">
    <x18tc:text xml:space="preserve">за шашлык ребят с мили</x18tc:text>
  </x18tc:threadedComment>
  <x18tc:threadedComment ref="Z305" dT="2025-12-03T18:36:57.00" personId="{e25bff14-ec82-4bf4-b677-363293ccf3cb}" id="{4bd799de-466a-4f01-9de6-0600b9739e74}" done="0">
    <x18tc:text xml:space="preserve">от коллег</x18tc:text>
  </x18tc:threadedComment>
  <x18tc:threadedComment ref="G461" dT="2025-09-02T22:23:51.00" personId="{e25bff14-ec82-4bf4-b677-363293ccf3cb}" id="{8470fb2a-3b1f-4a57-bb4f-d3245b9ea927}" done="0">
    <x18tc:text xml:space="preserve">донат Петушаре 1,25$ (100rub)</x18tc:text>
  </x18tc:threadedComment>
  <x18tc:threadedComment ref="AE631" dT="2025-07-26T22:48:00.00" personId="{e25bff14-ec82-4bf4-b677-363293ccf3cb}" id="{bd0f2bab-6874-458d-9d99-f6ca7d73e2c6}" done="0">
    <x18tc:text xml:space="preserve">85+85 за байдарки (за себя и за Вову)</x18tc:text>
  </x18tc:threadedComment>
  <x18tc:threadedComment ref="AG319" dT="2025-11-28T17:14:35.00" personId="{e25bff14-ec82-4bf4-b677-363293ccf3cb}" id="{d2a99aba-79d2-4334-acf9-717067e2fae1}" done="0">
    <x18tc:text xml:space="preserve">винлайн</x18tc:text>
  </x18tc:threadedComment>
  <x18tc:threadedComment ref="AF691" dT="2025-06-27T23:10:43.00" personId="{e25bff14-ec82-4bf4-b677-363293ccf3cb}" id="{d228290a-9c48-431d-8f26-3da175f85761}" done="0">
    <x18tc:text xml:space="preserve">Наде дивинити</x18tc:text>
  </x18tc:threadedComment>
  <x18tc:threadedComment ref="S229" dT="2025-12-15T12:26:29.00" personId="{e25bff14-ec82-4bf4-b677-363293ccf3cb}" id="{9534c0c6-7188-48a5-a8fc-3678d22060e3}" done="0">
    <x18tc:text xml:space="preserve">от Вовы Нику на подарок</x18tc:text>
  </x18tc:threadedComment>
  <x18tc:threadedComment ref="AA552" dT="2025-08-22T14:26:52.00" personId="{e25bff14-ec82-4bf4-b677-363293ccf3cb}" id="{62195684-ac0a-453e-bcd3-928c261c94d2}" done="0">
    <x18tc:text xml:space="preserve">Наде мунлайтер</x18tc:text>
  </x18tc:threadedComment>
  <x18tc:threadedComment ref="AF346" dT="2025-11-28T17:14:28.00" personId="{e25bff14-ec82-4bf4-b677-363293ccf3cb}" id="{3bd01722-1b04-4420-9736-cb7ffb4c4ae8}" done="0">
    <x18tc:text xml:space="preserve">маме подарок</x18tc:text>
  </x18tc:threadedComment>
  <x18tc:threadedComment ref="N248" dT="2025-12-09T19:32:32.00" personId="{e25bff14-ec82-4bf4-b677-363293ccf3cb}" id="{00de3566-ae13-4008-a9df-59e697a277ad}" done="0">
    <x18tc:text xml:space="preserve">винлайн</x18tc:text>
  </x18tc:threadedComment>
  <x18tc:threadedComment ref="AH390" dT="2025-10-29T18:28:45.00" personId="{e25bff14-ec82-4bf4-b677-363293ccf3cb}" id="{2b795a1d-541b-4647-b667-cf510454a910}" done="0">
    <x18tc:text xml:space="preserve">ставка</x18tc:text>
  </x18tc:threadedComment>
  <x18tc:threadedComment ref="W376" dT="2025-10-19T20:09:52.00" personId="{e25bff14-ec82-4bf4-b677-363293ccf3cb}" id="{79eba68d-5100-4301-8c80-9961fb6c1530}" done="0">
    <x18tc:text xml:space="preserve">от Нади за пиво</x18tc:text>
  </x18tc:threadedComment>
  <x18tc:threadedComment ref="P568" dT="2025-08-15T12:35:19.00" personId="{e25bff14-ec82-4bf4-b677-363293ccf3cb}" id="{5231afd6-6b50-497b-9ef8-25a3900c8ee8}" done="0">
    <x18tc:text xml:space="preserve">Молния рюкзака</x18tc:text>
  </x18tc:threadedComment>
  <x18tc:threadedComment ref="F319" dT="2025-11-01T17:32:00.00" personId="{e25bff14-ec82-4bf4-b677-363293ccf3cb}" id="{74079e74-66a9-475f-a3ea-d895b92168c4}" done="0">
    <x18tc:text xml:space="preserve">винлайн</x18tc:text>
  </x18tc:threadedComment>
  <x18tc:threadedComment ref="Z319" dT="2025-11-21T09:44:33.00" personId="{e25bff14-ec82-4bf4-b677-363293ccf3cb}" id="{235f8f7d-703e-4d57-b519-30462872911a}" done="0">
    <x18tc:text xml:space="preserve">винлайн</x18tc:text>
  </x18tc:threadedComment>
  <x18tc:threadedComment ref="AC390" dT="2025-10-24T15:19:03.00" personId="{e25bff14-ec82-4bf4-b677-363293ccf3cb}" id="{61752044-64f0-4d4e-8872-a6c9c5c7c8c2}" done="0">
    <x18tc:text xml:space="preserve">ставки</x18tc:text>
  </x18tc:threadedComment>
  <x18tc:threadedComment ref="O553" dT="2025-08-15T12:35:00.00" personId="{e25bff14-ec82-4bf4-b677-363293ccf3cb}" id="{1c7a0c64-db51-4b37-9cd4-c17fd7ff3fc5}" done="0">
    <x18tc:text xml:space="preserve">Л-теанин</x18tc:text>
  </x18tc:threadedComment>
  <x18tc:threadedComment ref="P390" dT="2025-10-12T19:30:49.00" personId="{e25bff14-ec82-4bf4-b677-363293ccf3cb}" id="{413ddcff-6cee-46d6-ad9a-934c69e96b13}" done="0">
    <x18tc:text xml:space="preserve">винлайн ставки</x18tc:text>
  </x18tc:threadedComment>
  <x18tc:threadedComment ref="R754" dT="2025-05-14T12:18:41.00" personId="{e25bff14-ec82-4bf4-b677-363293ccf3cb}" id="{fc3d419a-a862-47e2-b21b-e82924a075ea}" done="0">
    <x18tc:text xml:space="preserve">ежовик</x18tc:text>
  </x18tc:threadedComment>
  <x18tc:threadedComment ref="T481" dT="2025-09-18T10:06:42.00" personId="{e25bff14-ec82-4bf4-b677-363293ccf3cb}" id="{1301d42a-c393-4fc8-9031-c768a905cc24}" done="0">
    <x18tc:text xml:space="preserve">No, I'm not a human</x18tc:text>
  </x18tc:threadedComment>
  <x18tc:threadedComment ref="R601" dT="2025-07-14T09:20:13.00" personId="{e25bff14-ec82-4bf4-b677-363293ccf3cb}" id="{f2d9fd3e-0626-40ff-952e-29370dc80eb3}" done="0">
    <x18tc:text xml:space="preserve">вернул Диме</x18tc:text>
  </x18tc:threadedComment>
  <x18tc:threadedComment ref="W481" dT="2025-09-18T10:01:57.00" personId="{e25bff14-ec82-4bf4-b677-363293ccf3cb}" id="{ebc36f89-8f9f-4f3a-bdad-19c208078ac9}" done="0">
    <x18tc:text xml:space="preserve">Игры в стиме yes your grace &amp; ni no kuni (6,06 usd)</x18tc:text>
  </x18tc:threadedComment>
  <x18tc:threadedComment ref="Y305" dT="2025-11-20T18:27:53.00" personId="{e25bff14-ec82-4bf4-b677-363293ccf3cb}" id="{6b81ea91-fc49-4160-bb96-ea5b2072be3e}" done="0">
    <x18tc:text xml:space="preserve">от мамы</x18tc:text>
  </x18tc:threadedComment>
  <x18tc:threadedComment ref="L512" dT="2025-08-07T18:46:33.00" personId="{e25bff14-ec82-4bf4-b677-363293ccf3cb}" id="{c848747f-6d38-4ac5-8ee5-5af5029796af}" done="0">
    <x18tc:text xml:space="preserve">за пиво и орешки от Димы</x18tc:text>
  </x18tc:threadedComment>
  <x18tc:threadedComment ref="N461" dT="2025-09-09T20:16:50.00" personId="{e25bff14-ec82-4bf4-b677-363293ccf3cb}" id="{ba7c2120-3e6d-49dd-954c-95c83b5bdb5b}" done="0">
    <x18tc:text xml:space="preserve">Донат Петушаре (1,22usd*2)</x18tc:text>
  </x18tc:threadedComment>
  <x18tc:threadedComment ref="Y319" dT="2025-11-20T18:06:20.00" personId="{e25bff14-ec82-4bf4-b677-363293ccf3cb}" id="{3a745a27-8058-4b43-8601-3e15a72970de}" done="0">
    <x18tc:text xml:space="preserve">винлайн</x18tc:text>
  </x18tc:threadedComment>
  <x18tc:threadedComment ref="I406" dT="2025-10-05T12:20:56.00" personId="{e25bff14-ec82-4bf4-b677-363293ccf3cb}" id="{38f8ca96-7efd-40da-9539-1cb537096675}" done="0">
    <x18tc:text xml:space="preserve">обезбол + жидкость для глаз</x18tc:text>
  </x18tc:threadedComment>
  <x18tc:threadedComment ref="N98" dT="2026-02-09T08:40:41.00" personId="{e25bff14-ec82-4bf4-b677-363293ccf3cb}" id="{bfceb383-52db-4af9-a7c8-8981ead61890}" done="0">
    <x18tc:text xml:space="preserve">VPS</x18tc:text>
  </x18tc:threadedComment>
  <x18tc:threadedComment ref="J156" dT="2026-01-05T11:58:44.00" personId="{e25bff14-ec82-4bf4-b677-363293ccf3cb}" id="{f5e850b0-17f2-49a3-8555-195801b7acb5}" done="0">
    <x18tc:text xml:space="preserve">винлайн</x18tc:text>
  </x18tc:threadedComment>
  <x18tc:threadedComment ref="J317" dT="2025-11-05T12:32:33.00" personId="{e25bff14-ec82-4bf4-b677-363293ccf3cb}" id="{bc6d08e4-4411-4ad9-9ba8-5e107e6ba9aa}" done="0">
    <x18tc:text xml:space="preserve">долг Валику вернул</x18tc:text>
  </x18tc:threadedComment>
  <x18tc:threadedComment ref="AH246" dT="2025-12-29T14:57:09.00" personId="{e25bff14-ec82-4bf4-b677-363293ccf3cb}" id="{cc3e44aa-f9f9-4d11-8dbc-8d244fb765c3}" done="0">
    <x18tc:text xml:space="preserve">долги Вите и Максу за Москву</x18tc:text>
  </x18tc:threadedComment>
  <x18tc:threadedComment ref="N489" dT="2025-09-09T20:14:56.00" personId="{e25bff14-ec82-4bf4-b677-363293ccf3cb}" id="{b177ae49-6225-4958-914f-6f979892a5fd}" done="0">
    <x18tc:text xml:space="preserve">Розочка Наде</x18tc:text>
  </x18tc:threadedComment>
  <x18tc:threadedComment ref="AF176" dT="2026-01-28T00:56:54.00" personId="{e25bff14-ec82-4bf4-b677-363293ccf3cb}" id="{17bb31a0-20e0-4a5b-a553-f94097eb8c8d}" done="0">
    <x18tc:text xml:space="preserve">винлайн</x18tc:text>
  </x18tc:threadedComment>
  <x18tc:threadedComment ref="AA319" dT="2025-11-22T18:52:31.00" personId="{e25bff14-ec82-4bf4-b677-363293ccf3cb}" id="{05282881-cc42-4bd5-ad07-9b7927beeb63}" done="0">
    <x18tc:text xml:space="preserve">винлайн</x18tc:text>
  </x18tc:threadedComment>
  <x18tc:threadedComment ref="AA544" dT="2025-08-22T19:51:45.00" personId="{e25bff14-ec82-4bf4-b677-363293ccf3cb}" id="{92e0eba9-923e-451b-afb8-9d305c878882}" done="0">
    <x18tc:text xml:space="preserve">Диме для вейпа 16,99</x18tc:text>
  </x18tc:threadedComment>
  <x18tc:threadedComment ref="P461" dT="2025-09-11T19:32:49.00" personId="{e25bff14-ec82-4bf4-b677-363293ccf3cb}" id="{28ed7bd7-b122-430e-b76e-af602f79a14e}" done="0">
    <x18tc:text xml:space="preserve">31,22usd ставка</x18tc:text>
  </x18tc:threadedComment>
  <x18tc:threadedComment ref="S248" dT="2025-12-14T18:28:08.00" personId="{e25bff14-ec82-4bf4-b677-363293ccf3cb}" id="{a481045a-c175-4ea0-b234-2249730763b1}" done="0">
    <x18tc:text xml:space="preserve">винлайн</x18tc:text>
  </x18tc:threadedComment>
  <x18tc:threadedComment ref="AA526" dT="2025-08-22T19:52:25.00" personId="{e25bff14-ec82-4bf4-b677-363293ccf3cb}" id="{a130e439-fc12-4a8f-9807-b94423318aeb}" done="0">
    <x18tc:text xml:space="preserve">грок</x18tc:text>
  </x18tc:threadedComment>
  <x18tc:threadedComment ref="AA692" dT="2025-06-22T18:31:35.00" personId="{e25bff14-ec82-4bf4-b677-363293ccf3cb}" id="{3cf87c10-52bd-4a37-b804-f3271996d6fb}" done="0">
    <x18tc:text xml:space="preserve">Штаны и мышка с вб</x18tc:text>
  </x18tc:threadedComment>
  <x18tc:threadedComment ref="AB719" dT="2025-05-23T14:17:51.00" personId="{e25bff14-ec82-4bf4-b677-363293ccf3cb}" id="{d1db9e90-4248-42fa-b141-85d2793fc666}" done="0">
    <x18tc:text xml:space="preserve">Эд отдал долг</x18tc:text>
  </x18tc:threadedComment>
  <x18tc:threadedComment ref="K176" dT="2026-01-07T02:11:06.00" personId="{e25bff14-ec82-4bf4-b677-363293ccf3cb}" id="{4a3d257e-394d-4fe2-a90e-8343c7d0232c}" done="0">
    <x18tc:text xml:space="preserve">винлайн</x18tc:text>
  </x18tc:threadedComment>
  <x18tc:threadedComment ref="AI601" dT="2025-07-30T11:55:31.00" personId="{e25bff14-ec82-4bf4-b677-363293ccf3cb}" id="{ec3fb578-6ccd-45ed-920c-2ef8400c7cd1}" done="0">
    <x18tc:text xml:space="preserve">вернул Диме с сотки</x18tc:text>
  </x18tc:threadedComment>
  <x18tc:threadedComment ref="V736" dT="2025-05-18T18:12:51.00" personId="{e25bff14-ec82-4bf4-b677-363293ccf3cb}" id="{00ac9479-2e0a-4929-a098-4cc746302ff9}" done="0">
    <x18tc:text xml:space="preserve">дал в долг Эду</x18tc:text>
  </x18tc:threadedComment>
  <x18tc:threadedComment ref="AH582" dT="2025-07-30T11:55:09.00" personId="{e25bff14-ec82-4bf4-b677-363293ccf3cb}" id="{50f5b86d-2597-47d2-8480-5a0e0398feaf}" done="0">
    <x18tc:text xml:space="preserve">долг от Димы на магаз</x18tc:text>
  </x18tc:threadedComment>
  <x18tc:threadedComment ref="AF623" dT="2025-07-27T20:29:50.00" personId="{e25bff14-ec82-4bf4-b677-363293ccf3cb}" id="{ae2c51ad-21cb-4458-b68e-fcc92f837bfb}" done="0">
    <x18tc:text xml:space="preserve">телескоп, удочка и водонагреватель</x18tc:text>
  </x18tc:threadedComment>
  <x18tc:threadedComment ref="AD170" dT="2026-01-25T20:37:58.00" personId="{e25bff14-ec82-4bf4-b677-363293ccf3cb}" id="{30a0c034-2efb-4ead-8994-e9b952002cba}" done="0">
    <x18tc:text xml:space="preserve">chatgpt</x18tc:text>
  </x18tc:threadedComment>
  <x18tc:threadedComment ref="X456" dT="2025-09-20T12:27:56.00" personId="{e25bff14-ec82-4bf4-b677-363293ccf3cb}" id="{055a905f-2d11-4865-a206-a497ad2f13f3}" done="0">
    <x18tc:text xml:space="preserve">Налог на имущество</x18tc:text>
  </x18tc:threadedComment>
  <x18tc:threadedComment ref="L546" dT="2025-08-07T18:45:44.00" personId="{e25bff14-ec82-4bf4-b677-363293ccf3cb}" id="{008bd84b-eda2-49ee-815d-a5a76df4a163}" done="0">
    <x18tc:text xml:space="preserve">Диме пиво</x18tc:text>
  </x18tc:threadedComment>
  <x18tc:threadedComment ref="AA665" dT="2025-06-22T15:48:36.00" personId="{e25bff14-ec82-4bf4-b677-363293ccf3cb}" id="{fc4068e6-aacc-412d-b039-094266aafcc2}" done="0">
    <x18tc:text xml:space="preserve">SuperGrok</x18tc:text>
  </x18tc:threadedComment>
  <x18tc:threadedComment ref="AI176" dT="2026-01-30T20:15:58.00" personId="{e25bff14-ec82-4bf4-b677-363293ccf3cb}" id="{39036762-a73f-43a1-9d1f-ff646c058f86}" done="0">
    <x18tc:text xml:space="preserve">винлайн</x18tc:text>
  </x18tc:threadedComment>
  <x18tc:threadedComment ref="S275" dT="2025-12-14T20:49:26.00" personId="{e25bff14-ec82-4bf4-b677-363293ccf3cb}" id="{4e29f115-015e-4d2b-a9bf-aecc5b013e05}" done="0">
    <x18tc:text xml:space="preserve">подарок маме на НГ</x18tc:text>
  </x18tc:threadedComment>
  <x18tc:threadedComment ref="W408" dT="2025-10-19T18:10:17.00" personId="{e25bff14-ec82-4bf4-b677-363293ccf3cb}" id="{5e8fe0e3-9ca7-425f-8037-b096032a0cd9}" done="0">
    <x18tc:text xml:space="preserve">дезодорант</x18tc:text>
  </x18tc:threadedComment>
  <x18tc:threadedComment ref="AB390" dT="2025-10-23T14:27:06.00" personId="{e25bff14-ec82-4bf4-b677-363293ccf3cb}" id="{0fa6301c-4050-4610-8731-523f8ca4fa8f}" done="0">
    <x18tc:text xml:space="preserve">ставки</x18tc:text>
  </x18tc:threadedComment>
  <x18tc:threadedComment ref="Q176" dT="2026-01-12T19:43:27.00" personId="{e25bff14-ec82-4bf4-b677-363293ccf3cb}" id="{828c2bb9-4b31-4293-aeea-803d56fed4c4}" done="0">
    <x18tc:text xml:space="preserve">винлайн</x18tc:text>
  </x18tc:threadedComment>
  <x18tc:threadedComment ref="M692" dT="2025-06-08T18:14:55.00" personId="{e25bff14-ec82-4bf4-b677-363293ccf3cb}" id="{818bfe17-afed-429b-95ff-5586a0c0bb21}" done="0">
    <x18tc:text xml:space="preserve">ремень и сумка с вб</x18tc:text>
  </x18tc:threadedComment>
  <x18tc:threadedComment ref="M429" dT="2025-10-08T07:57:50.00" personId="{e25bff14-ec82-4bf4-b677-363293ccf3cb}" id="{90c45800-e111-4141-8756-f8356dd8c5dd}" done="0">
    <x18tc:text xml:space="preserve">капучино по баллам</x18tc:text>
  </x18tc:threadedComment>
  <x18tc:threadedComment ref="AI691" dT="2025-06-30T21:41:54.00" personId="{e25bff14-ec82-4bf4-b677-363293ccf3cb}" id="{f9135503-0d87-4f6b-a6f0-6c38ec88e102}" done="0">
    <x18tc:text xml:space="preserve">распродажа стим</x18tc:text>
  </x18tc:threadedComment>
  <x18tc:threadedComment ref="R691" dT="2025-06-26T20:52:40.00" personId="{e25bff14-ec82-4bf4-b677-363293ccf3cb}" id="{97f8c8d3-30fe-41c6-b2f7-57e462e621c2}" done="0">
    <x18tc:text xml:space="preserve">The Alters</x18tc:text>
  </x18tc:threadedComment>
  <x18tc:threadedComment ref="J700" dT="2025-06-05T14:20:54.00" personId="{e25bff14-ec82-4bf4-b677-363293ccf3cb}" id="{ed195299-1776-434f-8028-7307e38d17e9}" done="0">
    <x18tc:text xml:space="preserve">баня</x18tc:text>
  </x18tc:threadedComment>
  <x18tc:threadedComment ref="W404" dT="2025-10-19T18:11:14.00" personId="{e25bff14-ec82-4bf4-b677-363293ccf3cb}" id="{c19f7522-647e-4c2e-905d-e1c1df524093}" done="0">
    <x18tc:text xml:space="preserve">бар пятница</x18tc:text>
  </x18tc:threadedComment>
  <x18tc:threadedComment ref="G622" dT="2025-07-02T21:38:46.00" personId="{e25bff14-ec82-4bf4-b677-363293ccf3cb}" id="{09bbd73e-66e3-4d70-8af3-f8ffbcd8e196}" done="0">
    <x18tc:text xml:space="preserve">ggsel games</x18tc:text>
  </x18tc:threadedComment>
  <x18tc:threadedComment ref="M826" dT="2025-04-08T17:15:55.00" personId="{e25bff14-ec82-4bf4-b677-363293ccf3cb}" id="{2c0b2a34-8897-49c0-936d-6ddb20e39bfe}" done="0">
    <x18tc:text xml:space="preserve">расширитель для носа</x18tc:text>
  </x18tc:threadedComment>
  <x18tc:threadedComment ref="W417" dT="2025-10-19T18:10:45.00" personId="{e25bff14-ec82-4bf4-b677-363293ccf3cb}" id="{b3b4a89e-7979-4d67-a3c4-8509ac195dc1}" done="0">
    <x18tc:text xml:space="preserve">др Лехи</x18tc:text>
  </x18tc:threadedComment>
  <x18tc:threadedComment ref="AB488" dT="2025-09-23T12:39:47.00" personId="{e25bff14-ec82-4bf4-b677-363293ccf3cb}" id="{c2f00989-0546-4fca-8d71-18351ecf880c}" done="0">
    <x18tc:text xml:space="preserve">На ДР Насти коллеге</x18tc:text>
  </x18tc:threadedComment>
  <x18tc:threadedComment ref="T299" dT="2025-11-16T18:34:41.00" personId="{e25bff14-ec82-4bf4-b677-363293ccf3cb}" id="{3f22fa10-a619-418d-9245-fe95ab0fa758}" done="0">
    <x18tc:text xml:space="preserve">от Нади</x18tc:text>
  </x18tc:threadedComment>
  <x18tc:threadedComment ref="O347" dT="2025-11-10T08:13:55.00" personId="{e25bff14-ec82-4bf4-b677-363293ccf3cb}" id="{c7acccf4-4c1b-4213-8d0d-1e4f96ccd8f0}" done="0">
    <x18tc:text xml:space="preserve">на Витю и на Егора</x18tc:text>
  </x18tc:threadedComment>
  <x18tc:threadedComment ref="AE691" dT="2025-06-26T20:52:18.00" personId="{e25bff14-ec82-4bf4-b677-363293ccf3cb}" id="{6c55e4df-7657-4f3b-949e-ec386f020147}" done="0">
    <x18tc:text xml:space="preserve">стим распродажа</x18tc:text>
  </x18tc:threadedComment>
  <x18tc:threadedComment ref="M319" dT="2025-11-08T15:18:49.00" personId="{e25bff14-ec82-4bf4-b677-363293ccf3cb}" id="{1e3dd004-4298-4b80-8233-1ab17af0443a}" done="0">
    <x18tc:text xml:space="preserve">винлайн</x18tc:text>
  </x18tc:threadedComment>
  <x18tc:threadedComment ref="I530" dT="2025-08-04T12:53:33.00" personId="{e25bff14-ec82-4bf4-b677-363293ccf3cb}" id="{2cb03c19-fe85-4597-bfa5-35b19c60753b}" done="0">
    <x18tc:text xml:space="preserve">Валику за шашлык</x18tc:text>
  </x18tc:threadedComment>
  <x18tc:threadedComment ref="F429" dT="2025-10-01T18:48:25.00" personId="{e25bff14-ec82-4bf4-b677-363293ccf3cb}" id="{ca8da068-41a5-4a5b-9942-8600d418142d}" done="0">
    <x18tc:text xml:space="preserve">кофе за баллы 4 + накопительная грин 0,18</x18tc:text>
  </x18tc:threadedComment>
  <x18tc:threadedComment ref="U563" dT="2025-08-17T23:10:38.00" personId="{e25bff14-ec82-4bf4-b677-363293ccf3cb}" id="{215393ce-0363-469a-b086-66341dc6e856}" done="0">
    <x18tc:text xml:space="preserve">Кино + фото</x18tc:text>
  </x18tc:threadedComment>
  <x18tc:threadedComment ref="M248" dT="2025-12-08T21:33:40.00" personId="{e25bff14-ec82-4bf4-b677-363293ccf3cb}" id="{bcdefb01-2965-4e26-9c02-30b3fe4a9640}" done="0">
    <x18tc:text xml:space="preserve">винлайн</x18tc:text>
  </x18tc:threadedComment>
  <x18tc:threadedComment ref="AC319" dT="2025-11-24T21:42:17.00" personId="{e25bff14-ec82-4bf4-b677-363293ccf3cb}" id="{0a22d170-8cc1-4aec-895f-07da929d52a6}" done="0">
    <x18tc:text xml:space="preserve">винлайн</x18tc:text>
  </x18tc:threadedComment>
  <x18tc:threadedComment ref="M406" dT="2025-10-08T07:58:19.00" personId="{e25bff14-ec82-4bf4-b677-363293ccf3cb}" id="{cd3eb5c1-7bd0-48cc-91cb-61bac9cde440}" done="0">
    <x18tc:text xml:space="preserve">спрей для носа и порошки</x18tc:text>
  </x18tc:threadedComment>
  <x18tc:threadedComment ref="AF500" dT="2025-09-29T07:43:44.00" personId="{e25bff14-ec82-4bf4-b677-363293ccf3cb}" id="{e9ece19d-2d1c-41ae-817e-cdc6cce215cb}" done="0">
    <x18tc:text xml:space="preserve">Корона Замок скидка на кулинарию</x18tc:text>
  </x18tc:threadedComment>
  <x18tc:threadedComment ref="V538" dT="2025-08-17T23:11:00.00" personId="{e25bff14-ec82-4bf4-b677-363293ccf3cb}" id="{c71a0d66-9320-432c-9eeb-96b75838b26c}" done="0">
    <x18tc:text xml:space="preserve">Диме орешки и кола зиро 2л (20руб)</x18tc:text>
  </x18tc:threadedComment>
  <x18tc:threadedComment ref="L805" dT="2025-04-07T08:35:27.00" personId="{e25bff14-ec82-4bf4-b677-363293ccf3cb}" id="{210fda5d-56ff-4ef3-a6c5-c08871f25a54}" done="0">
    <x18tc:text xml:space="preserve">За подарок книгу Руслику - Оксане</x18tc:text>
  </x18tc:threadedComment>
  <x18tc:threadedComment ref="F300" dT="2025-11-26T00:32:38.00" personId="{e25bff14-ec82-4bf4-b677-363293ccf3cb}" id="{375fa7ed-a017-48cc-aeae-3abd0837ade1}" done="0">
    <x18tc:text xml:space="preserve">винлайн</x18tc:text>
  </x18tc:threadedComment>
  <x18tc:threadedComment ref="Z481" dT="2025-09-21T18:05:44.00" personId="{e25bff14-ec82-4bf4-b677-363293ccf3cb}" id="{f721560b-e098-4c72-af7a-1c4ccbc38256}" done="0">
    <x18tc:text xml:space="preserve">Лёхе подарок The Alters (13,99usd)</x18tc:text>
  </x18tc:threadedComment>
  <x18tc:threadedComment ref="AJ390" dT="2025-10-31T15:16:46.00" personId="{e25bff14-ec82-4bf4-b677-363293ccf3cb}" id="{a2847994-8b9b-40a5-9fca-8c21f2f3c9cb}" done="0">
    <x18tc:text xml:space="preserve">винлайн</x18tc:text>
  </x18tc:threadedComment>
  <x18tc:threadedComment ref="AD300" dT="2025-11-26T00:32:32.00" personId="{e25bff14-ec82-4bf4-b677-363293ccf3cb}" id="{74b7a043-16a9-4654-80d2-169108978e8f}" done="0">
    <x18tc:text xml:space="preserve">винлайн</x18tc:text>
  </x18tc:threadedComment>
  <x18tc:threadedComment ref="AH481" dT="2025-09-29T11:05:58.00" personId="{e25bff14-ec82-4bf4-b677-363293ccf3cb}" id="{9fd652ee-357e-421c-b311-08425d2561ac}" done="0">
    <x18tc:text xml:space="preserve">подарок Владу CloverPit (5,66usd)</x18tc:text>
  </x18tc:threadedComment>
  <x18tc:threadedComment ref="J104" dT="2026-02-05T13:31:23.00" personId="{e25bff14-ec82-4bf4-b677-363293ccf3cb}" id="{a2261c27-0b47-465b-bd65-1e1282355ff0}" done="0">
    <x18tc:text xml:space="preserve">себе на карту БСБ</x18tc:text>
  </x18tc:threadedComment>
  <x18tc:threadedComment ref="J104" dT="2026-02-05T17:21:38.00" personId="{e25bff14-ec82-4bf4-b677-363293ccf3cb}" id="{9520006f-caa1-4642-9a64-6799edf4644c}" parentId="{a2261c27-0b47-465b-bd65-1e1282355ff0}">
    <x18tc:text xml:space="preserve">+ винлайн</x18tc:text>
  </x18tc:threadedComment>
  <x18tc:threadedComment ref="P176" dT="2026-01-12T00:07:21.00" personId="{e25bff14-ec82-4bf4-b677-363293ccf3cb}" id="{971d92b4-1a6f-4b4c-a01f-811590039a66}" done="0">
    <x18tc:text xml:space="preserve">винлайн</x18tc:text>
  </x18tc:threadedComment>
  <x18tc:threadedComment ref="AF246" dT="2025-12-28T19:18:35.00" personId="{e25bff14-ec82-4bf4-b677-363293ccf3cb}" id="{d2150910-0b18-465a-af41-76bcb6d11cf8}" done="0">
    <x18tc:text xml:space="preserve">Лехе за застолье</x18tc:text>
  </x18tc:threadedComment>
  <x18tc:threadedComment ref="O390" dT="2025-10-11T03:16:50.00" personId="{e25bff14-ec82-4bf4-b677-363293ccf3cb}" id="{f6a04f6f-49c4-4e09-b72e-25978ee463ba}" done="0">
    <x18tc:text xml:space="preserve">31,22 usd - ставки</x18tc:text>
  </x18tc:threadedComment>
  <x18tc:threadedComment ref="M689" dT="2025-06-08T18:14:11.00" personId="{e25bff14-ec82-4bf4-b677-363293ccf3cb}" id="{e159c183-8e7c-43e3-9cf1-c634199b343f}" done="0">
    <x18tc:text xml:space="preserve">жидкое мыло</x18tc:text>
  </x18tc:threadedComment>
  <x18tc:threadedComment ref="V429" dT="2025-10-18T14:42:28.00" personId="{e25bff14-ec82-4bf4-b677-363293ccf3cb}" id="{089afbb4-f126-4cad-bc0f-a5f210592a69}" done="0">
    <x18tc:text xml:space="preserve">скидка на пельмени грин</x18tc:text>
  </x18tc:threadedComment>
  <x18tc:threadedComment ref="K692" dT="2025-06-06T19:32:19.00" personId="{e25bff14-ec82-4bf4-b677-363293ccf3cb}" id="{2e6155bb-f47f-4a9d-a80f-51791fce29b2}" done="0">
    <x18tc:text xml:space="preserve">олд мани одежда</x18tc:text>
  </x18tc:threadedComment>
  <x18tc:threadedComment ref="G248" dT="2025-12-02T15:19:32.00" personId="{e25bff14-ec82-4bf4-b677-363293ccf3cb}" id="{6abc520b-057d-490b-aaac-3e019be20ad8}" done="0">
    <x18tc:text xml:space="preserve">винлайн</x18tc:text>
  </x18tc:threadedComment>
  <x18tc:threadedComment ref="AG269" dT="2025-12-28T19:19:44.00" personId="{e25bff14-ec82-4bf4-b677-363293ccf3cb}" id="{a4d2defd-d505-4796-8a67-d89c2dc1c8b0}" done="0">
    <x18tc:text xml:space="preserve">подарки</x18tc:text>
  </x18tc:threadedComment>
  <x18tc:threadedComment ref="K317" dT="2025-11-06T09:23:35.00" personId="{e25bff14-ec82-4bf4-b677-363293ccf3cb}" id="{98392f8e-3170-48e0-bb7e-685c9c00bd18}" done="0">
    <x18tc:text xml:space="preserve">Кацуре</x18tc:text>
  </x18tc:threadedComment>
  <x18tc:threadedComment ref="S176" dT="2026-01-14T19:00:19.00" personId="{e25bff14-ec82-4bf4-b677-363293ccf3cb}" id="{174e96a8-77a1-4521-87f6-c0a2ee516778}" done="0">
    <x18tc:text xml:space="preserve">винлайн</x18tc:text>
  </x18tc:threadedComment>
  <x18tc:threadedComment ref="AF227" dT="2025-12-28T19:19:26.00" personId="{e25bff14-ec82-4bf4-b677-363293ccf3cb}" id="{f82943b0-2e33-4619-b349-54176b092c02}" done="0">
    <x18tc:text xml:space="preserve">от Нади</x18tc:text>
  </x18tc:threadedComment>
  <x18tc:threadedComment ref="Q461" dT="2025-09-12T13:00:26.00" personId="{e25bff14-ec82-4bf4-b677-363293ccf3cb}" id="{32313dd6-ab8b-46fa-bf59-962a0370e8d2}" done="0">
    <x18tc:text xml:space="preserve">134,98usd на ставки</x18tc:text>
  </x18tc:threadedComment>
  <x18tc:threadedComment ref="AG248" dT="2025-12-28T19:21:01.00" personId="{e25bff14-ec82-4bf4-b677-363293ccf3cb}" id="{7189cfa5-8813-4c00-b7af-f33a40db9f41}" done="0">
    <x18tc:text xml:space="preserve">уличный фотограф</x18tc:text>
  </x18tc:threadedComment>
  <x18tc:threadedComment ref="W248" dT="2025-12-18T16:32:14.00" personId="{e25bff14-ec82-4bf4-b677-363293ccf3cb}" id="{6336f393-cbfd-4797-bc49-7e668808ae11}" done="0">
    <x18tc:text xml:space="preserve">винлайн</x18tc:text>
  </x18tc:threadedComment>
  <x18tc:threadedComment ref="AB98" dT="2026-02-23T13:51:55.00" personId="{e25bff14-ec82-4bf4-b677-363293ccf3cb}" id="{4e9d79bb-c327-4ad5-9c9a-ab5ecd180a1e}" done="0">
    <x18tc:text xml:space="preserve">chatgpt</x18tc:text>
  </x18tc:threadedComment>
  <x18tc:threadedComment ref="K248" dT="2025-12-06T08:44:05.00" personId="{e25bff14-ec82-4bf4-b677-363293ccf3cb}" id="{5bebbe51-2452-49de-b56c-6c26b17bf263}" done="0">
    <x18tc:text xml:space="preserve">винлайн</x18tc:text>
  </x18tc:threadedComment>
  <x18tc:threadedComment ref="AG275" dT="2025-12-28T19:20:23.00" personId="{e25bff14-ec82-4bf4-b677-363293ccf3cb}" id="{17e56ea4-1418-4d62-b960-fc68b1b56dda}" done="0">
    <x18tc:text xml:space="preserve">упаковка для тайного санты</x18tc:text>
  </x18tc:threadedComment>
  <x18tc:threadedComment ref="Z500" dT="2025-09-21T18:04:50.00" personId="{e25bff14-ec82-4bf4-b677-363293ccf3cb}" id="{edc5d278-68b3-4a8c-86de-149ed3f899ca}" done="0">
    <x18tc:text xml:space="preserve">Купоны грин</x18tc:text>
  </x18tc:threadedComment>
  <x18tc:threadedComment ref="I687" dT="2025-06-04T17:03:25.00" personId="{e25bff14-ec82-4bf4-b677-363293ccf3cb}" id="{5b5833da-c67b-4a5f-b6e0-dc0a0c2d00be}" done="0">
    <x18tc:text xml:space="preserve">линзы</x18tc:text>
  </x18tc:threadedComment>
  <x18tc:threadedComment ref="L248" dT="2025-12-07T11:48:34.00" personId="{e25bff14-ec82-4bf4-b677-363293ccf3cb}" id="{ede48332-554c-4b39-b730-6c576c3683e7}" done="0">
    <x18tc:text xml:space="preserve">винлайн</x18tc:text>
  </x18tc:threadedComment>
  <x18tc:threadedComment ref="U622" dT="2025-07-16T21:53:49.00" personId="{e25bff14-ec82-4bf4-b677-363293ccf3cb}" id="{8a7ffb42-1acc-4daa-a4a7-23403618854b}" done="0">
    <x18tc:text xml:space="preserve">подарок Валику даркест данжен</x18tc:text>
  </x18tc:threadedComment>
  <x18tc:threadedComment ref="P669" dT="2025-06-11T15:08:10.00" personId="{e25bff14-ec82-4bf4-b677-363293ccf3cb}" id="{21cebebf-636f-4519-8a44-1749ce9f112f}" done="0">
    <x18tc:text xml:space="preserve">Кацуре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360.yandex.by/my-space/" TargetMode="External"/><Relationship Id="rId2" Type="http://schemas.openxmlformats.org/officeDocument/2006/relationships/hyperlink" Target="https://play.google.com/store/account/subscriptions" TargetMode="External"/><Relationship Id="rId1" Type="http://schemas.openxmlformats.org/officeDocument/2006/relationships/hyperlink" Target="https://grok.com/" TargetMode="External"/><Relationship Id="rId5" Type="http://schemas.openxmlformats.org/officeDocument/2006/relationships/hyperlink" Target="https://portal.massivegrid.com/clientarea.php?action=productdetails&amp;id=30054" TargetMode="External"/><Relationship Id="rId4" Type="http://schemas.openxmlformats.org/officeDocument/2006/relationships/hyperlink" Target="https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1:AT1650"/>
  <sheetViews>
    <sheetView workbookViewId="0">
      <pane ySplit="1" topLeftCell="A2" activePane="bottomLeft" state="frozen"/>
      <selection pane="bottomLeft" activeCell="X15" sqref="X15"/>
    </sheetView>
  </sheetViews>
  <sheetFormatPr defaultColWidth="12.5703125" defaultRowHeight="15.75" customHeight="1" x14ac:dyDescent="0.2"/>
  <cols>
    <col min="1" max="1" width="2" customWidth="1"/>
    <col min="2" max="2" width="2.140625" customWidth="1"/>
    <col min="3" max="3" width="13.28515625" customWidth="1"/>
    <col min="4" max="4" width="18.140625" customWidth="1"/>
    <col min="5" max="5" width="7.140625" customWidth="1"/>
    <col min="6" max="6" width="5.85546875" customWidth="1"/>
    <col min="7" max="8" width="7" customWidth="1"/>
    <col min="9" max="9" width="6.140625" customWidth="1"/>
    <col min="10" max="10" width="7" customWidth="1"/>
    <col min="11" max="11" width="7.5703125" customWidth="1"/>
    <col min="12" max="16" width="6.140625" customWidth="1"/>
    <col min="17" max="17" width="6" customWidth="1"/>
    <col min="18" max="21" width="6.140625" customWidth="1"/>
    <col min="22" max="22" width="5.140625" customWidth="1"/>
    <col min="23" max="24" width="6.140625" customWidth="1"/>
    <col min="25" max="25" width="7.5703125" customWidth="1"/>
    <col min="26" max="30" width="6.140625" customWidth="1"/>
    <col min="31" max="32" width="6" customWidth="1"/>
    <col min="33" max="35" width="6.140625" customWidth="1"/>
    <col min="36" max="36" width="5" customWidth="1"/>
    <col min="37" max="37" width="7" customWidth="1"/>
    <col min="38" max="39" width="7.140625" customWidth="1"/>
    <col min="40" max="40" width="6.42578125" customWidth="1"/>
    <col min="41" max="41" width="7.7109375" customWidth="1"/>
    <col min="42" max="43" width="9.5703125" customWidth="1"/>
    <col min="44" max="47" width="7.28515625" customWidth="1"/>
  </cols>
  <sheetData>
    <row r="1" spans="3:45" ht="12.75" x14ac:dyDescent="0.2"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>
        <v>26</v>
      </c>
      <c r="AF1" s="2">
        <v>27</v>
      </c>
      <c r="AG1" s="2">
        <v>28</v>
      </c>
      <c r="AH1" s="2">
        <v>29</v>
      </c>
      <c r="AI1" s="2">
        <v>30</v>
      </c>
      <c r="AJ1" s="2">
        <v>31</v>
      </c>
    </row>
    <row r="3" spans="3:45" ht="12.75" x14ac:dyDescent="0.2">
      <c r="C3" s="3"/>
      <c r="D3" s="3"/>
      <c r="E3" s="3"/>
      <c r="F3" s="578" t="s">
        <v>8</v>
      </c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7"/>
      <c r="AG3" s="577"/>
      <c r="AH3" s="577"/>
      <c r="AI3" s="577"/>
      <c r="AJ3" s="577"/>
      <c r="AK3" s="3"/>
      <c r="AL3" s="3"/>
      <c r="AM3" s="3"/>
      <c r="AN3" s="3"/>
      <c r="AO3" s="3"/>
      <c r="AP3" s="3"/>
      <c r="AQ3" s="3"/>
      <c r="AR3" s="3"/>
      <c r="AS3" s="3"/>
    </row>
    <row r="4" spans="3:45" ht="12.75" x14ac:dyDescent="0.2">
      <c r="C4" s="3"/>
      <c r="D4" s="3"/>
      <c r="E4" s="5" t="s">
        <v>9</v>
      </c>
      <c r="F4" s="6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8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8" t="s">
        <v>10</v>
      </c>
      <c r="U4" s="7" t="s">
        <v>11</v>
      </c>
      <c r="V4" s="7" t="s">
        <v>12</v>
      </c>
      <c r="W4" s="7" t="s">
        <v>13</v>
      </c>
      <c r="X4" s="7" t="s">
        <v>14</v>
      </c>
      <c r="Y4" s="7" t="s">
        <v>15</v>
      </c>
      <c r="Z4" s="7" t="s">
        <v>16</v>
      </c>
      <c r="AA4" s="8" t="s">
        <v>10</v>
      </c>
      <c r="AB4" s="7" t="s">
        <v>11</v>
      </c>
      <c r="AC4" s="7" t="s">
        <v>12</v>
      </c>
      <c r="AD4" s="7" t="s">
        <v>13</v>
      </c>
      <c r="AE4" s="7" t="s">
        <v>14</v>
      </c>
      <c r="AF4" s="7" t="s">
        <v>15</v>
      </c>
      <c r="AG4" s="7" t="s">
        <v>16</v>
      </c>
      <c r="AH4" s="8" t="s">
        <v>10</v>
      </c>
      <c r="AI4" s="7" t="s">
        <v>11</v>
      </c>
      <c r="AJ4" s="8" t="s">
        <v>12</v>
      </c>
      <c r="AK4" s="9"/>
      <c r="AL4" s="10"/>
      <c r="AM4" s="9"/>
      <c r="AN4" s="11"/>
      <c r="AO4" s="3"/>
      <c r="AP4" s="10"/>
      <c r="AQ4" s="12" t="s">
        <v>17</v>
      </c>
      <c r="AR4" s="12" t="s">
        <v>18</v>
      </c>
      <c r="AS4" s="12" t="s">
        <v>19</v>
      </c>
    </row>
    <row r="5" spans="3:45" ht="12.75" x14ac:dyDescent="0.2">
      <c r="C5" s="3"/>
      <c r="D5" s="3"/>
      <c r="E5" s="5" t="s">
        <v>20</v>
      </c>
      <c r="F5" s="13">
        <v>1</v>
      </c>
      <c r="G5" s="14">
        <v>2</v>
      </c>
      <c r="H5" s="14">
        <v>3</v>
      </c>
      <c r="I5" s="4">
        <v>4</v>
      </c>
      <c r="J5" s="4">
        <v>5</v>
      </c>
      <c r="K5" s="4">
        <v>6</v>
      </c>
      <c r="L5" s="4">
        <v>7</v>
      </c>
      <c r="M5" s="15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15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15">
        <v>22</v>
      </c>
      <c r="AB5" s="4">
        <v>23</v>
      </c>
      <c r="AC5" s="4">
        <v>24</v>
      </c>
      <c r="AD5" s="4">
        <v>25</v>
      </c>
      <c r="AE5" s="4">
        <v>26</v>
      </c>
      <c r="AF5" s="14">
        <v>27</v>
      </c>
      <c r="AG5" s="14">
        <v>28</v>
      </c>
      <c r="AH5" s="16">
        <v>29</v>
      </c>
      <c r="AI5" s="17">
        <v>30</v>
      </c>
      <c r="AJ5" s="18">
        <v>31</v>
      </c>
      <c r="AK5" s="5" t="s">
        <v>21</v>
      </c>
      <c r="AL5" s="10" t="s">
        <v>18</v>
      </c>
      <c r="AM5" s="9" t="s">
        <v>19</v>
      </c>
      <c r="AN5" s="11" t="s">
        <v>22</v>
      </c>
      <c r="AO5" s="3"/>
      <c r="AP5" s="12" t="s">
        <v>23</v>
      </c>
      <c r="AQ5" s="19">
        <f>AK18-AK72</f>
        <v>5.6400000000000006</v>
      </c>
      <c r="AR5" s="19">
        <f t="shared" ref="AR5:AS5" si="0">(AL18-AL72)</f>
        <v>5.6400000000000006</v>
      </c>
      <c r="AS5" s="19">
        <f t="shared" si="0"/>
        <v>0</v>
      </c>
    </row>
    <row r="6" spans="3:45" ht="12.75" x14ac:dyDescent="0.2">
      <c r="C6" s="579" t="s">
        <v>24</v>
      </c>
      <c r="D6" s="20" t="s">
        <v>25</v>
      </c>
      <c r="E6" s="21" t="s">
        <v>18</v>
      </c>
      <c r="F6" s="22"/>
      <c r="G6" s="10"/>
      <c r="H6" s="10"/>
      <c r="I6" s="23"/>
      <c r="J6" s="24"/>
      <c r="K6" s="23"/>
      <c r="L6" s="23"/>
      <c r="M6" s="21"/>
      <c r="N6" s="23"/>
      <c r="O6" s="23"/>
      <c r="P6" s="23"/>
      <c r="Q6" s="23"/>
      <c r="R6" s="23"/>
      <c r="S6" s="23"/>
      <c r="T6" s="21"/>
      <c r="U6" s="23"/>
      <c r="V6" s="23"/>
      <c r="W6" s="23"/>
      <c r="X6" s="25"/>
      <c r="Y6" s="24"/>
      <c r="Z6" s="23"/>
      <c r="AA6" s="21"/>
      <c r="AB6" s="23"/>
      <c r="AC6" s="23"/>
      <c r="AD6" s="23"/>
      <c r="AE6" s="23"/>
      <c r="AF6" s="10"/>
      <c r="AG6" s="10"/>
      <c r="AH6" s="26"/>
      <c r="AI6" s="10"/>
      <c r="AJ6" s="21"/>
      <c r="AK6" s="27">
        <f t="shared" ref="AK6:AK17" si="1">SUM(F6:AJ6)</f>
        <v>0</v>
      </c>
      <c r="AL6" s="28">
        <f t="shared" ref="AL6:AL7" si="2">AK6</f>
        <v>0</v>
      </c>
      <c r="AM6" s="9"/>
      <c r="AN6" s="29">
        <f>AL6</f>
        <v>0</v>
      </c>
      <c r="AO6" s="3"/>
      <c r="AP6" s="3"/>
      <c r="AQ6" s="3"/>
      <c r="AR6" s="3"/>
      <c r="AS6" s="3"/>
    </row>
    <row r="7" spans="3:45" ht="12.75" x14ac:dyDescent="0.2">
      <c r="C7" s="580"/>
      <c r="D7" s="576" t="s">
        <v>26</v>
      </c>
      <c r="E7" s="31" t="s">
        <v>18</v>
      </c>
      <c r="F7" s="32"/>
      <c r="G7" s="10"/>
      <c r="H7" s="10"/>
      <c r="I7" s="10"/>
      <c r="J7" s="10"/>
      <c r="K7" s="10"/>
      <c r="L7" s="10"/>
      <c r="M7" s="31"/>
      <c r="N7" s="10"/>
      <c r="O7" s="10"/>
      <c r="P7" s="10"/>
      <c r="Q7" s="10"/>
      <c r="R7" s="10"/>
      <c r="S7" s="10"/>
      <c r="T7" s="31"/>
      <c r="U7" s="10"/>
      <c r="V7" s="10"/>
      <c r="W7" s="10"/>
      <c r="X7" s="10"/>
      <c r="Y7" s="10"/>
      <c r="Z7" s="10"/>
      <c r="AA7" s="31"/>
      <c r="AB7" s="10"/>
      <c r="AC7" s="10"/>
      <c r="AD7" s="10"/>
      <c r="AE7" s="10"/>
      <c r="AF7" s="10"/>
      <c r="AG7" s="10"/>
      <c r="AH7" s="31"/>
      <c r="AI7" s="10"/>
      <c r="AJ7" s="31"/>
      <c r="AK7" s="33">
        <f t="shared" si="1"/>
        <v>0</v>
      </c>
      <c r="AL7" s="34">
        <f t="shared" si="2"/>
        <v>0</v>
      </c>
      <c r="AM7" s="35"/>
      <c r="AN7" s="582">
        <f>SUM(AL7:AM8)</f>
        <v>0</v>
      </c>
      <c r="AO7" s="3"/>
      <c r="AP7" s="3"/>
      <c r="AQ7" s="3"/>
      <c r="AR7" s="3"/>
      <c r="AS7" s="3"/>
    </row>
    <row r="8" spans="3:45" ht="12.75" x14ac:dyDescent="0.2">
      <c r="C8" s="580"/>
      <c r="D8" s="577"/>
      <c r="E8" s="36" t="s">
        <v>19</v>
      </c>
      <c r="F8" s="37"/>
      <c r="G8" s="9"/>
      <c r="H8" s="9"/>
      <c r="I8" s="9"/>
      <c r="J8" s="9"/>
      <c r="K8" s="9"/>
      <c r="L8" s="9"/>
      <c r="M8" s="36"/>
      <c r="N8" s="9"/>
      <c r="O8" s="9"/>
      <c r="P8" s="9"/>
      <c r="Q8" s="9"/>
      <c r="R8" s="9"/>
      <c r="S8" s="9"/>
      <c r="T8" s="36"/>
      <c r="U8" s="9"/>
      <c r="V8" s="9"/>
      <c r="W8" s="9"/>
      <c r="X8" s="9"/>
      <c r="Y8" s="9"/>
      <c r="Z8" s="9"/>
      <c r="AA8" s="36"/>
      <c r="AB8" s="9"/>
      <c r="AC8" s="9"/>
      <c r="AD8" s="9"/>
      <c r="AE8" s="9"/>
      <c r="AF8" s="9"/>
      <c r="AG8" s="9"/>
      <c r="AH8" s="36"/>
      <c r="AI8" s="9"/>
      <c r="AJ8" s="36"/>
      <c r="AK8" s="38">
        <f t="shared" si="1"/>
        <v>0</v>
      </c>
      <c r="AL8" s="39"/>
      <c r="AM8" s="40">
        <f t="shared" ref="AM8:AM9" si="3">AK8</f>
        <v>0</v>
      </c>
      <c r="AN8" s="583"/>
      <c r="AO8" s="3"/>
      <c r="AP8" s="3"/>
      <c r="AQ8" s="3"/>
      <c r="AR8" s="3"/>
      <c r="AS8" s="3"/>
    </row>
    <row r="9" spans="3:45" ht="12.75" x14ac:dyDescent="0.2">
      <c r="C9" s="580"/>
      <c r="D9" s="30" t="s">
        <v>27</v>
      </c>
      <c r="E9" s="36" t="s">
        <v>19</v>
      </c>
      <c r="F9" s="37"/>
      <c r="G9" s="9"/>
      <c r="H9" s="9"/>
      <c r="I9" s="9"/>
      <c r="J9" s="9"/>
      <c r="K9" s="9"/>
      <c r="L9" s="9"/>
      <c r="M9" s="36"/>
      <c r="N9" s="9"/>
      <c r="O9" s="9"/>
      <c r="P9" s="9"/>
      <c r="Q9" s="9"/>
      <c r="R9" s="9"/>
      <c r="S9" s="9"/>
      <c r="T9" s="36"/>
      <c r="U9" s="9"/>
      <c r="V9" s="9"/>
      <c r="W9" s="9"/>
      <c r="X9" s="9"/>
      <c r="Y9" s="9"/>
      <c r="Z9" s="9"/>
      <c r="AA9" s="36"/>
      <c r="AB9" s="9"/>
      <c r="AC9" s="9"/>
      <c r="AD9" s="9"/>
      <c r="AE9" s="9"/>
      <c r="AF9" s="9"/>
      <c r="AG9" s="9"/>
      <c r="AH9" s="36"/>
      <c r="AI9" s="9"/>
      <c r="AJ9" s="36"/>
      <c r="AK9" s="38">
        <f t="shared" si="1"/>
        <v>0</v>
      </c>
      <c r="AL9" s="10"/>
      <c r="AM9" s="19">
        <f t="shared" si="3"/>
        <v>0</v>
      </c>
      <c r="AN9" s="29">
        <f>AM9</f>
        <v>0</v>
      </c>
      <c r="AO9" s="3"/>
      <c r="AP9" s="3"/>
      <c r="AQ9" s="3"/>
      <c r="AR9" s="3"/>
      <c r="AS9" s="3"/>
    </row>
    <row r="10" spans="3:45" ht="12.75" x14ac:dyDescent="0.2">
      <c r="C10" s="580"/>
      <c r="D10" s="576" t="s">
        <v>28</v>
      </c>
      <c r="E10" s="31" t="s">
        <v>18</v>
      </c>
      <c r="F10" s="32"/>
      <c r="G10" s="10"/>
      <c r="H10" s="10"/>
      <c r="I10" s="10"/>
      <c r="J10" s="10"/>
      <c r="K10" s="10"/>
      <c r="L10" s="10"/>
      <c r="M10" s="31"/>
      <c r="N10" s="10"/>
      <c r="O10" s="10"/>
      <c r="P10" s="10"/>
      <c r="Q10" s="41"/>
      <c r="R10" s="10"/>
      <c r="S10" s="10"/>
      <c r="T10" s="31"/>
      <c r="U10" s="41"/>
      <c r="V10" s="10"/>
      <c r="W10" s="10"/>
      <c r="X10" s="10"/>
      <c r="Y10" s="10"/>
      <c r="Z10" s="10"/>
      <c r="AA10" s="31"/>
      <c r="AB10" s="10"/>
      <c r="AC10" s="10"/>
      <c r="AD10" s="28"/>
      <c r="AE10" s="10"/>
      <c r="AF10" s="41"/>
      <c r="AG10" s="10"/>
      <c r="AH10" s="31"/>
      <c r="AI10" s="10"/>
      <c r="AJ10" s="31"/>
      <c r="AK10" s="33">
        <f t="shared" si="1"/>
        <v>0</v>
      </c>
      <c r="AL10" s="34">
        <f>AK10</f>
        <v>0</v>
      </c>
      <c r="AM10" s="35"/>
      <c r="AN10" s="582">
        <f>SUM(AL10:AM11)</f>
        <v>0</v>
      </c>
      <c r="AO10" s="3"/>
      <c r="AP10" s="3"/>
      <c r="AQ10" s="3"/>
      <c r="AR10" s="3"/>
      <c r="AS10" s="3"/>
    </row>
    <row r="11" spans="3:45" ht="12.75" x14ac:dyDescent="0.2">
      <c r="C11" s="580"/>
      <c r="D11" s="577"/>
      <c r="E11" s="36" t="s">
        <v>19</v>
      </c>
      <c r="F11" s="37"/>
      <c r="G11" s="19"/>
      <c r="H11" s="9"/>
      <c r="I11" s="9"/>
      <c r="J11" s="9"/>
      <c r="K11" s="9"/>
      <c r="L11" s="42"/>
      <c r="M11" s="43"/>
      <c r="N11" s="42"/>
      <c r="O11" s="9"/>
      <c r="P11" s="9"/>
      <c r="Q11" s="42"/>
      <c r="R11" s="9"/>
      <c r="S11" s="9"/>
      <c r="T11" s="38"/>
      <c r="U11" s="9"/>
      <c r="V11" s="19"/>
      <c r="W11" s="9"/>
      <c r="X11" s="9"/>
      <c r="Y11" s="9"/>
      <c r="Z11" s="9"/>
      <c r="AA11" s="36"/>
      <c r="AB11" s="19"/>
      <c r="AC11" s="9"/>
      <c r="AD11" s="42"/>
      <c r="AE11" s="9"/>
      <c r="AF11" s="9"/>
      <c r="AG11" s="9"/>
      <c r="AH11" s="36"/>
      <c r="AI11" s="42"/>
      <c r="AJ11" s="36"/>
      <c r="AK11" s="38">
        <f t="shared" si="1"/>
        <v>0</v>
      </c>
      <c r="AL11" s="39"/>
      <c r="AM11" s="40">
        <f>AK11</f>
        <v>0</v>
      </c>
      <c r="AN11" s="583"/>
      <c r="AO11" s="3"/>
      <c r="AP11" s="3"/>
      <c r="AQ11" s="3"/>
      <c r="AR11" s="3"/>
      <c r="AS11" s="3"/>
    </row>
    <row r="12" spans="3:45" ht="12.75" x14ac:dyDescent="0.2">
      <c r="C12" s="580"/>
      <c r="D12" s="576" t="s">
        <v>29</v>
      </c>
      <c r="E12" s="31" t="s">
        <v>18</v>
      </c>
      <c r="F12" s="44">
        <v>50</v>
      </c>
      <c r="G12" s="10"/>
      <c r="H12" s="10"/>
      <c r="I12" s="10"/>
      <c r="J12" s="41"/>
      <c r="K12" s="10"/>
      <c r="L12" s="10"/>
      <c r="M12" s="31"/>
      <c r="N12" s="10"/>
      <c r="O12" s="10"/>
      <c r="P12" s="10"/>
      <c r="Q12" s="10"/>
      <c r="R12" s="10"/>
      <c r="S12" s="41"/>
      <c r="T12" s="31"/>
      <c r="U12" s="10"/>
      <c r="V12" s="10"/>
      <c r="W12" s="10"/>
      <c r="X12" s="10"/>
      <c r="Y12" s="10"/>
      <c r="Z12" s="10"/>
      <c r="AA12" s="31"/>
      <c r="AB12" s="10"/>
      <c r="AC12" s="10"/>
      <c r="AD12" s="28"/>
      <c r="AE12" s="10"/>
      <c r="AF12" s="10"/>
      <c r="AG12" s="41"/>
      <c r="AH12" s="31"/>
      <c r="AI12" s="10"/>
      <c r="AJ12" s="31"/>
      <c r="AK12" s="33">
        <f t="shared" si="1"/>
        <v>50</v>
      </c>
      <c r="AL12" s="34">
        <f>AK12</f>
        <v>50</v>
      </c>
      <c r="AM12" s="35"/>
      <c r="AN12" s="582">
        <f>SUM(AL12:AM13)</f>
        <v>50</v>
      </c>
      <c r="AO12" s="3"/>
      <c r="AP12" s="3"/>
      <c r="AQ12" s="3"/>
      <c r="AR12" s="3"/>
      <c r="AS12" s="3"/>
    </row>
    <row r="13" spans="3:45" ht="12.75" x14ac:dyDescent="0.2">
      <c r="C13" s="580"/>
      <c r="D13" s="577"/>
      <c r="E13" s="36" t="s">
        <v>19</v>
      </c>
      <c r="F13" s="37"/>
      <c r="G13" s="9"/>
      <c r="H13" s="9"/>
      <c r="I13" s="9"/>
      <c r="J13" s="9"/>
      <c r="K13" s="9"/>
      <c r="L13" s="9"/>
      <c r="M13" s="36"/>
      <c r="N13" s="9"/>
      <c r="O13" s="9"/>
      <c r="P13" s="9"/>
      <c r="Q13" s="9"/>
      <c r="R13" s="9"/>
      <c r="S13" s="9"/>
      <c r="T13" s="36"/>
      <c r="U13" s="9"/>
      <c r="V13" s="9"/>
      <c r="W13" s="9"/>
      <c r="X13" s="9"/>
      <c r="Y13" s="9"/>
      <c r="Z13" s="9"/>
      <c r="AA13" s="36"/>
      <c r="AB13" s="9"/>
      <c r="AC13" s="9"/>
      <c r="AD13" s="9"/>
      <c r="AE13" s="9"/>
      <c r="AF13" s="9"/>
      <c r="AG13" s="9"/>
      <c r="AH13" s="36"/>
      <c r="AI13" s="9"/>
      <c r="AJ13" s="36"/>
      <c r="AK13" s="38">
        <f t="shared" si="1"/>
        <v>0</v>
      </c>
      <c r="AL13" s="39"/>
      <c r="AM13" s="40">
        <f>AK13</f>
        <v>0</v>
      </c>
      <c r="AN13" s="583"/>
      <c r="AO13" s="3"/>
      <c r="AP13" s="3"/>
      <c r="AQ13" s="3"/>
      <c r="AR13" s="3"/>
      <c r="AS13" s="3"/>
    </row>
    <row r="14" spans="3:45" ht="12.75" x14ac:dyDescent="0.2">
      <c r="C14" s="580"/>
      <c r="D14" s="576" t="s">
        <v>30</v>
      </c>
      <c r="E14" s="31" t="s">
        <v>18</v>
      </c>
      <c r="F14" s="32"/>
      <c r="G14" s="10"/>
      <c r="H14" s="10"/>
      <c r="I14" s="10"/>
      <c r="J14" s="10"/>
      <c r="K14" s="10"/>
      <c r="L14" s="10"/>
      <c r="M14" s="31"/>
      <c r="N14" s="10"/>
      <c r="O14" s="10"/>
      <c r="P14" s="10"/>
      <c r="Q14" s="10"/>
      <c r="R14" s="10"/>
      <c r="S14" s="10"/>
      <c r="T14" s="31"/>
      <c r="U14" s="10"/>
      <c r="V14" s="10"/>
      <c r="W14" s="10"/>
      <c r="X14" s="10"/>
      <c r="Y14" s="10"/>
      <c r="Z14" s="10"/>
      <c r="AA14" s="31"/>
      <c r="AB14" s="10"/>
      <c r="AC14" s="10"/>
      <c r="AD14" s="10"/>
      <c r="AE14" s="10"/>
      <c r="AF14" s="10"/>
      <c r="AG14" s="10"/>
      <c r="AH14" s="31"/>
      <c r="AI14" s="10"/>
      <c r="AJ14" s="31"/>
      <c r="AK14" s="33">
        <f t="shared" si="1"/>
        <v>0</v>
      </c>
      <c r="AL14" s="34">
        <f>AK14</f>
        <v>0</v>
      </c>
      <c r="AM14" s="9"/>
      <c r="AN14" s="582">
        <f>SUM(AL14:AM15)</f>
        <v>0</v>
      </c>
      <c r="AO14" s="3"/>
      <c r="AP14" s="3"/>
      <c r="AQ14" s="3"/>
      <c r="AR14" s="3"/>
      <c r="AS14" s="3"/>
    </row>
    <row r="15" spans="3:45" ht="12.75" x14ac:dyDescent="0.2">
      <c r="C15" s="580"/>
      <c r="D15" s="577"/>
      <c r="E15" s="36" t="s">
        <v>19</v>
      </c>
      <c r="F15" s="37"/>
      <c r="G15" s="9"/>
      <c r="H15" s="9"/>
      <c r="I15" s="9"/>
      <c r="J15" s="9"/>
      <c r="K15" s="9"/>
      <c r="L15" s="9"/>
      <c r="M15" s="36"/>
      <c r="N15" s="9"/>
      <c r="O15" s="9"/>
      <c r="P15" s="9"/>
      <c r="Q15" s="9"/>
      <c r="R15" s="9"/>
      <c r="S15" s="9"/>
      <c r="T15" s="36"/>
      <c r="U15" s="9"/>
      <c r="V15" s="9"/>
      <c r="W15" s="9"/>
      <c r="X15" s="9"/>
      <c r="Y15" s="9"/>
      <c r="Z15" s="9"/>
      <c r="AA15" s="36"/>
      <c r="AB15" s="9"/>
      <c r="AC15" s="9"/>
      <c r="AD15" s="9"/>
      <c r="AE15" s="9"/>
      <c r="AF15" s="9"/>
      <c r="AG15" s="9"/>
      <c r="AH15" s="36"/>
      <c r="AI15" s="9"/>
      <c r="AJ15" s="36"/>
      <c r="AK15" s="38">
        <f t="shared" si="1"/>
        <v>0</v>
      </c>
      <c r="AL15" s="45"/>
      <c r="AM15" s="40">
        <f>AK15</f>
        <v>0</v>
      </c>
      <c r="AN15" s="583"/>
      <c r="AO15" s="3"/>
      <c r="AP15" s="3"/>
      <c r="AQ15" s="3"/>
      <c r="AR15" s="3"/>
      <c r="AS15" s="3"/>
    </row>
    <row r="16" spans="3:45" ht="12.75" x14ac:dyDescent="0.2">
      <c r="C16" s="580"/>
      <c r="D16" s="576" t="s">
        <v>31</v>
      </c>
      <c r="E16" s="31" t="s">
        <v>18</v>
      </c>
      <c r="F16" s="32"/>
      <c r="G16" s="10"/>
      <c r="H16" s="10"/>
      <c r="I16" s="10"/>
      <c r="J16" s="10"/>
      <c r="K16" s="10"/>
      <c r="L16" s="10"/>
      <c r="M16" s="31"/>
      <c r="N16" s="10"/>
      <c r="O16" s="10"/>
      <c r="P16" s="10"/>
      <c r="Q16" s="10"/>
      <c r="R16" s="10"/>
      <c r="S16" s="10"/>
      <c r="T16" s="33"/>
      <c r="U16" s="10"/>
      <c r="V16" s="10"/>
      <c r="W16" s="10"/>
      <c r="X16" s="10"/>
      <c r="Y16" s="10"/>
      <c r="Z16" s="10"/>
      <c r="AA16" s="31"/>
      <c r="AB16" s="10"/>
      <c r="AC16" s="10"/>
      <c r="AD16" s="10"/>
      <c r="AE16" s="10"/>
      <c r="AF16" s="10"/>
      <c r="AG16" s="10"/>
      <c r="AH16" s="31"/>
      <c r="AI16" s="10"/>
      <c r="AJ16" s="31"/>
      <c r="AK16" s="33">
        <f t="shared" si="1"/>
        <v>0</v>
      </c>
      <c r="AL16" s="34">
        <f>AK16</f>
        <v>0</v>
      </c>
      <c r="AM16" s="35"/>
      <c r="AN16" s="586">
        <f>SUM(AL16:AM17)</f>
        <v>0</v>
      </c>
      <c r="AO16" s="3"/>
      <c r="AP16" s="3"/>
      <c r="AQ16" s="3"/>
      <c r="AR16" s="3"/>
      <c r="AS16" s="3"/>
    </row>
    <row r="17" spans="3:45" ht="12.75" x14ac:dyDescent="0.2">
      <c r="C17" s="581"/>
      <c r="D17" s="585"/>
      <c r="E17" s="46" t="s">
        <v>19</v>
      </c>
      <c r="F17" s="47"/>
      <c r="G17" s="9"/>
      <c r="H17" s="9"/>
      <c r="I17" s="9"/>
      <c r="J17" s="19"/>
      <c r="K17" s="9"/>
      <c r="L17" s="9"/>
      <c r="M17" s="36"/>
      <c r="N17" s="9"/>
      <c r="O17" s="9"/>
      <c r="P17" s="9"/>
      <c r="Q17" s="9"/>
      <c r="R17" s="9"/>
      <c r="S17" s="19"/>
      <c r="T17" s="38"/>
      <c r="U17" s="9"/>
      <c r="V17" s="9"/>
      <c r="W17" s="9"/>
      <c r="X17" s="9"/>
      <c r="Y17" s="19"/>
      <c r="Z17" s="19"/>
      <c r="AA17" s="38"/>
      <c r="AB17" s="9"/>
      <c r="AC17" s="9"/>
      <c r="AD17" s="9"/>
      <c r="AE17" s="9"/>
      <c r="AF17" s="9"/>
      <c r="AG17" s="9"/>
      <c r="AH17" s="36"/>
      <c r="AI17" s="9"/>
      <c r="AJ17" s="46"/>
      <c r="AK17" s="48">
        <f t="shared" si="1"/>
        <v>0</v>
      </c>
      <c r="AL17" s="39"/>
      <c r="AM17" s="40">
        <f>AK17</f>
        <v>0</v>
      </c>
      <c r="AN17" s="583"/>
      <c r="AO17" s="3"/>
      <c r="AP17" s="3"/>
      <c r="AQ17" s="3"/>
      <c r="AR17" s="3"/>
      <c r="AS17" s="3"/>
    </row>
    <row r="18" spans="3:45" ht="12.75" x14ac:dyDescent="0.2">
      <c r="C18" s="49" t="s">
        <v>32</v>
      </c>
      <c r="D18" s="9"/>
      <c r="E18" s="36"/>
      <c r="F18" s="37"/>
      <c r="G18" s="35"/>
      <c r="H18" s="35"/>
      <c r="I18" s="35"/>
      <c r="J18" s="35"/>
      <c r="K18" s="35"/>
      <c r="L18" s="35"/>
      <c r="M18" s="50"/>
      <c r="N18" s="35"/>
      <c r="O18" s="35"/>
      <c r="P18" s="35"/>
      <c r="Q18" s="35"/>
      <c r="R18" s="35"/>
      <c r="S18" s="35"/>
      <c r="T18" s="50"/>
      <c r="U18" s="35"/>
      <c r="V18" s="35"/>
      <c r="W18" s="35"/>
      <c r="X18" s="35"/>
      <c r="Y18" s="35"/>
      <c r="Z18" s="35"/>
      <c r="AA18" s="50"/>
      <c r="AB18" s="35"/>
      <c r="AC18" s="35"/>
      <c r="AD18" s="35"/>
      <c r="AE18" s="35"/>
      <c r="AF18" s="35"/>
      <c r="AG18" s="35"/>
      <c r="AH18" s="50"/>
      <c r="AI18" s="35"/>
      <c r="AJ18" s="36"/>
      <c r="AK18" s="51">
        <f t="shared" ref="AK18:AM18" si="4">SUM(AK6:AK17)</f>
        <v>50</v>
      </c>
      <c r="AL18" s="28">
        <f t="shared" si="4"/>
        <v>50</v>
      </c>
      <c r="AM18" s="19">
        <f t="shared" si="4"/>
        <v>0</v>
      </c>
      <c r="AN18" s="11"/>
      <c r="AO18" s="3"/>
      <c r="AP18" s="3"/>
      <c r="AQ18" s="3"/>
      <c r="AR18" s="3"/>
      <c r="AS18" s="3"/>
    </row>
    <row r="19" spans="3:45" ht="12.75" x14ac:dyDescent="0.2">
      <c r="C19" s="594" t="s">
        <v>33</v>
      </c>
      <c r="D19" s="600" t="s">
        <v>34</v>
      </c>
      <c r="E19" s="53" t="s">
        <v>18</v>
      </c>
      <c r="F19" s="54"/>
      <c r="G19" s="55"/>
      <c r="H19" s="55"/>
      <c r="I19" s="55"/>
      <c r="J19" s="56"/>
      <c r="K19" s="55"/>
      <c r="L19" s="55"/>
      <c r="M19" s="53"/>
      <c r="N19" s="55"/>
      <c r="O19" s="55"/>
      <c r="P19" s="55"/>
      <c r="Q19" s="55"/>
      <c r="R19" s="55"/>
      <c r="S19" s="55"/>
      <c r="T19" s="53"/>
      <c r="U19" s="55"/>
      <c r="V19" s="55"/>
      <c r="W19" s="55"/>
      <c r="X19" s="55"/>
      <c r="Y19" s="55"/>
      <c r="Z19" s="55"/>
      <c r="AA19" s="53"/>
      <c r="AB19" s="55"/>
      <c r="AC19" s="55"/>
      <c r="AD19" s="55"/>
      <c r="AE19" s="55"/>
      <c r="AF19" s="55"/>
      <c r="AG19" s="55"/>
      <c r="AH19" s="53"/>
      <c r="AI19" s="55"/>
      <c r="AJ19" s="53"/>
      <c r="AK19" s="57">
        <f>SUM(F19:AJ19)</f>
        <v>0</v>
      </c>
      <c r="AL19" s="58">
        <f>AK19</f>
        <v>0</v>
      </c>
      <c r="AM19" s="59"/>
      <c r="AN19" s="587">
        <f>SUM(AL19:AM20)</f>
        <v>0</v>
      </c>
      <c r="AO19" s="3"/>
      <c r="AP19" s="3"/>
      <c r="AQ19" s="3"/>
      <c r="AR19" s="3"/>
      <c r="AS19" s="3"/>
    </row>
    <row r="20" spans="3:45" ht="12.75" x14ac:dyDescent="0.2">
      <c r="C20" s="580"/>
      <c r="D20" s="601"/>
      <c r="E20" s="61" t="s">
        <v>19</v>
      </c>
      <c r="F20" s="61"/>
      <c r="G20" s="62"/>
      <c r="H20" s="62"/>
      <c r="I20" s="62"/>
      <c r="J20" s="63"/>
      <c r="K20" s="62"/>
      <c r="L20" s="62"/>
      <c r="M20" s="61"/>
      <c r="N20" s="62"/>
      <c r="O20" s="62"/>
      <c r="P20" s="62"/>
      <c r="Q20" s="62"/>
      <c r="R20" s="62"/>
      <c r="S20" s="62"/>
      <c r="T20" s="61"/>
      <c r="U20" s="62"/>
      <c r="V20" s="62"/>
      <c r="W20" s="62"/>
      <c r="X20" s="62"/>
      <c r="Y20" s="62"/>
      <c r="Z20" s="62"/>
      <c r="AA20" s="61"/>
      <c r="AB20" s="62"/>
      <c r="AC20" s="62"/>
      <c r="AD20" s="62"/>
      <c r="AE20" s="62"/>
      <c r="AF20" s="62"/>
      <c r="AG20" s="62"/>
      <c r="AH20" s="61"/>
      <c r="AI20" s="62"/>
      <c r="AJ20" s="61"/>
      <c r="AK20" s="64">
        <f>SUM(F20:AJ20)</f>
        <v>0</v>
      </c>
      <c r="AL20" s="65"/>
      <c r="AM20" s="66">
        <f>AK20</f>
        <v>0</v>
      </c>
      <c r="AN20" s="588"/>
      <c r="AO20" s="3"/>
      <c r="AP20" s="3"/>
      <c r="AQ20" s="3"/>
      <c r="AR20" s="3"/>
      <c r="AS20" s="3"/>
    </row>
    <row r="21" spans="3:45" ht="12.75" x14ac:dyDescent="0.2">
      <c r="C21" s="580"/>
      <c r="D21" s="67" t="s">
        <v>35</v>
      </c>
      <c r="E21" s="68" t="s">
        <v>18</v>
      </c>
      <c r="F21" s="69"/>
      <c r="G21" s="65"/>
      <c r="H21" s="65"/>
      <c r="I21" s="65"/>
      <c r="J21" s="70"/>
      <c r="K21" s="65"/>
      <c r="L21" s="65"/>
      <c r="M21" s="68"/>
      <c r="N21" s="65"/>
      <c r="O21" s="65"/>
      <c r="P21" s="65"/>
      <c r="Q21" s="65"/>
      <c r="R21" s="65"/>
      <c r="S21" s="65"/>
      <c r="T21" s="68"/>
      <c r="U21" s="65"/>
      <c r="V21" s="65"/>
      <c r="W21" s="65"/>
      <c r="X21" s="65"/>
      <c r="Y21" s="65"/>
      <c r="Z21" s="65"/>
      <c r="AA21" s="68"/>
      <c r="AB21" s="65"/>
      <c r="AC21" s="65"/>
      <c r="AD21" s="65"/>
      <c r="AE21" s="65"/>
      <c r="AF21" s="65"/>
      <c r="AG21" s="65"/>
      <c r="AH21" s="68"/>
      <c r="AI21" s="65"/>
      <c r="AJ21" s="68"/>
      <c r="AK21" s="71">
        <f>SUM(F21:AJ21)</f>
        <v>0</v>
      </c>
      <c r="AL21" s="72">
        <f t="shared" ref="AL21:AL22" si="5">AK21</f>
        <v>0</v>
      </c>
      <c r="AM21" s="62"/>
      <c r="AN21" s="73">
        <f>AL21</f>
        <v>0</v>
      </c>
      <c r="AO21" s="3"/>
      <c r="AP21" s="3"/>
      <c r="AQ21" s="3"/>
      <c r="AR21" s="3"/>
      <c r="AS21" s="3"/>
    </row>
    <row r="22" spans="3:45" ht="12.75" x14ac:dyDescent="0.2">
      <c r="C22" s="580"/>
      <c r="D22" s="602" t="s">
        <v>36</v>
      </c>
      <c r="E22" s="68" t="s">
        <v>18</v>
      </c>
      <c r="F22" s="69"/>
      <c r="G22" s="65"/>
      <c r="H22" s="65"/>
      <c r="I22" s="65"/>
      <c r="J22" s="70"/>
      <c r="K22" s="65"/>
      <c r="L22" s="65"/>
      <c r="M22" s="68"/>
      <c r="N22" s="65"/>
      <c r="O22" s="65"/>
      <c r="P22" s="65"/>
      <c r="Q22" s="65"/>
      <c r="R22" s="65"/>
      <c r="S22" s="65"/>
      <c r="T22" s="68"/>
      <c r="U22" s="65"/>
      <c r="V22" s="65"/>
      <c r="W22" s="65"/>
      <c r="X22" s="65"/>
      <c r="Y22" s="65"/>
      <c r="Z22" s="65"/>
      <c r="AA22" s="68"/>
      <c r="AB22" s="65"/>
      <c r="AC22" s="65"/>
      <c r="AD22" s="65"/>
      <c r="AE22" s="65"/>
      <c r="AF22" s="65"/>
      <c r="AG22" s="65"/>
      <c r="AH22" s="68"/>
      <c r="AI22" s="65"/>
      <c r="AJ22" s="68"/>
      <c r="AK22" s="74">
        <f>SUM(F22:AJ22)</f>
        <v>0</v>
      </c>
      <c r="AL22" s="72">
        <f t="shared" si="5"/>
        <v>0</v>
      </c>
      <c r="AM22" s="62"/>
      <c r="AN22" s="589">
        <f>SUM(AL22:AM23)</f>
        <v>0</v>
      </c>
      <c r="AO22" s="3"/>
      <c r="AP22" s="3"/>
      <c r="AQ22" s="3"/>
      <c r="AR22" s="3"/>
      <c r="AS22" s="3"/>
    </row>
    <row r="23" spans="3:45" ht="12.75" x14ac:dyDescent="0.2">
      <c r="C23" s="580"/>
      <c r="D23" s="603"/>
      <c r="E23" s="75" t="s">
        <v>19</v>
      </c>
      <c r="F23" s="76"/>
      <c r="G23" s="77"/>
      <c r="H23" s="77"/>
      <c r="I23" s="62"/>
      <c r="J23" s="62"/>
      <c r="K23" s="62"/>
      <c r="L23" s="62"/>
      <c r="M23" s="61"/>
      <c r="N23" s="62"/>
      <c r="O23" s="62"/>
      <c r="P23" s="62"/>
      <c r="Q23" s="62"/>
      <c r="R23" s="62"/>
      <c r="S23" s="62"/>
      <c r="T23" s="61"/>
      <c r="U23" s="62"/>
      <c r="V23" s="62"/>
      <c r="W23" s="62"/>
      <c r="X23" s="62"/>
      <c r="Y23" s="62"/>
      <c r="Z23" s="62"/>
      <c r="AA23" s="61"/>
      <c r="AB23" s="62"/>
      <c r="AC23" s="62"/>
      <c r="AD23" s="62"/>
      <c r="AE23" s="62"/>
      <c r="AF23" s="77"/>
      <c r="AG23" s="77"/>
      <c r="AH23" s="75"/>
      <c r="AI23" s="77"/>
      <c r="AJ23" s="75"/>
      <c r="AK23" s="78">
        <f t="shared" ref="AK23:AK71" si="6">SUM(F23:AJ23)</f>
        <v>0</v>
      </c>
      <c r="AL23" s="79"/>
      <c r="AM23" s="80">
        <f>AK23</f>
        <v>0</v>
      </c>
      <c r="AN23" s="590"/>
      <c r="AO23" s="3"/>
      <c r="AP23" s="3"/>
      <c r="AQ23" s="3"/>
      <c r="AR23" s="3"/>
      <c r="AS23" s="3"/>
    </row>
    <row r="24" spans="3:45" ht="12.75" x14ac:dyDescent="0.2">
      <c r="C24" s="580"/>
      <c r="D24" s="584" t="s">
        <v>37</v>
      </c>
      <c r="E24" s="68" t="s">
        <v>18</v>
      </c>
      <c r="F24" s="82">
        <v>1</v>
      </c>
      <c r="G24" s="65"/>
      <c r="H24" s="65"/>
      <c r="I24" s="55"/>
      <c r="J24" s="83"/>
      <c r="K24" s="55"/>
      <c r="L24" s="55"/>
      <c r="M24" s="84"/>
      <c r="N24" s="55"/>
      <c r="O24" s="55"/>
      <c r="P24" s="55"/>
      <c r="Q24" s="85"/>
      <c r="R24" s="83"/>
      <c r="S24" s="55"/>
      <c r="T24" s="86"/>
      <c r="U24" s="83"/>
      <c r="V24" s="55"/>
      <c r="W24" s="55"/>
      <c r="X24" s="55"/>
      <c r="Y24" s="55"/>
      <c r="Z24" s="55"/>
      <c r="AA24" s="53"/>
      <c r="AB24" s="83"/>
      <c r="AC24" s="55"/>
      <c r="AD24" s="55"/>
      <c r="AE24" s="55"/>
      <c r="AF24" s="87"/>
      <c r="AG24" s="87"/>
      <c r="AH24" s="68"/>
      <c r="AI24" s="65"/>
      <c r="AJ24" s="68"/>
      <c r="AK24" s="88">
        <f t="shared" si="6"/>
        <v>1</v>
      </c>
      <c r="AL24" s="89">
        <f>AK24</f>
        <v>1</v>
      </c>
      <c r="AM24" s="62"/>
      <c r="AN24" s="586">
        <f>SUM(AL24:AM25)</f>
        <v>1</v>
      </c>
      <c r="AO24" s="3"/>
      <c r="AP24" s="3"/>
      <c r="AQ24" s="3"/>
      <c r="AR24" s="3"/>
      <c r="AS24" s="3"/>
    </row>
    <row r="25" spans="3:45" ht="12.75" x14ac:dyDescent="0.2">
      <c r="C25" s="580"/>
      <c r="D25" s="577"/>
      <c r="E25" s="61" t="s">
        <v>19</v>
      </c>
      <c r="F25" s="90"/>
      <c r="G25" s="62"/>
      <c r="H25" s="62"/>
      <c r="I25" s="62"/>
      <c r="J25" s="62"/>
      <c r="K25" s="62"/>
      <c r="L25" s="62"/>
      <c r="M25" s="61"/>
      <c r="N25" s="62"/>
      <c r="O25" s="62"/>
      <c r="P25" s="62"/>
      <c r="Q25" s="62"/>
      <c r="R25" s="91"/>
      <c r="S25" s="62"/>
      <c r="T25" s="61"/>
      <c r="U25" s="62"/>
      <c r="V25" s="62"/>
      <c r="W25" s="62"/>
      <c r="X25" s="62"/>
      <c r="Y25" s="62"/>
      <c r="Z25" s="62"/>
      <c r="AA25" s="61"/>
      <c r="AB25" s="62"/>
      <c r="AC25" s="62"/>
      <c r="AD25" s="62"/>
      <c r="AE25" s="62"/>
      <c r="AF25" s="62"/>
      <c r="AG25" s="62"/>
      <c r="AH25" s="61"/>
      <c r="AI25" s="62"/>
      <c r="AJ25" s="61"/>
      <c r="AK25" s="92">
        <f t="shared" si="6"/>
        <v>0</v>
      </c>
      <c r="AL25" s="93"/>
      <c r="AM25" s="94">
        <f>AK25</f>
        <v>0</v>
      </c>
      <c r="AN25" s="583"/>
      <c r="AO25" s="3"/>
      <c r="AP25" s="3"/>
      <c r="AQ25" s="3"/>
      <c r="AR25" s="3"/>
      <c r="AS25" s="3"/>
    </row>
    <row r="26" spans="3:45" ht="12.75" x14ac:dyDescent="0.2">
      <c r="C26" s="580"/>
      <c r="D26" s="81" t="s">
        <v>38</v>
      </c>
      <c r="E26" s="68" t="s">
        <v>18</v>
      </c>
      <c r="F26" s="69"/>
      <c r="G26" s="65"/>
      <c r="H26" s="65"/>
      <c r="I26" s="65"/>
      <c r="J26" s="65"/>
      <c r="K26" s="65"/>
      <c r="L26" s="65"/>
      <c r="M26" s="68"/>
      <c r="N26" s="65"/>
      <c r="O26" s="65"/>
      <c r="P26" s="65"/>
      <c r="Q26" s="65"/>
      <c r="R26" s="65"/>
      <c r="S26" s="87"/>
      <c r="T26" s="68"/>
      <c r="U26" s="65"/>
      <c r="V26" s="65"/>
      <c r="W26" s="65"/>
      <c r="X26" s="65"/>
      <c r="Y26" s="65"/>
      <c r="Z26" s="65"/>
      <c r="AA26" s="95"/>
      <c r="AB26" s="65"/>
      <c r="AC26" s="72"/>
      <c r="AD26" s="65"/>
      <c r="AE26" s="65"/>
      <c r="AF26" s="65"/>
      <c r="AG26" s="65"/>
      <c r="AH26" s="68"/>
      <c r="AI26" s="65"/>
      <c r="AJ26" s="68"/>
      <c r="AK26" s="88">
        <f t="shared" si="6"/>
        <v>0</v>
      </c>
      <c r="AL26" s="72">
        <f t="shared" ref="AL26:AL28" si="7">AK26</f>
        <v>0</v>
      </c>
      <c r="AM26" s="62"/>
      <c r="AN26" s="29">
        <f t="shared" ref="AN26:AN27" si="8">AL26</f>
        <v>0</v>
      </c>
      <c r="AO26" s="3"/>
      <c r="AP26" s="3"/>
      <c r="AQ26" s="3"/>
      <c r="AR26" s="3"/>
      <c r="AS26" s="3"/>
    </row>
    <row r="27" spans="3:45" ht="12.75" x14ac:dyDescent="0.2">
      <c r="C27" s="580"/>
      <c r="D27" s="81" t="s">
        <v>39</v>
      </c>
      <c r="E27" s="68" t="s">
        <v>18</v>
      </c>
      <c r="F27" s="69"/>
      <c r="G27" s="65"/>
      <c r="H27" s="65"/>
      <c r="I27" s="65"/>
      <c r="J27" s="65"/>
      <c r="K27" s="87"/>
      <c r="L27" s="65"/>
      <c r="M27" s="68"/>
      <c r="N27" s="65"/>
      <c r="O27" s="65"/>
      <c r="P27" s="65"/>
      <c r="Q27" s="65"/>
      <c r="R27" s="65"/>
      <c r="S27" s="65"/>
      <c r="T27" s="68"/>
      <c r="U27" s="65"/>
      <c r="V27" s="65"/>
      <c r="W27" s="65"/>
      <c r="X27" s="65"/>
      <c r="Y27" s="65"/>
      <c r="Z27" s="65"/>
      <c r="AA27" s="68"/>
      <c r="AB27" s="65"/>
      <c r="AC27" s="65"/>
      <c r="AD27" s="65"/>
      <c r="AE27" s="65"/>
      <c r="AF27" s="65"/>
      <c r="AG27" s="65"/>
      <c r="AH27" s="68"/>
      <c r="AI27" s="65"/>
      <c r="AJ27" s="68"/>
      <c r="AK27" s="88">
        <f t="shared" si="6"/>
        <v>0</v>
      </c>
      <c r="AL27" s="72">
        <f t="shared" si="7"/>
        <v>0</v>
      </c>
      <c r="AM27" s="62"/>
      <c r="AN27" s="29">
        <f t="shared" si="8"/>
        <v>0</v>
      </c>
      <c r="AO27" s="3"/>
      <c r="AP27" s="3"/>
      <c r="AQ27" s="3"/>
      <c r="AR27" s="3"/>
      <c r="AS27" s="3"/>
    </row>
    <row r="28" spans="3:45" ht="12.75" x14ac:dyDescent="0.2">
      <c r="C28" s="580"/>
      <c r="D28" s="584" t="s">
        <v>40</v>
      </c>
      <c r="E28" s="68" t="s">
        <v>18</v>
      </c>
      <c r="F28" s="69"/>
      <c r="G28" s="65"/>
      <c r="H28" s="65"/>
      <c r="I28" s="65"/>
      <c r="J28" s="65"/>
      <c r="K28" s="65"/>
      <c r="L28" s="65"/>
      <c r="M28" s="68"/>
      <c r="N28" s="65"/>
      <c r="O28" s="65"/>
      <c r="P28" s="65"/>
      <c r="Q28" s="65"/>
      <c r="R28" s="65"/>
      <c r="S28" s="65"/>
      <c r="T28" s="68"/>
      <c r="U28" s="65"/>
      <c r="V28" s="65"/>
      <c r="W28" s="65"/>
      <c r="X28" s="65"/>
      <c r="Y28" s="65"/>
      <c r="Z28" s="65"/>
      <c r="AA28" s="68"/>
      <c r="AB28" s="65"/>
      <c r="AC28" s="65"/>
      <c r="AD28" s="65"/>
      <c r="AE28" s="65"/>
      <c r="AF28" s="65"/>
      <c r="AG28" s="65"/>
      <c r="AH28" s="68"/>
      <c r="AI28" s="65"/>
      <c r="AJ28" s="68"/>
      <c r="AK28" s="88">
        <f t="shared" si="6"/>
        <v>0</v>
      </c>
      <c r="AL28" s="96">
        <f t="shared" si="7"/>
        <v>0</v>
      </c>
      <c r="AM28" s="97"/>
      <c r="AN28" s="582">
        <f>SUM(AL28:AM29)</f>
        <v>0</v>
      </c>
      <c r="AO28" s="3"/>
      <c r="AP28" s="3"/>
      <c r="AQ28" s="3"/>
      <c r="AR28" s="3"/>
      <c r="AS28" s="3"/>
    </row>
    <row r="29" spans="3:45" ht="12.75" x14ac:dyDescent="0.2">
      <c r="C29" s="580"/>
      <c r="D29" s="577"/>
      <c r="E29" s="61" t="s">
        <v>19</v>
      </c>
      <c r="F29" s="90"/>
      <c r="G29" s="62"/>
      <c r="H29" s="62"/>
      <c r="I29" s="62"/>
      <c r="J29" s="62"/>
      <c r="K29" s="62"/>
      <c r="L29" s="62"/>
      <c r="M29" s="61"/>
      <c r="N29" s="62"/>
      <c r="O29" s="62"/>
      <c r="P29" s="62"/>
      <c r="Q29" s="62"/>
      <c r="R29" s="62"/>
      <c r="S29" s="62"/>
      <c r="T29" s="61"/>
      <c r="U29" s="62"/>
      <c r="V29" s="62"/>
      <c r="W29" s="62"/>
      <c r="X29" s="62"/>
      <c r="Y29" s="62"/>
      <c r="Z29" s="62"/>
      <c r="AA29" s="61"/>
      <c r="AB29" s="62"/>
      <c r="AC29" s="62"/>
      <c r="AD29" s="62"/>
      <c r="AE29" s="62"/>
      <c r="AF29" s="62"/>
      <c r="AG29" s="62"/>
      <c r="AH29" s="61"/>
      <c r="AI29" s="62"/>
      <c r="AJ29" s="61"/>
      <c r="AK29" s="92">
        <f t="shared" si="6"/>
        <v>0</v>
      </c>
      <c r="AL29" s="93"/>
      <c r="AM29" s="94">
        <f>AK29</f>
        <v>0</v>
      </c>
      <c r="AN29" s="583"/>
      <c r="AO29" s="3"/>
      <c r="AP29" s="3"/>
      <c r="AQ29" s="3"/>
      <c r="AR29" s="3"/>
      <c r="AS29" s="3"/>
    </row>
    <row r="30" spans="3:45" ht="12.75" x14ac:dyDescent="0.2">
      <c r="C30" s="580"/>
      <c r="D30" s="584" t="s">
        <v>41</v>
      </c>
      <c r="E30" s="68" t="s">
        <v>18</v>
      </c>
      <c r="F30" s="69"/>
      <c r="G30" s="65"/>
      <c r="H30" s="65"/>
      <c r="I30" s="65"/>
      <c r="J30" s="72"/>
      <c r="K30" s="70"/>
      <c r="L30" s="65"/>
      <c r="M30" s="68"/>
      <c r="N30" s="65"/>
      <c r="O30" s="65"/>
      <c r="P30" s="65"/>
      <c r="Q30" s="65"/>
      <c r="R30" s="65"/>
      <c r="S30" s="65"/>
      <c r="T30" s="68"/>
      <c r="U30" s="65"/>
      <c r="V30" s="65"/>
      <c r="W30" s="65"/>
      <c r="X30" s="65"/>
      <c r="Y30" s="65"/>
      <c r="Z30" s="65"/>
      <c r="AA30" s="68"/>
      <c r="AB30" s="65"/>
      <c r="AC30" s="87"/>
      <c r="AD30" s="65"/>
      <c r="AE30" s="65"/>
      <c r="AF30" s="87"/>
      <c r="AG30" s="65"/>
      <c r="AH30" s="68"/>
      <c r="AI30" s="65"/>
      <c r="AJ30" s="68"/>
      <c r="AK30" s="88">
        <f t="shared" si="6"/>
        <v>0</v>
      </c>
      <c r="AL30" s="96">
        <f>AK30</f>
        <v>0</v>
      </c>
      <c r="AM30" s="97"/>
      <c r="AN30" s="582">
        <f>SUM(AL30:AM31)</f>
        <v>0</v>
      </c>
      <c r="AO30" s="3"/>
      <c r="AP30" s="3"/>
      <c r="AQ30" s="3"/>
      <c r="AR30" s="3"/>
      <c r="AS30" s="3"/>
    </row>
    <row r="31" spans="3:45" ht="12.75" x14ac:dyDescent="0.2">
      <c r="C31" s="580"/>
      <c r="D31" s="577"/>
      <c r="E31" s="61" t="s">
        <v>19</v>
      </c>
      <c r="F31" s="90"/>
      <c r="G31" s="66"/>
      <c r="H31" s="62"/>
      <c r="I31" s="62"/>
      <c r="J31" s="62"/>
      <c r="K31" s="91"/>
      <c r="L31" s="62"/>
      <c r="M31" s="61"/>
      <c r="N31" s="62"/>
      <c r="O31" s="62"/>
      <c r="P31" s="62"/>
      <c r="Q31" s="62"/>
      <c r="R31" s="62"/>
      <c r="S31" s="62"/>
      <c r="T31" s="61"/>
      <c r="U31" s="62"/>
      <c r="V31" s="62"/>
      <c r="W31" s="62"/>
      <c r="X31" s="62"/>
      <c r="Y31" s="62"/>
      <c r="Z31" s="66"/>
      <c r="AA31" s="61"/>
      <c r="AB31" s="62"/>
      <c r="AC31" s="62"/>
      <c r="AD31" s="62"/>
      <c r="AE31" s="62"/>
      <c r="AF31" s="62"/>
      <c r="AG31" s="62"/>
      <c r="AH31" s="61"/>
      <c r="AI31" s="62"/>
      <c r="AJ31" s="61"/>
      <c r="AK31" s="92">
        <f t="shared" si="6"/>
        <v>0</v>
      </c>
      <c r="AL31" s="93"/>
      <c r="AM31" s="94">
        <f>AK31</f>
        <v>0</v>
      </c>
      <c r="AN31" s="583"/>
      <c r="AO31" s="3"/>
      <c r="AP31" s="3"/>
      <c r="AQ31" s="3"/>
      <c r="AR31" s="3"/>
      <c r="AS31" s="3"/>
    </row>
    <row r="32" spans="3:45" ht="12.75" x14ac:dyDescent="0.2">
      <c r="C32" s="580"/>
      <c r="D32" s="81" t="s">
        <v>42</v>
      </c>
      <c r="E32" s="68" t="s">
        <v>18</v>
      </c>
      <c r="F32" s="98"/>
      <c r="G32" s="70"/>
      <c r="H32" s="65"/>
      <c r="I32" s="65"/>
      <c r="J32" s="87"/>
      <c r="K32" s="87"/>
      <c r="L32" s="70"/>
      <c r="M32" s="99"/>
      <c r="N32" s="87"/>
      <c r="O32" s="87"/>
      <c r="P32" s="87"/>
      <c r="Q32" s="87"/>
      <c r="R32" s="65"/>
      <c r="S32" s="87"/>
      <c r="T32" s="95"/>
      <c r="U32" s="72"/>
      <c r="V32" s="70"/>
      <c r="W32" s="87"/>
      <c r="X32" s="65"/>
      <c r="Y32" s="72"/>
      <c r="Z32" s="70"/>
      <c r="AA32" s="88"/>
      <c r="AB32" s="65"/>
      <c r="AC32" s="72"/>
      <c r="AD32" s="72"/>
      <c r="AE32" s="65"/>
      <c r="AF32" s="87"/>
      <c r="AG32" s="70"/>
      <c r="AH32" s="95"/>
      <c r="AI32" s="87"/>
      <c r="AJ32" s="68"/>
      <c r="AK32" s="88">
        <f t="shared" si="6"/>
        <v>0</v>
      </c>
      <c r="AL32" s="72">
        <f>AK32</f>
        <v>0</v>
      </c>
      <c r="AM32" s="62"/>
      <c r="AN32" s="29">
        <f>AL32</f>
        <v>0</v>
      </c>
      <c r="AO32" s="3"/>
      <c r="AP32" s="3"/>
      <c r="AQ32" s="3"/>
      <c r="AR32" s="3"/>
      <c r="AS32" s="3"/>
    </row>
    <row r="33" spans="3:45" ht="12.75" x14ac:dyDescent="0.2">
      <c r="C33" s="580"/>
      <c r="D33" s="81" t="s">
        <v>43</v>
      </c>
      <c r="E33" s="61" t="s">
        <v>19</v>
      </c>
      <c r="F33" s="90"/>
      <c r="G33" s="62"/>
      <c r="H33" s="62"/>
      <c r="I33" s="62"/>
      <c r="J33" s="62"/>
      <c r="K33" s="62"/>
      <c r="L33" s="62"/>
      <c r="M33" s="61"/>
      <c r="N33" s="62"/>
      <c r="O33" s="62"/>
      <c r="P33" s="62"/>
      <c r="Q33" s="62"/>
      <c r="R33" s="62"/>
      <c r="S33" s="62"/>
      <c r="T33" s="61"/>
      <c r="U33" s="62"/>
      <c r="V33" s="62"/>
      <c r="W33" s="62"/>
      <c r="X33" s="62"/>
      <c r="Y33" s="62"/>
      <c r="Z33" s="62"/>
      <c r="AA33" s="61"/>
      <c r="AB33" s="62"/>
      <c r="AC33" s="62"/>
      <c r="AD33" s="62"/>
      <c r="AE33" s="62"/>
      <c r="AF33" s="62"/>
      <c r="AG33" s="62"/>
      <c r="AH33" s="61"/>
      <c r="AI33" s="62"/>
      <c r="AJ33" s="61"/>
      <c r="AK33" s="92">
        <f t="shared" si="6"/>
        <v>0</v>
      </c>
      <c r="AL33" s="65"/>
      <c r="AM33" s="66">
        <f>AK33</f>
        <v>0</v>
      </c>
      <c r="AN33" s="29">
        <f>AM33</f>
        <v>0</v>
      </c>
      <c r="AO33" s="3"/>
      <c r="AP33" s="3"/>
      <c r="AQ33" s="3"/>
      <c r="AR33" s="3"/>
      <c r="AS33" s="3"/>
    </row>
    <row r="34" spans="3:45" ht="12.75" x14ac:dyDescent="0.2">
      <c r="C34" s="580"/>
      <c r="D34" s="584" t="s">
        <v>44</v>
      </c>
      <c r="E34" s="68" t="s">
        <v>18</v>
      </c>
      <c r="F34" s="69"/>
      <c r="G34" s="65"/>
      <c r="H34" s="65"/>
      <c r="I34" s="65"/>
      <c r="J34" s="65"/>
      <c r="K34" s="65"/>
      <c r="L34" s="65"/>
      <c r="M34" s="68"/>
      <c r="N34" s="65"/>
      <c r="O34" s="65"/>
      <c r="P34" s="65"/>
      <c r="Q34" s="65"/>
      <c r="R34" s="65"/>
      <c r="S34" s="65"/>
      <c r="T34" s="68"/>
      <c r="U34" s="65"/>
      <c r="V34" s="65"/>
      <c r="W34" s="65"/>
      <c r="X34" s="65"/>
      <c r="Y34" s="65"/>
      <c r="Z34" s="65"/>
      <c r="AA34" s="68"/>
      <c r="AB34" s="65"/>
      <c r="AC34" s="65"/>
      <c r="AD34" s="65"/>
      <c r="AE34" s="65"/>
      <c r="AF34" s="65"/>
      <c r="AG34" s="65"/>
      <c r="AH34" s="68"/>
      <c r="AI34" s="65"/>
      <c r="AJ34" s="68"/>
      <c r="AK34" s="88">
        <f t="shared" si="6"/>
        <v>0</v>
      </c>
      <c r="AL34" s="96">
        <f>AK34</f>
        <v>0</v>
      </c>
      <c r="AM34" s="97"/>
      <c r="AN34" s="582">
        <f>SUM(AL34:AM35)</f>
        <v>0</v>
      </c>
      <c r="AO34" s="3"/>
      <c r="AP34" s="3"/>
      <c r="AQ34" s="3"/>
      <c r="AR34" s="3"/>
      <c r="AS34" s="3"/>
    </row>
    <row r="35" spans="3:45" ht="12.75" x14ac:dyDescent="0.2">
      <c r="C35" s="581"/>
      <c r="D35" s="585"/>
      <c r="E35" s="100" t="s">
        <v>19</v>
      </c>
      <c r="F35" s="101"/>
      <c r="G35" s="62"/>
      <c r="H35" s="62"/>
      <c r="I35" s="62"/>
      <c r="J35" s="62"/>
      <c r="K35" s="62"/>
      <c r="L35" s="62"/>
      <c r="M35" s="61"/>
      <c r="N35" s="62"/>
      <c r="O35" s="62"/>
      <c r="P35" s="62"/>
      <c r="Q35" s="62"/>
      <c r="R35" s="62"/>
      <c r="S35" s="62"/>
      <c r="T35" s="61"/>
      <c r="U35" s="62"/>
      <c r="V35" s="62"/>
      <c r="W35" s="62"/>
      <c r="X35" s="62"/>
      <c r="Y35" s="62"/>
      <c r="Z35" s="62"/>
      <c r="AA35" s="61"/>
      <c r="AB35" s="62"/>
      <c r="AC35" s="62"/>
      <c r="AD35" s="62"/>
      <c r="AE35" s="62"/>
      <c r="AF35" s="62"/>
      <c r="AG35" s="62"/>
      <c r="AH35" s="61"/>
      <c r="AI35" s="62"/>
      <c r="AJ35" s="100"/>
      <c r="AK35" s="102">
        <f t="shared" si="6"/>
        <v>0</v>
      </c>
      <c r="AL35" s="93"/>
      <c r="AM35" s="94">
        <f>AK35</f>
        <v>0</v>
      </c>
      <c r="AN35" s="583"/>
      <c r="AO35" s="3"/>
      <c r="AP35" s="3"/>
      <c r="AQ35" s="3"/>
      <c r="AR35" s="3"/>
      <c r="AS35" s="3"/>
    </row>
    <row r="36" spans="3:45" ht="12.75" x14ac:dyDescent="0.2">
      <c r="C36" s="594" t="s">
        <v>45</v>
      </c>
      <c r="D36" s="599" t="s">
        <v>46</v>
      </c>
      <c r="E36" s="103" t="s">
        <v>18</v>
      </c>
      <c r="F36" s="104">
        <f>24.93+6.53</f>
        <v>31.46</v>
      </c>
      <c r="G36" s="105"/>
      <c r="H36" s="105"/>
      <c r="I36" s="105"/>
      <c r="J36" s="106"/>
      <c r="K36" s="105"/>
      <c r="L36" s="105"/>
      <c r="M36" s="107"/>
      <c r="N36" s="108"/>
      <c r="O36" s="105"/>
      <c r="P36" s="108"/>
      <c r="Q36" s="106"/>
      <c r="R36" s="109"/>
      <c r="S36" s="109"/>
      <c r="T36" s="103"/>
      <c r="U36" s="108"/>
      <c r="V36" s="105"/>
      <c r="W36" s="109"/>
      <c r="X36" s="109"/>
      <c r="Y36" s="108"/>
      <c r="Z36" s="108"/>
      <c r="AA36" s="107"/>
      <c r="AB36" s="105"/>
      <c r="AC36" s="105"/>
      <c r="AD36" s="105"/>
      <c r="AE36" s="109"/>
      <c r="AF36" s="105"/>
      <c r="AG36" s="109"/>
      <c r="AH36" s="103"/>
      <c r="AI36" s="109"/>
      <c r="AJ36" s="103"/>
      <c r="AK36" s="107">
        <f t="shared" si="6"/>
        <v>31.46</v>
      </c>
      <c r="AL36" s="96">
        <f>AK36</f>
        <v>31.46</v>
      </c>
      <c r="AM36" s="97"/>
      <c r="AN36" s="582">
        <f>SUM(AL36:AM37)</f>
        <v>31.46</v>
      </c>
      <c r="AO36" s="3"/>
      <c r="AP36" s="3"/>
      <c r="AQ36" s="3"/>
      <c r="AR36" s="3"/>
      <c r="AS36" s="3"/>
    </row>
    <row r="37" spans="3:45" ht="12.75" x14ac:dyDescent="0.2">
      <c r="C37" s="580"/>
      <c r="D37" s="577"/>
      <c r="E37" s="61" t="s">
        <v>19</v>
      </c>
      <c r="F37" s="90"/>
      <c r="G37" s="66"/>
      <c r="H37" s="91"/>
      <c r="I37" s="62"/>
      <c r="J37" s="62"/>
      <c r="K37" s="62"/>
      <c r="L37" s="62"/>
      <c r="M37" s="61"/>
      <c r="N37" s="62"/>
      <c r="O37" s="62"/>
      <c r="P37" s="62"/>
      <c r="Q37" s="62"/>
      <c r="R37" s="62"/>
      <c r="S37" s="62"/>
      <c r="T37" s="61"/>
      <c r="U37" s="62"/>
      <c r="V37" s="62"/>
      <c r="W37" s="62"/>
      <c r="X37" s="62"/>
      <c r="Y37" s="62"/>
      <c r="Z37" s="66"/>
      <c r="AA37" s="92"/>
      <c r="AB37" s="62"/>
      <c r="AC37" s="66"/>
      <c r="AD37" s="66"/>
      <c r="AE37" s="62"/>
      <c r="AF37" s="62"/>
      <c r="AG37" s="62"/>
      <c r="AH37" s="92"/>
      <c r="AI37" s="62"/>
      <c r="AJ37" s="61"/>
      <c r="AK37" s="92">
        <f t="shared" si="6"/>
        <v>0</v>
      </c>
      <c r="AL37" s="93"/>
      <c r="AM37" s="94">
        <f>AK37</f>
        <v>0</v>
      </c>
      <c r="AN37" s="583"/>
      <c r="AO37" s="3"/>
      <c r="AP37" s="3"/>
      <c r="AQ37" s="3"/>
      <c r="AR37" s="3"/>
      <c r="AS37" s="3"/>
    </row>
    <row r="38" spans="3:45" ht="12.75" x14ac:dyDescent="0.2">
      <c r="C38" s="580"/>
      <c r="D38" s="591" t="s">
        <v>47</v>
      </c>
      <c r="E38" s="68" t="s">
        <v>18</v>
      </c>
      <c r="F38" s="69">
        <f>0.95*2</f>
        <v>1.9</v>
      </c>
      <c r="G38" s="65"/>
      <c r="H38" s="65"/>
      <c r="I38" s="65"/>
      <c r="J38" s="70"/>
      <c r="K38" s="72"/>
      <c r="L38" s="87"/>
      <c r="M38" s="88"/>
      <c r="N38" s="72"/>
      <c r="O38" s="65"/>
      <c r="P38" s="70"/>
      <c r="Q38" s="72"/>
      <c r="R38" s="70"/>
      <c r="S38" s="72"/>
      <c r="T38" s="68"/>
      <c r="U38" s="72"/>
      <c r="V38" s="72"/>
      <c r="W38" s="65"/>
      <c r="X38" s="70"/>
      <c r="Y38" s="72"/>
      <c r="Z38" s="65"/>
      <c r="AA38" s="68"/>
      <c r="AB38" s="65"/>
      <c r="AC38" s="72"/>
      <c r="AD38" s="65"/>
      <c r="AE38" s="87"/>
      <c r="AF38" s="65"/>
      <c r="AG38" s="65"/>
      <c r="AH38" s="68"/>
      <c r="AI38" s="87"/>
      <c r="AJ38" s="68"/>
      <c r="AK38" s="88">
        <f t="shared" si="6"/>
        <v>1.9</v>
      </c>
      <c r="AL38" s="96">
        <f>AK38</f>
        <v>1.9</v>
      </c>
      <c r="AM38" s="97"/>
      <c r="AN38" s="593">
        <f>SUM(AL38:AM39)</f>
        <v>1.9</v>
      </c>
      <c r="AO38" s="3"/>
      <c r="AP38" s="3"/>
      <c r="AQ38" s="3"/>
      <c r="AR38" s="3"/>
      <c r="AS38" s="3"/>
    </row>
    <row r="39" spans="3:45" ht="12.75" x14ac:dyDescent="0.2">
      <c r="C39" s="580"/>
      <c r="D39" s="577"/>
      <c r="E39" s="61" t="s">
        <v>19</v>
      </c>
      <c r="F39" s="90"/>
      <c r="G39" s="66"/>
      <c r="H39" s="63"/>
      <c r="I39" s="62"/>
      <c r="J39" s="62"/>
      <c r="K39" s="62"/>
      <c r="L39" s="62"/>
      <c r="M39" s="92"/>
      <c r="N39" s="62"/>
      <c r="O39" s="62"/>
      <c r="P39" s="62"/>
      <c r="Q39" s="62"/>
      <c r="R39" s="62"/>
      <c r="S39" s="62"/>
      <c r="T39" s="61"/>
      <c r="U39" s="62"/>
      <c r="V39" s="62"/>
      <c r="W39" s="62"/>
      <c r="X39" s="62"/>
      <c r="Y39" s="66"/>
      <c r="Z39" s="66"/>
      <c r="AA39" s="92"/>
      <c r="AB39" s="66"/>
      <c r="AC39" s="66"/>
      <c r="AD39" s="66"/>
      <c r="AE39" s="62"/>
      <c r="AF39" s="62"/>
      <c r="AG39" s="62"/>
      <c r="AH39" s="92"/>
      <c r="AI39" s="66"/>
      <c r="AJ39" s="61"/>
      <c r="AK39" s="92">
        <f t="shared" si="6"/>
        <v>0</v>
      </c>
      <c r="AL39" s="93"/>
      <c r="AM39" s="94">
        <f>AK39</f>
        <v>0</v>
      </c>
      <c r="AN39" s="583"/>
      <c r="AO39" s="3"/>
      <c r="AP39" s="3"/>
      <c r="AQ39" s="3"/>
      <c r="AR39" s="3"/>
      <c r="AS39" s="3"/>
    </row>
    <row r="40" spans="3:45" ht="12.75" x14ac:dyDescent="0.2">
      <c r="C40" s="580"/>
      <c r="D40" s="591" t="s">
        <v>48</v>
      </c>
      <c r="E40" s="68" t="s">
        <v>18</v>
      </c>
      <c r="F40" s="82"/>
      <c r="G40" s="65"/>
      <c r="H40" s="65"/>
      <c r="I40" s="65"/>
      <c r="J40" s="65"/>
      <c r="K40" s="65"/>
      <c r="L40" s="65"/>
      <c r="M40" s="68"/>
      <c r="N40" s="65"/>
      <c r="O40" s="72"/>
      <c r="P40" s="65"/>
      <c r="Q40" s="87"/>
      <c r="R40" s="72"/>
      <c r="S40" s="65"/>
      <c r="T40" s="95"/>
      <c r="U40" s="65"/>
      <c r="V40" s="72"/>
      <c r="W40" s="65"/>
      <c r="X40" s="87"/>
      <c r="Y40" s="65"/>
      <c r="Z40" s="72"/>
      <c r="AA40" s="68"/>
      <c r="AB40" s="65"/>
      <c r="AC40" s="65"/>
      <c r="AD40" s="65"/>
      <c r="AE40" s="87"/>
      <c r="AF40" s="65"/>
      <c r="AG40" s="65"/>
      <c r="AH40" s="95"/>
      <c r="AI40" s="65"/>
      <c r="AJ40" s="68"/>
      <c r="AK40" s="88">
        <f t="shared" si="6"/>
        <v>0</v>
      </c>
      <c r="AL40" s="96">
        <f>AK40</f>
        <v>0</v>
      </c>
      <c r="AM40" s="97"/>
      <c r="AN40" s="582">
        <f>SUM(AL40:AM41)</f>
        <v>0</v>
      </c>
      <c r="AO40" s="3"/>
      <c r="AP40" s="3"/>
      <c r="AQ40" s="3"/>
      <c r="AR40" s="3"/>
      <c r="AS40" s="3"/>
    </row>
    <row r="41" spans="3:45" ht="12.75" x14ac:dyDescent="0.2">
      <c r="C41" s="580"/>
      <c r="D41" s="577"/>
      <c r="E41" s="61" t="s">
        <v>19</v>
      </c>
      <c r="F41" s="110"/>
      <c r="G41" s="62"/>
      <c r="H41" s="66"/>
      <c r="I41" s="62"/>
      <c r="J41" s="62"/>
      <c r="K41" s="62"/>
      <c r="L41" s="62"/>
      <c r="M41" s="61"/>
      <c r="N41" s="62"/>
      <c r="O41" s="62"/>
      <c r="P41" s="62"/>
      <c r="Q41" s="62"/>
      <c r="R41" s="62"/>
      <c r="S41" s="62"/>
      <c r="T41" s="61"/>
      <c r="U41" s="62"/>
      <c r="V41" s="62"/>
      <c r="W41" s="62"/>
      <c r="X41" s="62"/>
      <c r="Y41" s="62"/>
      <c r="Z41" s="62"/>
      <c r="AA41" s="61"/>
      <c r="AB41" s="62"/>
      <c r="AC41" s="62"/>
      <c r="AD41" s="62"/>
      <c r="AE41" s="62"/>
      <c r="AF41" s="62"/>
      <c r="AG41" s="66"/>
      <c r="AH41" s="61"/>
      <c r="AI41" s="62"/>
      <c r="AJ41" s="61"/>
      <c r="AK41" s="92">
        <f t="shared" si="6"/>
        <v>0</v>
      </c>
      <c r="AL41" s="93"/>
      <c r="AM41" s="94">
        <f>AK41</f>
        <v>0</v>
      </c>
      <c r="AN41" s="583"/>
      <c r="AO41" s="3"/>
      <c r="AP41" s="3"/>
      <c r="AQ41" s="3"/>
      <c r="AR41" s="3"/>
      <c r="AS41" s="3"/>
    </row>
    <row r="42" spans="3:45" ht="12.75" x14ac:dyDescent="0.2">
      <c r="C42" s="580"/>
      <c r="D42" s="591" t="s">
        <v>49</v>
      </c>
      <c r="E42" s="68" t="s">
        <v>18</v>
      </c>
      <c r="F42" s="82">
        <v>10</v>
      </c>
      <c r="G42" s="65"/>
      <c r="H42" s="87"/>
      <c r="I42" s="87"/>
      <c r="J42" s="70"/>
      <c r="K42" s="87"/>
      <c r="L42" s="87"/>
      <c r="M42" s="68"/>
      <c r="N42" s="72"/>
      <c r="O42" s="72"/>
      <c r="P42" s="70"/>
      <c r="Q42" s="72"/>
      <c r="R42" s="65"/>
      <c r="S42" s="87"/>
      <c r="T42" s="68"/>
      <c r="U42" s="87"/>
      <c r="V42" s="65"/>
      <c r="W42" s="87"/>
      <c r="X42" s="65"/>
      <c r="Y42" s="65"/>
      <c r="Z42" s="72"/>
      <c r="AA42" s="68"/>
      <c r="AB42" s="65"/>
      <c r="AC42" s="70"/>
      <c r="AD42" s="65"/>
      <c r="AE42" s="87"/>
      <c r="AF42" s="65"/>
      <c r="AG42" s="87"/>
      <c r="AH42" s="95"/>
      <c r="AI42" s="65"/>
      <c r="AJ42" s="68"/>
      <c r="AK42" s="88">
        <f t="shared" si="6"/>
        <v>10</v>
      </c>
      <c r="AL42" s="96">
        <f>AK42</f>
        <v>10</v>
      </c>
      <c r="AM42" s="97"/>
      <c r="AN42" s="582">
        <f>SUM(AL42:AM43)</f>
        <v>10</v>
      </c>
      <c r="AO42" s="3"/>
      <c r="AP42" s="3"/>
      <c r="AQ42" s="3"/>
      <c r="AR42" s="3"/>
      <c r="AS42" s="3"/>
    </row>
    <row r="43" spans="3:45" ht="12.75" x14ac:dyDescent="0.2">
      <c r="C43" s="580"/>
      <c r="D43" s="577"/>
      <c r="E43" s="61" t="s">
        <v>19</v>
      </c>
      <c r="F43" s="111"/>
      <c r="G43" s="66"/>
      <c r="H43" s="62"/>
      <c r="I43" s="62"/>
      <c r="J43" s="62"/>
      <c r="K43" s="62"/>
      <c r="L43" s="62"/>
      <c r="M43" s="61"/>
      <c r="N43" s="62"/>
      <c r="O43" s="62"/>
      <c r="P43" s="91"/>
      <c r="Q43" s="62"/>
      <c r="R43" s="62"/>
      <c r="S43" s="62"/>
      <c r="T43" s="61"/>
      <c r="U43" s="62"/>
      <c r="V43" s="62"/>
      <c r="W43" s="62"/>
      <c r="X43" s="66"/>
      <c r="Y43" s="66"/>
      <c r="Z43" s="91"/>
      <c r="AA43" s="92"/>
      <c r="AB43" s="91"/>
      <c r="AC43" s="62"/>
      <c r="AD43" s="62"/>
      <c r="AE43" s="91"/>
      <c r="AF43" s="66"/>
      <c r="AG43" s="66"/>
      <c r="AH43" s="112"/>
      <c r="AI43" s="62"/>
      <c r="AJ43" s="61"/>
      <c r="AK43" s="92">
        <f t="shared" si="6"/>
        <v>0</v>
      </c>
      <c r="AL43" s="93"/>
      <c r="AM43" s="94">
        <f>AK43</f>
        <v>0</v>
      </c>
      <c r="AN43" s="583"/>
      <c r="AO43" s="3"/>
      <c r="AP43" s="3"/>
      <c r="AQ43" s="3"/>
      <c r="AR43" s="3"/>
      <c r="AS43" s="3"/>
    </row>
    <row r="44" spans="3:45" ht="12.75" x14ac:dyDescent="0.2">
      <c r="C44" s="580"/>
      <c r="D44" s="592" t="s">
        <v>50</v>
      </c>
      <c r="E44" s="68" t="s">
        <v>18</v>
      </c>
      <c r="F44" s="113"/>
      <c r="G44" s="65"/>
      <c r="H44" s="65"/>
      <c r="I44" s="65"/>
      <c r="J44" s="65"/>
      <c r="K44" s="70"/>
      <c r="L44" s="87"/>
      <c r="M44" s="68"/>
      <c r="N44" s="65"/>
      <c r="O44" s="65"/>
      <c r="P44" s="87"/>
      <c r="Q44" s="65"/>
      <c r="R44" s="70"/>
      <c r="S44" s="70"/>
      <c r="T44" s="95"/>
      <c r="U44" s="65"/>
      <c r="V44" s="65"/>
      <c r="W44" s="87"/>
      <c r="X44" s="87"/>
      <c r="Y44" s="70"/>
      <c r="Z44" s="87"/>
      <c r="AA44" s="68"/>
      <c r="AB44" s="65"/>
      <c r="AC44" s="72"/>
      <c r="AD44" s="65"/>
      <c r="AE44" s="65"/>
      <c r="AF44" s="65"/>
      <c r="AG44" s="65"/>
      <c r="AH44" s="95"/>
      <c r="AI44" s="87"/>
      <c r="AJ44" s="68"/>
      <c r="AK44" s="88">
        <f t="shared" si="6"/>
        <v>0</v>
      </c>
      <c r="AL44" s="96">
        <f>AK44</f>
        <v>0</v>
      </c>
      <c r="AM44" s="97"/>
      <c r="AN44" s="582">
        <f>SUM(AL44:AM45)</f>
        <v>0</v>
      </c>
      <c r="AO44" s="3"/>
      <c r="AP44" s="3"/>
      <c r="AQ44" s="3"/>
      <c r="AR44" s="3"/>
      <c r="AS44" s="3"/>
    </row>
    <row r="45" spans="3:45" ht="12.75" x14ac:dyDescent="0.2">
      <c r="C45" s="580"/>
      <c r="D45" s="577"/>
      <c r="E45" s="61" t="s">
        <v>19</v>
      </c>
      <c r="F45" s="110"/>
      <c r="G45" s="66"/>
      <c r="H45" s="62"/>
      <c r="I45" s="62"/>
      <c r="J45" s="62"/>
      <c r="K45" s="62"/>
      <c r="L45" s="62"/>
      <c r="M45" s="61"/>
      <c r="N45" s="62"/>
      <c r="O45" s="66"/>
      <c r="P45" s="62"/>
      <c r="Q45" s="62"/>
      <c r="R45" s="62"/>
      <c r="S45" s="66"/>
      <c r="T45" s="61"/>
      <c r="U45" s="62"/>
      <c r="V45" s="62"/>
      <c r="W45" s="62"/>
      <c r="X45" s="66"/>
      <c r="Y45" s="62"/>
      <c r="Z45" s="62"/>
      <c r="AA45" s="61"/>
      <c r="AB45" s="62"/>
      <c r="AC45" s="66"/>
      <c r="AD45" s="62"/>
      <c r="AE45" s="62"/>
      <c r="AF45" s="62"/>
      <c r="AG45" s="62"/>
      <c r="AH45" s="61"/>
      <c r="AI45" s="62"/>
      <c r="AJ45" s="61"/>
      <c r="AK45" s="92">
        <f t="shared" si="6"/>
        <v>0</v>
      </c>
      <c r="AL45" s="93"/>
      <c r="AM45" s="94">
        <f>AK45</f>
        <v>0</v>
      </c>
      <c r="AN45" s="583"/>
      <c r="AO45" s="3"/>
      <c r="AP45" s="3"/>
      <c r="AQ45" s="3"/>
      <c r="AR45" s="3"/>
      <c r="AS45" s="3"/>
    </row>
    <row r="46" spans="3:45" ht="12.75" x14ac:dyDescent="0.2">
      <c r="C46" s="580"/>
      <c r="D46" s="592" t="s">
        <v>1</v>
      </c>
      <c r="E46" s="68" t="s">
        <v>18</v>
      </c>
      <c r="F46" s="69"/>
      <c r="G46" s="65"/>
      <c r="H46" s="65"/>
      <c r="I46" s="65"/>
      <c r="J46" s="65"/>
      <c r="K46" s="65"/>
      <c r="L46" s="65"/>
      <c r="M46" s="68"/>
      <c r="N46" s="65"/>
      <c r="O46" s="65"/>
      <c r="P46" s="87"/>
      <c r="Q46" s="65"/>
      <c r="R46" s="65"/>
      <c r="S46" s="65"/>
      <c r="T46" s="68"/>
      <c r="U46" s="65"/>
      <c r="V46" s="65"/>
      <c r="W46" s="65"/>
      <c r="X46" s="65"/>
      <c r="Y46" s="65"/>
      <c r="Z46" s="87"/>
      <c r="AA46" s="68"/>
      <c r="AB46" s="65"/>
      <c r="AC46" s="65"/>
      <c r="AD46" s="65"/>
      <c r="AE46" s="65"/>
      <c r="AF46" s="65"/>
      <c r="AG46" s="65"/>
      <c r="AH46" s="95"/>
      <c r="AI46" s="65"/>
      <c r="AJ46" s="68"/>
      <c r="AK46" s="88">
        <f t="shared" si="6"/>
        <v>0</v>
      </c>
      <c r="AL46" s="89">
        <f>AK46</f>
        <v>0</v>
      </c>
      <c r="AM46" s="62"/>
      <c r="AN46" s="582">
        <f>SUM(AL46:AM47)</f>
        <v>0</v>
      </c>
      <c r="AO46" s="3"/>
      <c r="AP46" s="3"/>
      <c r="AQ46" s="3"/>
      <c r="AR46" s="3"/>
      <c r="AS46" s="3"/>
    </row>
    <row r="47" spans="3:45" ht="12.75" x14ac:dyDescent="0.2">
      <c r="C47" s="580"/>
      <c r="D47" s="577"/>
      <c r="E47" s="61" t="s">
        <v>19</v>
      </c>
      <c r="F47" s="90"/>
      <c r="G47" s="62"/>
      <c r="H47" s="62"/>
      <c r="I47" s="62"/>
      <c r="J47" s="62"/>
      <c r="K47" s="62"/>
      <c r="L47" s="62"/>
      <c r="M47" s="61"/>
      <c r="N47" s="62"/>
      <c r="O47" s="62"/>
      <c r="P47" s="62"/>
      <c r="Q47" s="62"/>
      <c r="R47" s="62"/>
      <c r="S47" s="62"/>
      <c r="T47" s="61"/>
      <c r="U47" s="62"/>
      <c r="V47" s="62"/>
      <c r="W47" s="62"/>
      <c r="X47" s="62"/>
      <c r="Y47" s="62"/>
      <c r="Z47" s="62"/>
      <c r="AA47" s="61"/>
      <c r="AB47" s="62"/>
      <c r="AC47" s="62"/>
      <c r="AD47" s="62"/>
      <c r="AE47" s="62"/>
      <c r="AF47" s="62"/>
      <c r="AG47" s="62"/>
      <c r="AH47" s="61"/>
      <c r="AI47" s="62"/>
      <c r="AJ47" s="61"/>
      <c r="AK47" s="92">
        <f t="shared" si="6"/>
        <v>0</v>
      </c>
      <c r="AL47" s="114"/>
      <c r="AM47" s="66">
        <f>AK47</f>
        <v>0</v>
      </c>
      <c r="AN47" s="583"/>
      <c r="AO47" s="3"/>
      <c r="AP47" s="3"/>
      <c r="AQ47" s="3"/>
      <c r="AR47" s="3"/>
      <c r="AS47" s="3"/>
    </row>
    <row r="48" spans="3:45" ht="12.75" x14ac:dyDescent="0.2">
      <c r="C48" s="580"/>
      <c r="D48" s="576" t="s">
        <v>51</v>
      </c>
      <c r="E48" s="68" t="s">
        <v>18</v>
      </c>
      <c r="F48" s="69"/>
      <c r="G48" s="65"/>
      <c r="H48" s="65"/>
      <c r="I48" s="65"/>
      <c r="J48" s="65"/>
      <c r="K48" s="65"/>
      <c r="L48" s="65"/>
      <c r="M48" s="95"/>
      <c r="N48" s="65"/>
      <c r="O48" s="65"/>
      <c r="P48" s="65"/>
      <c r="Q48" s="65"/>
      <c r="R48" s="65"/>
      <c r="S48" s="65"/>
      <c r="T48" s="68"/>
      <c r="U48" s="65"/>
      <c r="V48" s="65"/>
      <c r="W48" s="65"/>
      <c r="X48" s="65"/>
      <c r="Y48" s="87"/>
      <c r="Z48" s="65"/>
      <c r="AA48" s="68"/>
      <c r="AB48" s="65"/>
      <c r="AC48" s="65"/>
      <c r="AD48" s="87"/>
      <c r="AE48" s="65"/>
      <c r="AF48" s="65"/>
      <c r="AG48" s="65"/>
      <c r="AH48" s="68"/>
      <c r="AI48" s="65"/>
      <c r="AJ48" s="68"/>
      <c r="AK48" s="88">
        <f t="shared" si="6"/>
        <v>0</v>
      </c>
      <c r="AL48" s="96">
        <f>AK48</f>
        <v>0</v>
      </c>
      <c r="AM48" s="97"/>
      <c r="AN48" s="586">
        <f>SUM(AL48:AM49)</f>
        <v>0</v>
      </c>
      <c r="AO48" s="3"/>
      <c r="AP48" s="3"/>
      <c r="AQ48" s="3"/>
      <c r="AR48" s="3"/>
      <c r="AS48" s="3"/>
    </row>
    <row r="49" spans="3:45" ht="12.75" x14ac:dyDescent="0.2">
      <c r="C49" s="580"/>
      <c r="D49" s="577"/>
      <c r="E49" s="61" t="s">
        <v>19</v>
      </c>
      <c r="F49" s="90"/>
      <c r="G49" s="62"/>
      <c r="H49" s="62"/>
      <c r="I49" s="62"/>
      <c r="J49" s="62"/>
      <c r="K49" s="62"/>
      <c r="L49" s="62"/>
      <c r="M49" s="61"/>
      <c r="N49" s="62"/>
      <c r="O49" s="62"/>
      <c r="P49" s="62"/>
      <c r="Q49" s="62"/>
      <c r="R49" s="62"/>
      <c r="S49" s="62"/>
      <c r="T49" s="61"/>
      <c r="U49" s="62"/>
      <c r="V49" s="62"/>
      <c r="W49" s="62"/>
      <c r="X49" s="62"/>
      <c r="Y49" s="62"/>
      <c r="Z49" s="62"/>
      <c r="AA49" s="61"/>
      <c r="AB49" s="62"/>
      <c r="AC49" s="62"/>
      <c r="AD49" s="62"/>
      <c r="AE49" s="62"/>
      <c r="AF49" s="62"/>
      <c r="AG49" s="62"/>
      <c r="AH49" s="61"/>
      <c r="AI49" s="62"/>
      <c r="AJ49" s="61"/>
      <c r="AK49" s="92">
        <f t="shared" si="6"/>
        <v>0</v>
      </c>
      <c r="AL49" s="93"/>
      <c r="AM49" s="94">
        <f>AK49</f>
        <v>0</v>
      </c>
      <c r="AN49" s="583"/>
      <c r="AO49" s="3"/>
      <c r="AP49" s="3"/>
      <c r="AQ49" s="3"/>
      <c r="AR49" s="3"/>
      <c r="AS49" s="3"/>
    </row>
    <row r="50" spans="3:45" ht="12.75" x14ac:dyDescent="0.2">
      <c r="C50" s="580"/>
      <c r="D50" s="576" t="s">
        <v>52</v>
      </c>
      <c r="E50" s="68" t="s">
        <v>18</v>
      </c>
      <c r="F50" s="69"/>
      <c r="G50" s="65"/>
      <c r="H50" s="65"/>
      <c r="I50" s="65"/>
      <c r="J50" s="65"/>
      <c r="K50" s="65"/>
      <c r="L50" s="65"/>
      <c r="M50" s="68"/>
      <c r="N50" s="65"/>
      <c r="O50" s="65"/>
      <c r="P50" s="65"/>
      <c r="Q50" s="65"/>
      <c r="R50" s="65"/>
      <c r="S50" s="65"/>
      <c r="T50" s="68"/>
      <c r="U50" s="65"/>
      <c r="V50" s="65"/>
      <c r="W50" s="65"/>
      <c r="X50" s="65"/>
      <c r="Y50" s="65"/>
      <c r="Z50" s="65"/>
      <c r="AA50" s="88"/>
      <c r="AB50" s="87"/>
      <c r="AC50" s="65"/>
      <c r="AD50" s="65"/>
      <c r="AE50" s="65"/>
      <c r="AF50" s="65"/>
      <c r="AG50" s="65"/>
      <c r="AH50" s="68"/>
      <c r="AI50" s="65"/>
      <c r="AJ50" s="68"/>
      <c r="AK50" s="88">
        <f t="shared" si="6"/>
        <v>0</v>
      </c>
      <c r="AL50" s="96">
        <f>AK50</f>
        <v>0</v>
      </c>
      <c r="AM50" s="97"/>
      <c r="AN50" s="582">
        <f>SUM(AL50:AM51)</f>
        <v>0</v>
      </c>
      <c r="AO50" s="3"/>
      <c r="AP50" s="3"/>
      <c r="AQ50" s="3"/>
      <c r="AR50" s="3"/>
      <c r="AS50" s="3"/>
    </row>
    <row r="51" spans="3:45" ht="12.75" x14ac:dyDescent="0.2">
      <c r="C51" s="581"/>
      <c r="D51" s="585"/>
      <c r="E51" s="100" t="s">
        <v>19</v>
      </c>
      <c r="F51" s="101"/>
      <c r="G51" s="62"/>
      <c r="H51" s="62"/>
      <c r="I51" s="62"/>
      <c r="J51" s="62"/>
      <c r="K51" s="62"/>
      <c r="L51" s="62"/>
      <c r="M51" s="61"/>
      <c r="N51" s="62"/>
      <c r="O51" s="62"/>
      <c r="P51" s="62"/>
      <c r="Q51" s="62"/>
      <c r="R51" s="62"/>
      <c r="S51" s="62"/>
      <c r="T51" s="61"/>
      <c r="U51" s="62"/>
      <c r="V51" s="62"/>
      <c r="W51" s="62"/>
      <c r="X51" s="62"/>
      <c r="Y51" s="62"/>
      <c r="Z51" s="62"/>
      <c r="AA51" s="61"/>
      <c r="AB51" s="62"/>
      <c r="AC51" s="62"/>
      <c r="AD51" s="62"/>
      <c r="AE51" s="62"/>
      <c r="AF51" s="62"/>
      <c r="AG51" s="62"/>
      <c r="AH51" s="61"/>
      <c r="AI51" s="62"/>
      <c r="AJ51" s="100"/>
      <c r="AK51" s="102">
        <f t="shared" si="6"/>
        <v>0</v>
      </c>
      <c r="AL51" s="93"/>
      <c r="AM51" s="94">
        <f>AK51</f>
        <v>0</v>
      </c>
      <c r="AN51" s="583"/>
      <c r="AO51" s="3"/>
      <c r="AP51" s="3"/>
      <c r="AQ51" s="3"/>
      <c r="AR51" s="3"/>
      <c r="AS51" s="3"/>
    </row>
    <row r="52" spans="3:45" ht="12.75" x14ac:dyDescent="0.2">
      <c r="C52" s="594" t="s">
        <v>53</v>
      </c>
      <c r="D52" s="115" t="s">
        <v>54</v>
      </c>
      <c r="E52" s="103" t="s">
        <v>18</v>
      </c>
      <c r="F52" s="116"/>
      <c r="G52" s="105"/>
      <c r="H52" s="105"/>
      <c r="I52" s="105"/>
      <c r="J52" s="105"/>
      <c r="K52" s="105"/>
      <c r="L52" s="105"/>
      <c r="M52" s="103"/>
      <c r="N52" s="105"/>
      <c r="O52" s="105"/>
      <c r="P52" s="105"/>
      <c r="Q52" s="105"/>
      <c r="R52" s="105"/>
      <c r="S52" s="105"/>
      <c r="T52" s="103"/>
      <c r="U52" s="105"/>
      <c r="V52" s="105"/>
      <c r="W52" s="105"/>
      <c r="X52" s="105"/>
      <c r="Y52" s="105"/>
      <c r="Z52" s="105"/>
      <c r="AA52" s="103"/>
      <c r="AB52" s="105"/>
      <c r="AC52" s="105"/>
      <c r="AD52" s="105"/>
      <c r="AE52" s="105"/>
      <c r="AF52" s="109"/>
      <c r="AG52" s="105"/>
      <c r="AH52" s="103"/>
      <c r="AI52" s="105"/>
      <c r="AJ52" s="103"/>
      <c r="AK52" s="107">
        <f t="shared" si="6"/>
        <v>0</v>
      </c>
      <c r="AL52" s="72">
        <f t="shared" ref="AL52:AL53" si="9">AK52</f>
        <v>0</v>
      </c>
      <c r="AM52" s="62"/>
      <c r="AN52" s="29">
        <f>AL52</f>
        <v>0</v>
      </c>
      <c r="AO52" s="3"/>
      <c r="AP52" s="3"/>
      <c r="AQ52" s="3"/>
      <c r="AR52" s="3"/>
      <c r="AS52" s="3"/>
    </row>
    <row r="53" spans="3:45" ht="12.75" x14ac:dyDescent="0.2">
      <c r="C53" s="580"/>
      <c r="D53" s="584" t="s">
        <v>55</v>
      </c>
      <c r="E53" s="68" t="s">
        <v>18</v>
      </c>
      <c r="F53" s="69"/>
      <c r="G53" s="65"/>
      <c r="H53" s="87"/>
      <c r="I53" s="65"/>
      <c r="J53" s="65"/>
      <c r="K53" s="65"/>
      <c r="L53" s="65"/>
      <c r="M53" s="68"/>
      <c r="N53" s="65"/>
      <c r="O53" s="65"/>
      <c r="P53" s="65"/>
      <c r="Q53" s="65"/>
      <c r="R53" s="65"/>
      <c r="S53" s="87"/>
      <c r="T53" s="68"/>
      <c r="U53" s="65"/>
      <c r="V53" s="65"/>
      <c r="W53" s="87"/>
      <c r="X53" s="65"/>
      <c r="Y53" s="87"/>
      <c r="Z53" s="65"/>
      <c r="AA53" s="68"/>
      <c r="AB53" s="65"/>
      <c r="AC53" s="87"/>
      <c r="AD53" s="65"/>
      <c r="AE53" s="65"/>
      <c r="AF53" s="65"/>
      <c r="AG53" s="87"/>
      <c r="AH53" s="68"/>
      <c r="AI53" s="65"/>
      <c r="AJ53" s="68"/>
      <c r="AK53" s="88">
        <f t="shared" si="6"/>
        <v>0</v>
      </c>
      <c r="AL53" s="96">
        <f t="shared" si="9"/>
        <v>0</v>
      </c>
      <c r="AM53" s="97"/>
      <c r="AN53" s="582">
        <f>SUM(AL53:AM54)</f>
        <v>0</v>
      </c>
      <c r="AO53" s="3"/>
      <c r="AP53" s="3"/>
      <c r="AQ53" s="3"/>
      <c r="AR53" s="3"/>
      <c r="AS53" s="3"/>
    </row>
    <row r="54" spans="3:45" ht="12.75" x14ac:dyDescent="0.2">
      <c r="C54" s="580"/>
      <c r="D54" s="577"/>
      <c r="E54" s="61" t="s">
        <v>19</v>
      </c>
      <c r="F54" s="90"/>
      <c r="G54" s="62"/>
      <c r="H54" s="62"/>
      <c r="I54" s="62"/>
      <c r="J54" s="62"/>
      <c r="K54" s="62"/>
      <c r="L54" s="62"/>
      <c r="M54" s="61"/>
      <c r="N54" s="62"/>
      <c r="O54" s="62"/>
      <c r="P54" s="62"/>
      <c r="Q54" s="62"/>
      <c r="R54" s="62"/>
      <c r="S54" s="62"/>
      <c r="T54" s="61"/>
      <c r="U54" s="62"/>
      <c r="V54" s="62"/>
      <c r="W54" s="62"/>
      <c r="X54" s="62"/>
      <c r="Y54" s="62"/>
      <c r="Z54" s="62"/>
      <c r="AA54" s="61"/>
      <c r="AB54" s="62"/>
      <c r="AC54" s="62"/>
      <c r="AD54" s="62"/>
      <c r="AE54" s="62"/>
      <c r="AF54" s="62"/>
      <c r="AG54" s="62"/>
      <c r="AH54" s="61"/>
      <c r="AI54" s="62"/>
      <c r="AJ54" s="61"/>
      <c r="AK54" s="92">
        <f t="shared" si="6"/>
        <v>0</v>
      </c>
      <c r="AL54" s="93"/>
      <c r="AM54" s="94">
        <f>AK54</f>
        <v>0</v>
      </c>
      <c r="AN54" s="583"/>
      <c r="AO54" s="3"/>
      <c r="AP54" s="3"/>
      <c r="AQ54" s="3"/>
      <c r="AR54" s="3"/>
      <c r="AS54" s="3"/>
    </row>
    <row r="55" spans="3:45" ht="12.75" x14ac:dyDescent="0.2">
      <c r="C55" s="580"/>
      <c r="D55" s="584" t="s">
        <v>56</v>
      </c>
      <c r="E55" s="68" t="s">
        <v>18</v>
      </c>
      <c r="F55" s="69"/>
      <c r="G55" s="65"/>
      <c r="H55" s="65"/>
      <c r="I55" s="65"/>
      <c r="J55" s="65"/>
      <c r="K55" s="65"/>
      <c r="L55" s="65"/>
      <c r="M55" s="68"/>
      <c r="N55" s="65"/>
      <c r="O55" s="65"/>
      <c r="P55" s="65"/>
      <c r="Q55" s="65"/>
      <c r="R55" s="65"/>
      <c r="S55" s="65"/>
      <c r="T55" s="68"/>
      <c r="U55" s="65"/>
      <c r="V55" s="65"/>
      <c r="W55" s="65"/>
      <c r="X55" s="65"/>
      <c r="Y55" s="65"/>
      <c r="Z55" s="65"/>
      <c r="AA55" s="68"/>
      <c r="AB55" s="65"/>
      <c r="AC55" s="65"/>
      <c r="AD55" s="65"/>
      <c r="AE55" s="65"/>
      <c r="AF55" s="65"/>
      <c r="AG55" s="65"/>
      <c r="AH55" s="68"/>
      <c r="AI55" s="65"/>
      <c r="AJ55" s="68"/>
      <c r="AK55" s="88">
        <f t="shared" si="6"/>
        <v>0</v>
      </c>
      <c r="AL55" s="96">
        <f>AK55</f>
        <v>0</v>
      </c>
      <c r="AM55" s="97"/>
      <c r="AN55" s="582">
        <f>SUM(AL55:AM56)</f>
        <v>0</v>
      </c>
      <c r="AO55" s="3"/>
      <c r="AP55" s="3"/>
      <c r="AQ55" s="3"/>
      <c r="AR55" s="3"/>
      <c r="AS55" s="3"/>
    </row>
    <row r="56" spans="3:45" ht="12.75" x14ac:dyDescent="0.2">
      <c r="C56" s="580"/>
      <c r="D56" s="577"/>
      <c r="E56" s="61" t="s">
        <v>19</v>
      </c>
      <c r="F56" s="90"/>
      <c r="G56" s="62"/>
      <c r="H56" s="62"/>
      <c r="I56" s="62"/>
      <c r="J56" s="62"/>
      <c r="K56" s="62"/>
      <c r="L56" s="62"/>
      <c r="M56" s="61"/>
      <c r="N56" s="62"/>
      <c r="O56" s="62"/>
      <c r="P56" s="62"/>
      <c r="Q56" s="62"/>
      <c r="R56" s="62"/>
      <c r="S56" s="62"/>
      <c r="T56" s="61"/>
      <c r="U56" s="62"/>
      <c r="V56" s="62"/>
      <c r="W56" s="62"/>
      <c r="X56" s="62"/>
      <c r="Y56" s="62"/>
      <c r="Z56" s="62"/>
      <c r="AA56" s="61"/>
      <c r="AB56" s="62"/>
      <c r="AC56" s="62"/>
      <c r="AD56" s="62"/>
      <c r="AE56" s="62"/>
      <c r="AF56" s="62"/>
      <c r="AG56" s="62"/>
      <c r="AH56" s="61"/>
      <c r="AI56" s="62"/>
      <c r="AJ56" s="61"/>
      <c r="AK56" s="92">
        <f t="shared" si="6"/>
        <v>0</v>
      </c>
      <c r="AL56" s="93"/>
      <c r="AM56" s="94">
        <f>AK56</f>
        <v>0</v>
      </c>
      <c r="AN56" s="583"/>
      <c r="AO56" s="3"/>
      <c r="AP56" s="3"/>
      <c r="AQ56" s="3"/>
      <c r="AR56" s="3"/>
      <c r="AS56" s="3"/>
    </row>
    <row r="57" spans="3:45" ht="12.75" x14ac:dyDescent="0.2">
      <c r="C57" s="580"/>
      <c r="D57" s="584" t="s">
        <v>57</v>
      </c>
      <c r="E57" s="68" t="s">
        <v>18</v>
      </c>
      <c r="F57" s="69"/>
      <c r="G57" s="65"/>
      <c r="H57" s="65"/>
      <c r="I57" s="87"/>
      <c r="J57" s="65"/>
      <c r="K57" s="65"/>
      <c r="L57" s="65"/>
      <c r="M57" s="68"/>
      <c r="N57" s="65"/>
      <c r="O57" s="65"/>
      <c r="P57" s="65"/>
      <c r="Q57" s="65"/>
      <c r="R57" s="65"/>
      <c r="S57" s="65"/>
      <c r="T57" s="68"/>
      <c r="U57" s="65"/>
      <c r="V57" s="65"/>
      <c r="W57" s="65"/>
      <c r="X57" s="65"/>
      <c r="Y57" s="65"/>
      <c r="Z57" s="65"/>
      <c r="AA57" s="88"/>
      <c r="AB57" s="65"/>
      <c r="AC57" s="65"/>
      <c r="AD57" s="65"/>
      <c r="AE57" s="65"/>
      <c r="AF57" s="65"/>
      <c r="AG57" s="65"/>
      <c r="AH57" s="68"/>
      <c r="AI57" s="65"/>
      <c r="AJ57" s="68"/>
      <c r="AK57" s="88">
        <f t="shared" si="6"/>
        <v>0</v>
      </c>
      <c r="AL57" s="96">
        <f>AK57</f>
        <v>0</v>
      </c>
      <c r="AM57" s="97"/>
      <c r="AN57" s="582">
        <f>SUM(AL57:AM58)</f>
        <v>0</v>
      </c>
      <c r="AO57" s="3"/>
      <c r="AP57" s="3"/>
      <c r="AQ57" s="3"/>
      <c r="AR57" s="3"/>
      <c r="AS57" s="3"/>
    </row>
    <row r="58" spans="3:45" ht="12.75" x14ac:dyDescent="0.2">
      <c r="C58" s="581"/>
      <c r="D58" s="585"/>
      <c r="E58" s="100" t="s">
        <v>19</v>
      </c>
      <c r="F58" s="101"/>
      <c r="G58" s="62"/>
      <c r="H58" s="62"/>
      <c r="I58" s="62"/>
      <c r="J58" s="62"/>
      <c r="K58" s="62"/>
      <c r="L58" s="62"/>
      <c r="M58" s="61"/>
      <c r="N58" s="62"/>
      <c r="O58" s="62"/>
      <c r="P58" s="62"/>
      <c r="Q58" s="62"/>
      <c r="R58" s="62"/>
      <c r="S58" s="62"/>
      <c r="T58" s="61"/>
      <c r="U58" s="62"/>
      <c r="V58" s="62"/>
      <c r="W58" s="62"/>
      <c r="X58" s="62"/>
      <c r="Y58" s="62"/>
      <c r="Z58" s="62"/>
      <c r="AA58" s="61"/>
      <c r="AB58" s="62"/>
      <c r="AC58" s="62"/>
      <c r="AD58" s="62"/>
      <c r="AE58" s="62"/>
      <c r="AF58" s="62"/>
      <c r="AG58" s="62"/>
      <c r="AH58" s="61"/>
      <c r="AI58" s="62"/>
      <c r="AJ58" s="100"/>
      <c r="AK58" s="102">
        <f t="shared" si="6"/>
        <v>0</v>
      </c>
      <c r="AL58" s="93"/>
      <c r="AM58" s="94">
        <f>AK58</f>
        <v>0</v>
      </c>
      <c r="AN58" s="583"/>
      <c r="AO58" s="3"/>
      <c r="AP58" s="3"/>
      <c r="AQ58" s="3"/>
      <c r="AR58" s="3"/>
      <c r="AS58" s="3"/>
    </row>
    <row r="59" spans="3:45" ht="12.75" x14ac:dyDescent="0.2">
      <c r="C59" s="594" t="s">
        <v>58</v>
      </c>
      <c r="D59" s="604" t="s">
        <v>59</v>
      </c>
      <c r="E59" s="103" t="s">
        <v>18</v>
      </c>
      <c r="F59" s="116"/>
      <c r="G59" s="105"/>
      <c r="H59" s="105"/>
      <c r="I59" s="105"/>
      <c r="J59" s="105"/>
      <c r="K59" s="105"/>
      <c r="L59" s="105"/>
      <c r="M59" s="103"/>
      <c r="N59" s="105"/>
      <c r="O59" s="105"/>
      <c r="P59" s="105"/>
      <c r="Q59" s="105"/>
      <c r="R59" s="108"/>
      <c r="S59" s="106"/>
      <c r="T59" s="107"/>
      <c r="U59" s="105"/>
      <c r="V59" s="105"/>
      <c r="W59" s="105"/>
      <c r="X59" s="105"/>
      <c r="Y59" s="105"/>
      <c r="Z59" s="105"/>
      <c r="AA59" s="103"/>
      <c r="AB59" s="105"/>
      <c r="AC59" s="105"/>
      <c r="AD59" s="105"/>
      <c r="AE59" s="105"/>
      <c r="AF59" s="108"/>
      <c r="AG59" s="109"/>
      <c r="AH59" s="103"/>
      <c r="AI59" s="105"/>
      <c r="AJ59" s="103"/>
      <c r="AK59" s="107">
        <f t="shared" si="6"/>
        <v>0</v>
      </c>
      <c r="AL59" s="96">
        <f>AK59</f>
        <v>0</v>
      </c>
      <c r="AM59" s="97"/>
      <c r="AN59" s="616">
        <f>SUM(AL59:AM60)</f>
        <v>0</v>
      </c>
      <c r="AO59" s="3"/>
      <c r="AP59" s="3"/>
      <c r="AQ59" s="3"/>
      <c r="AR59" s="3"/>
      <c r="AS59" s="3"/>
    </row>
    <row r="60" spans="3:45" ht="12.75" x14ac:dyDescent="0.2">
      <c r="C60" s="580"/>
      <c r="D60" s="577"/>
      <c r="E60" s="61" t="s">
        <v>19</v>
      </c>
      <c r="F60" s="90"/>
      <c r="G60" s="62"/>
      <c r="H60" s="62"/>
      <c r="I60" s="62"/>
      <c r="J60" s="62"/>
      <c r="K60" s="62"/>
      <c r="L60" s="62"/>
      <c r="M60" s="61"/>
      <c r="N60" s="62"/>
      <c r="O60" s="66"/>
      <c r="P60" s="62"/>
      <c r="Q60" s="62"/>
      <c r="R60" s="62"/>
      <c r="S60" s="62"/>
      <c r="T60" s="92"/>
      <c r="U60" s="62"/>
      <c r="V60" s="62"/>
      <c r="W60" s="62"/>
      <c r="X60" s="62"/>
      <c r="Y60" s="62"/>
      <c r="Z60" s="66"/>
      <c r="AA60" s="61"/>
      <c r="AB60" s="62"/>
      <c r="AC60" s="62"/>
      <c r="AD60" s="62"/>
      <c r="AE60" s="62"/>
      <c r="AF60" s="62"/>
      <c r="AG60" s="62"/>
      <c r="AH60" s="61"/>
      <c r="AI60" s="62"/>
      <c r="AJ60" s="61"/>
      <c r="AK60" s="92">
        <f t="shared" si="6"/>
        <v>0</v>
      </c>
      <c r="AL60" s="93"/>
      <c r="AM60" s="94">
        <f>AK60</f>
        <v>0</v>
      </c>
      <c r="AN60" s="585"/>
      <c r="AO60" s="3"/>
      <c r="AP60" s="3"/>
      <c r="AQ60" s="3"/>
      <c r="AR60" s="3"/>
      <c r="AS60" s="3"/>
    </row>
    <row r="61" spans="3:45" ht="12.75" x14ac:dyDescent="0.2">
      <c r="C61" s="580"/>
      <c r="D61" s="584" t="s">
        <v>60</v>
      </c>
      <c r="E61" s="68" t="s">
        <v>18</v>
      </c>
      <c r="F61" s="69"/>
      <c r="G61" s="65"/>
      <c r="H61" s="65"/>
      <c r="I61" s="65"/>
      <c r="J61" s="65"/>
      <c r="K61" s="65"/>
      <c r="L61" s="65"/>
      <c r="M61" s="68"/>
      <c r="N61" s="65"/>
      <c r="O61" s="65"/>
      <c r="P61" s="65"/>
      <c r="Q61" s="65"/>
      <c r="R61" s="65"/>
      <c r="S61" s="65"/>
      <c r="T61" s="68"/>
      <c r="U61" s="65"/>
      <c r="V61" s="65"/>
      <c r="W61" s="65"/>
      <c r="X61" s="65"/>
      <c r="Y61" s="65"/>
      <c r="Z61" s="87"/>
      <c r="AA61" s="88"/>
      <c r="AB61" s="65"/>
      <c r="AC61" s="65"/>
      <c r="AD61" s="65"/>
      <c r="AE61" s="65"/>
      <c r="AF61" s="65"/>
      <c r="AG61" s="65"/>
      <c r="AH61" s="68"/>
      <c r="AI61" s="65"/>
      <c r="AJ61" s="68"/>
      <c r="AK61" s="88">
        <f t="shared" si="6"/>
        <v>0</v>
      </c>
      <c r="AL61" s="89">
        <f>AK61</f>
        <v>0</v>
      </c>
      <c r="AM61" s="62"/>
      <c r="AN61" s="582">
        <f>SUM(AL61:AM62)</f>
        <v>0</v>
      </c>
      <c r="AO61" s="3"/>
      <c r="AP61" s="3"/>
      <c r="AQ61" s="3"/>
      <c r="AR61" s="3"/>
      <c r="AS61" s="3"/>
    </row>
    <row r="62" spans="3:45" ht="12.75" x14ac:dyDescent="0.2">
      <c r="C62" s="580"/>
      <c r="D62" s="577"/>
      <c r="E62" s="61" t="s">
        <v>19</v>
      </c>
      <c r="F62" s="90"/>
      <c r="G62" s="62"/>
      <c r="H62" s="62"/>
      <c r="I62" s="62"/>
      <c r="J62" s="62"/>
      <c r="K62" s="62"/>
      <c r="L62" s="62"/>
      <c r="M62" s="61"/>
      <c r="N62" s="62"/>
      <c r="O62" s="62"/>
      <c r="P62" s="62"/>
      <c r="Q62" s="62"/>
      <c r="R62" s="62"/>
      <c r="S62" s="62"/>
      <c r="T62" s="61"/>
      <c r="U62" s="62"/>
      <c r="V62" s="62"/>
      <c r="W62" s="62"/>
      <c r="X62" s="62"/>
      <c r="Y62" s="62"/>
      <c r="Z62" s="62"/>
      <c r="AA62" s="61"/>
      <c r="AB62" s="62"/>
      <c r="AC62" s="62"/>
      <c r="AD62" s="62"/>
      <c r="AE62" s="62"/>
      <c r="AF62" s="62"/>
      <c r="AG62" s="62"/>
      <c r="AH62" s="61"/>
      <c r="AI62" s="62"/>
      <c r="AJ62" s="61"/>
      <c r="AK62" s="92">
        <f t="shared" si="6"/>
        <v>0</v>
      </c>
      <c r="AL62" s="114"/>
      <c r="AM62" s="66">
        <f>AK62</f>
        <v>0</v>
      </c>
      <c r="AN62" s="583"/>
      <c r="AO62" s="3"/>
      <c r="AP62" s="3"/>
      <c r="AQ62" s="3"/>
      <c r="AR62" s="3"/>
      <c r="AS62" s="3"/>
    </row>
    <row r="63" spans="3:45" ht="12.75" x14ac:dyDescent="0.2">
      <c r="C63" s="580"/>
      <c r="D63" s="584" t="s">
        <v>61</v>
      </c>
      <c r="E63" s="68" t="s">
        <v>18</v>
      </c>
      <c r="F63" s="69"/>
      <c r="G63" s="65"/>
      <c r="H63" s="65"/>
      <c r="I63" s="65"/>
      <c r="J63" s="65"/>
      <c r="K63" s="65"/>
      <c r="L63" s="65"/>
      <c r="M63" s="68"/>
      <c r="N63" s="65"/>
      <c r="O63" s="65"/>
      <c r="P63" s="65"/>
      <c r="Q63" s="65"/>
      <c r="R63" s="65"/>
      <c r="S63" s="65"/>
      <c r="T63" s="68"/>
      <c r="U63" s="65"/>
      <c r="V63" s="65"/>
      <c r="W63" s="65"/>
      <c r="X63" s="65"/>
      <c r="Y63" s="65"/>
      <c r="Z63" s="65"/>
      <c r="AA63" s="68"/>
      <c r="AB63" s="65"/>
      <c r="AC63" s="65"/>
      <c r="AD63" s="65"/>
      <c r="AE63" s="65"/>
      <c r="AF63" s="65"/>
      <c r="AG63" s="65"/>
      <c r="AH63" s="68"/>
      <c r="AI63" s="65"/>
      <c r="AJ63" s="68"/>
      <c r="AK63" s="88">
        <f t="shared" si="6"/>
        <v>0</v>
      </c>
      <c r="AL63" s="96">
        <f>AK63</f>
        <v>0</v>
      </c>
      <c r="AM63" s="97"/>
      <c r="AN63" s="616">
        <f>SUM(AL63:AM64)</f>
        <v>0</v>
      </c>
      <c r="AO63" s="3"/>
      <c r="AP63" s="3"/>
      <c r="AQ63" s="3"/>
      <c r="AR63" s="3"/>
      <c r="AS63" s="3"/>
    </row>
    <row r="64" spans="3:45" ht="12.75" x14ac:dyDescent="0.2">
      <c r="C64" s="580"/>
      <c r="D64" s="577"/>
      <c r="E64" s="61" t="s">
        <v>19</v>
      </c>
      <c r="F64" s="90"/>
      <c r="G64" s="62"/>
      <c r="H64" s="62"/>
      <c r="I64" s="62"/>
      <c r="J64" s="62"/>
      <c r="K64" s="62"/>
      <c r="L64" s="62"/>
      <c r="M64" s="61"/>
      <c r="N64" s="62"/>
      <c r="O64" s="62"/>
      <c r="P64" s="62"/>
      <c r="Q64" s="62"/>
      <c r="R64" s="91"/>
      <c r="S64" s="62"/>
      <c r="T64" s="61"/>
      <c r="U64" s="62"/>
      <c r="V64" s="62"/>
      <c r="W64" s="62"/>
      <c r="X64" s="62"/>
      <c r="Y64" s="62"/>
      <c r="Z64" s="62"/>
      <c r="AA64" s="61"/>
      <c r="AB64" s="62"/>
      <c r="AC64" s="62"/>
      <c r="AD64" s="62"/>
      <c r="AE64" s="62"/>
      <c r="AF64" s="62"/>
      <c r="AG64" s="62"/>
      <c r="AH64" s="61"/>
      <c r="AI64" s="62"/>
      <c r="AJ64" s="61"/>
      <c r="AK64" s="92">
        <f t="shared" si="6"/>
        <v>0</v>
      </c>
      <c r="AL64" s="93"/>
      <c r="AM64" s="94">
        <f>AK64</f>
        <v>0</v>
      </c>
      <c r="AN64" s="585"/>
      <c r="AO64" s="3"/>
      <c r="AP64" s="3"/>
      <c r="AQ64" s="3"/>
      <c r="AR64" s="3"/>
      <c r="AS64" s="3"/>
    </row>
    <row r="65" spans="3:45" ht="12.75" x14ac:dyDescent="0.2">
      <c r="C65" s="580"/>
      <c r="D65" s="584" t="s">
        <v>62</v>
      </c>
      <c r="E65" s="68" t="s">
        <v>18</v>
      </c>
      <c r="F65" s="69"/>
      <c r="G65" s="65"/>
      <c r="H65" s="65"/>
      <c r="I65" s="65"/>
      <c r="J65" s="65"/>
      <c r="K65" s="65"/>
      <c r="L65" s="65"/>
      <c r="M65" s="68"/>
      <c r="N65" s="65"/>
      <c r="O65" s="65"/>
      <c r="P65" s="65"/>
      <c r="Q65" s="65"/>
      <c r="R65" s="65"/>
      <c r="S65" s="65"/>
      <c r="T65" s="68"/>
      <c r="U65" s="65"/>
      <c r="V65" s="65"/>
      <c r="W65" s="65"/>
      <c r="X65" s="65"/>
      <c r="Y65" s="65"/>
      <c r="Z65" s="65"/>
      <c r="AA65" s="68"/>
      <c r="AB65" s="65"/>
      <c r="AC65" s="65"/>
      <c r="AD65" s="65"/>
      <c r="AE65" s="65"/>
      <c r="AF65" s="65"/>
      <c r="AG65" s="65"/>
      <c r="AH65" s="68"/>
      <c r="AI65" s="65"/>
      <c r="AJ65" s="68"/>
      <c r="AK65" s="88">
        <f t="shared" si="6"/>
        <v>0</v>
      </c>
      <c r="AL65" s="96">
        <f>AK65</f>
        <v>0</v>
      </c>
      <c r="AM65" s="97"/>
      <c r="AN65" s="582">
        <f>SUM(AL65:AM66)</f>
        <v>0</v>
      </c>
      <c r="AO65" s="3"/>
      <c r="AP65" s="3"/>
      <c r="AQ65" s="3"/>
      <c r="AR65" s="3"/>
      <c r="AS65" s="3"/>
    </row>
    <row r="66" spans="3:45" ht="12.75" x14ac:dyDescent="0.2">
      <c r="C66" s="581"/>
      <c r="D66" s="585"/>
      <c r="E66" s="100" t="s">
        <v>19</v>
      </c>
      <c r="F66" s="101"/>
      <c r="G66" s="62"/>
      <c r="H66" s="62"/>
      <c r="I66" s="62"/>
      <c r="J66" s="62"/>
      <c r="K66" s="62"/>
      <c r="L66" s="62"/>
      <c r="M66" s="61"/>
      <c r="N66" s="62"/>
      <c r="O66" s="62"/>
      <c r="P66" s="62"/>
      <c r="Q66" s="62"/>
      <c r="R66" s="62"/>
      <c r="S66" s="62"/>
      <c r="T66" s="61"/>
      <c r="U66" s="62"/>
      <c r="V66" s="62"/>
      <c r="W66" s="62"/>
      <c r="X66" s="62"/>
      <c r="Y66" s="62"/>
      <c r="Z66" s="62"/>
      <c r="AA66" s="61"/>
      <c r="AB66" s="62"/>
      <c r="AC66" s="62"/>
      <c r="AD66" s="62"/>
      <c r="AE66" s="62"/>
      <c r="AF66" s="62"/>
      <c r="AG66" s="62"/>
      <c r="AH66" s="61"/>
      <c r="AI66" s="62"/>
      <c r="AJ66" s="100"/>
      <c r="AK66" s="102">
        <f t="shared" si="6"/>
        <v>0</v>
      </c>
      <c r="AL66" s="93"/>
      <c r="AM66" s="94">
        <f>AK66</f>
        <v>0</v>
      </c>
      <c r="AN66" s="583"/>
      <c r="AO66" s="3"/>
      <c r="AP66" s="3"/>
      <c r="AQ66" s="3"/>
      <c r="AR66" s="3"/>
      <c r="AS66" s="3"/>
    </row>
    <row r="67" spans="3:45" ht="12.75" x14ac:dyDescent="0.2">
      <c r="C67" s="594" t="s">
        <v>63</v>
      </c>
      <c r="D67" s="604" t="s">
        <v>64</v>
      </c>
      <c r="E67" s="103" t="s">
        <v>18</v>
      </c>
      <c r="F67" s="116"/>
      <c r="G67" s="105"/>
      <c r="H67" s="105"/>
      <c r="I67" s="105"/>
      <c r="J67" s="105"/>
      <c r="K67" s="105"/>
      <c r="L67" s="105"/>
      <c r="M67" s="103"/>
      <c r="N67" s="105"/>
      <c r="O67" s="105"/>
      <c r="P67" s="105"/>
      <c r="Q67" s="105"/>
      <c r="R67" s="105"/>
      <c r="S67" s="105"/>
      <c r="T67" s="103"/>
      <c r="U67" s="105"/>
      <c r="V67" s="105"/>
      <c r="W67" s="105"/>
      <c r="X67" s="105"/>
      <c r="Y67" s="105"/>
      <c r="Z67" s="105"/>
      <c r="AA67" s="103"/>
      <c r="AB67" s="105"/>
      <c r="AC67" s="105"/>
      <c r="AD67" s="105"/>
      <c r="AE67" s="105"/>
      <c r="AF67" s="105"/>
      <c r="AG67" s="105"/>
      <c r="AH67" s="103"/>
      <c r="AI67" s="105"/>
      <c r="AJ67" s="103"/>
      <c r="AK67" s="107">
        <f t="shared" si="6"/>
        <v>0</v>
      </c>
      <c r="AL67" s="108">
        <f>AK67</f>
        <v>0</v>
      </c>
      <c r="AM67" s="97"/>
      <c r="AN67" s="582">
        <f>SUM(AL67:AM68)</f>
        <v>0</v>
      </c>
      <c r="AO67" s="3"/>
      <c r="AP67" s="3"/>
      <c r="AQ67" s="3"/>
      <c r="AR67" s="3"/>
      <c r="AS67" s="3"/>
    </row>
    <row r="68" spans="3:45" ht="12.75" x14ac:dyDescent="0.2">
      <c r="C68" s="580"/>
      <c r="D68" s="577"/>
      <c r="E68" s="61" t="s">
        <v>19</v>
      </c>
      <c r="F68" s="90"/>
      <c r="G68" s="62"/>
      <c r="H68" s="62"/>
      <c r="I68" s="62"/>
      <c r="J68" s="62"/>
      <c r="K68" s="62"/>
      <c r="L68" s="62"/>
      <c r="M68" s="61"/>
      <c r="N68" s="62"/>
      <c r="O68" s="62"/>
      <c r="P68" s="62"/>
      <c r="Q68" s="62"/>
      <c r="R68" s="62"/>
      <c r="S68" s="62"/>
      <c r="T68" s="61"/>
      <c r="U68" s="62"/>
      <c r="V68" s="62"/>
      <c r="W68" s="62"/>
      <c r="X68" s="62"/>
      <c r="Y68" s="62"/>
      <c r="Z68" s="62"/>
      <c r="AA68" s="61"/>
      <c r="AB68" s="62"/>
      <c r="AC68" s="62"/>
      <c r="AD68" s="62"/>
      <c r="AE68" s="62"/>
      <c r="AF68" s="62"/>
      <c r="AG68" s="62"/>
      <c r="AH68" s="61"/>
      <c r="AI68" s="62"/>
      <c r="AJ68" s="61"/>
      <c r="AK68" s="92">
        <f t="shared" si="6"/>
        <v>0</v>
      </c>
      <c r="AL68" s="93"/>
      <c r="AM68" s="94">
        <f>AK68</f>
        <v>0</v>
      </c>
      <c r="AN68" s="583"/>
      <c r="AO68" s="3"/>
      <c r="AP68" s="3"/>
      <c r="AQ68" s="3"/>
      <c r="AR68" s="3"/>
      <c r="AS68" s="3"/>
    </row>
    <row r="69" spans="3:45" ht="12.75" x14ac:dyDescent="0.2">
      <c r="C69" s="580"/>
      <c r="D69" s="584" t="s">
        <v>65</v>
      </c>
      <c r="E69" s="68" t="s">
        <v>18</v>
      </c>
      <c r="F69" s="69"/>
      <c r="G69" s="65"/>
      <c r="H69" s="65"/>
      <c r="I69" s="65"/>
      <c r="J69" s="65"/>
      <c r="K69" s="65"/>
      <c r="L69" s="65"/>
      <c r="M69" s="68"/>
      <c r="N69" s="65"/>
      <c r="O69" s="65"/>
      <c r="P69" s="65"/>
      <c r="Q69" s="65"/>
      <c r="R69" s="65"/>
      <c r="S69" s="65"/>
      <c r="T69" s="68"/>
      <c r="U69" s="65"/>
      <c r="V69" s="65"/>
      <c r="W69" s="65"/>
      <c r="X69" s="65"/>
      <c r="Y69" s="65"/>
      <c r="Z69" s="65"/>
      <c r="AA69" s="68"/>
      <c r="AB69" s="65"/>
      <c r="AC69" s="65"/>
      <c r="AD69" s="65"/>
      <c r="AE69" s="65"/>
      <c r="AF69" s="65"/>
      <c r="AG69" s="65"/>
      <c r="AH69" s="68"/>
      <c r="AI69" s="65"/>
      <c r="AJ69" s="68"/>
      <c r="AK69" s="88">
        <f t="shared" si="6"/>
        <v>0</v>
      </c>
      <c r="AL69" s="96">
        <f>AK69</f>
        <v>0</v>
      </c>
      <c r="AM69" s="97"/>
      <c r="AN69" s="582">
        <f>SUM(AL69:AM70)</f>
        <v>0</v>
      </c>
      <c r="AO69" s="3"/>
      <c r="AP69" s="3"/>
      <c r="AQ69" s="3"/>
      <c r="AR69" s="3"/>
      <c r="AS69" s="3"/>
    </row>
    <row r="70" spans="3:45" ht="12.75" x14ac:dyDescent="0.2">
      <c r="C70" s="581"/>
      <c r="D70" s="585"/>
      <c r="E70" s="100" t="s">
        <v>19</v>
      </c>
      <c r="F70" s="101"/>
      <c r="G70" s="62"/>
      <c r="H70" s="62"/>
      <c r="I70" s="62"/>
      <c r="J70" s="62"/>
      <c r="K70" s="66"/>
      <c r="L70" s="62"/>
      <c r="M70" s="61"/>
      <c r="N70" s="62"/>
      <c r="O70" s="62"/>
      <c r="P70" s="62"/>
      <c r="Q70" s="62"/>
      <c r="R70" s="62"/>
      <c r="S70" s="62"/>
      <c r="T70" s="61"/>
      <c r="U70" s="62"/>
      <c r="V70" s="62"/>
      <c r="W70" s="62"/>
      <c r="X70" s="62"/>
      <c r="Y70" s="62"/>
      <c r="Z70" s="62"/>
      <c r="AA70" s="61"/>
      <c r="AB70" s="62"/>
      <c r="AC70" s="62"/>
      <c r="AD70" s="62"/>
      <c r="AE70" s="62"/>
      <c r="AF70" s="62"/>
      <c r="AG70" s="62"/>
      <c r="AH70" s="61"/>
      <c r="AI70" s="91"/>
      <c r="AJ70" s="100"/>
      <c r="AK70" s="102">
        <f t="shared" si="6"/>
        <v>0</v>
      </c>
      <c r="AL70" s="93"/>
      <c r="AM70" s="94">
        <f>AK70</f>
        <v>0</v>
      </c>
      <c r="AN70" s="583"/>
      <c r="AO70" s="3"/>
      <c r="AP70" s="3"/>
      <c r="AQ70" s="3"/>
      <c r="AR70" s="3"/>
      <c r="AS70" s="3"/>
    </row>
    <row r="71" spans="3:45" ht="12.75" x14ac:dyDescent="0.2">
      <c r="C71" s="117" t="s">
        <v>66</v>
      </c>
      <c r="D71" s="118"/>
      <c r="E71" s="119"/>
      <c r="F71" s="120"/>
      <c r="G71" s="121"/>
      <c r="H71" s="121"/>
      <c r="I71" s="122"/>
      <c r="J71" s="122"/>
      <c r="K71" s="122"/>
      <c r="L71" s="122"/>
      <c r="M71" s="123"/>
      <c r="N71" s="122"/>
      <c r="O71" s="122"/>
      <c r="P71" s="121"/>
      <c r="Q71" s="122"/>
      <c r="R71" s="122"/>
      <c r="S71" s="121"/>
      <c r="T71" s="123"/>
      <c r="U71" s="121"/>
      <c r="V71" s="122"/>
      <c r="W71" s="122"/>
      <c r="X71" s="122"/>
      <c r="Y71" s="122"/>
      <c r="Z71" s="122"/>
      <c r="AA71" s="123"/>
      <c r="AB71" s="122"/>
      <c r="AC71" s="122"/>
      <c r="AD71" s="122"/>
      <c r="AE71" s="122"/>
      <c r="AF71" s="122"/>
      <c r="AG71" s="122"/>
      <c r="AH71" s="124"/>
      <c r="AI71" s="122"/>
      <c r="AJ71" s="119"/>
      <c r="AK71" s="125">
        <f t="shared" si="6"/>
        <v>0</v>
      </c>
      <c r="AL71" s="126"/>
      <c r="AM71" s="118"/>
      <c r="AN71" s="119"/>
      <c r="AO71" s="3"/>
      <c r="AP71" s="3"/>
      <c r="AQ71" s="3"/>
      <c r="AR71" s="3"/>
      <c r="AS71" s="3"/>
    </row>
    <row r="72" spans="3:45" ht="12.75" x14ac:dyDescent="0.2">
      <c r="C72" s="127" t="s">
        <v>32</v>
      </c>
      <c r="D72" s="62"/>
      <c r="E72" s="61"/>
      <c r="F72" s="128">
        <f t="shared" ref="F72:AM72" si="10">SUM(F19:F70)</f>
        <v>44.36</v>
      </c>
      <c r="G72" s="129">
        <f t="shared" si="10"/>
        <v>0</v>
      </c>
      <c r="H72" s="129">
        <f t="shared" si="10"/>
        <v>0</v>
      </c>
      <c r="I72" s="129">
        <f t="shared" si="10"/>
        <v>0</v>
      </c>
      <c r="J72" s="129">
        <f t="shared" si="10"/>
        <v>0</v>
      </c>
      <c r="K72" s="129">
        <f t="shared" si="10"/>
        <v>0</v>
      </c>
      <c r="L72" s="129">
        <f t="shared" si="10"/>
        <v>0</v>
      </c>
      <c r="M72" s="130">
        <f t="shared" si="10"/>
        <v>0</v>
      </c>
      <c r="N72" s="129">
        <f t="shared" si="10"/>
        <v>0</v>
      </c>
      <c r="O72" s="129">
        <f t="shared" si="10"/>
        <v>0</v>
      </c>
      <c r="P72" s="129">
        <f t="shared" si="10"/>
        <v>0</v>
      </c>
      <c r="Q72" s="129">
        <f t="shared" si="10"/>
        <v>0</v>
      </c>
      <c r="R72" s="129">
        <f t="shared" si="10"/>
        <v>0</v>
      </c>
      <c r="S72" s="129">
        <f t="shared" si="10"/>
        <v>0</v>
      </c>
      <c r="T72" s="130">
        <f t="shared" si="10"/>
        <v>0</v>
      </c>
      <c r="U72" s="129">
        <f t="shared" si="10"/>
        <v>0</v>
      </c>
      <c r="V72" s="129">
        <f t="shared" si="10"/>
        <v>0</v>
      </c>
      <c r="W72" s="129">
        <f t="shared" si="10"/>
        <v>0</v>
      </c>
      <c r="X72" s="129">
        <f t="shared" si="10"/>
        <v>0</v>
      </c>
      <c r="Y72" s="129">
        <f t="shared" si="10"/>
        <v>0</v>
      </c>
      <c r="Z72" s="129">
        <f t="shared" si="10"/>
        <v>0</v>
      </c>
      <c r="AA72" s="130">
        <f t="shared" si="10"/>
        <v>0</v>
      </c>
      <c r="AB72" s="129">
        <f t="shared" si="10"/>
        <v>0</v>
      </c>
      <c r="AC72" s="129">
        <f t="shared" si="10"/>
        <v>0</v>
      </c>
      <c r="AD72" s="129">
        <f t="shared" si="10"/>
        <v>0</v>
      </c>
      <c r="AE72" s="129">
        <f t="shared" si="10"/>
        <v>0</v>
      </c>
      <c r="AF72" s="129">
        <f t="shared" si="10"/>
        <v>0</v>
      </c>
      <c r="AG72" s="129">
        <f t="shared" si="10"/>
        <v>0</v>
      </c>
      <c r="AH72" s="130">
        <f t="shared" si="10"/>
        <v>0</v>
      </c>
      <c r="AI72" s="129">
        <f t="shared" si="10"/>
        <v>0</v>
      </c>
      <c r="AJ72" s="92">
        <f t="shared" si="10"/>
        <v>0</v>
      </c>
      <c r="AK72" s="131">
        <f t="shared" si="10"/>
        <v>44.36</v>
      </c>
      <c r="AL72" s="72">
        <f t="shared" si="10"/>
        <v>44.36</v>
      </c>
      <c r="AM72" s="66">
        <f t="shared" si="10"/>
        <v>0</v>
      </c>
      <c r="AN72" s="3"/>
      <c r="AO72" s="3"/>
      <c r="AP72" s="3"/>
      <c r="AQ72" s="3"/>
      <c r="AR72" s="3"/>
      <c r="AS72" s="3"/>
    </row>
    <row r="73" spans="3:45" ht="16.5" x14ac:dyDescent="0.25">
      <c r="C73" s="3"/>
      <c r="D73" s="3"/>
      <c r="E73" s="3"/>
      <c r="F73" s="132">
        <f>SUM(F72)</f>
        <v>44.36</v>
      </c>
      <c r="G73" s="605">
        <f>SUM(G72:M72)</f>
        <v>0</v>
      </c>
      <c r="H73" s="585"/>
      <c r="I73" s="585"/>
      <c r="J73" s="585"/>
      <c r="K73" s="585"/>
      <c r="L73" s="585"/>
      <c r="M73" s="583"/>
      <c r="N73" s="606">
        <f>SUM(N72:T72)</f>
        <v>0</v>
      </c>
      <c r="O73" s="577"/>
      <c r="P73" s="577"/>
      <c r="Q73" s="577"/>
      <c r="R73" s="577"/>
      <c r="S73" s="577"/>
      <c r="T73" s="607"/>
      <c r="U73" s="606">
        <f>SUM(U72:AA72)</f>
        <v>0</v>
      </c>
      <c r="V73" s="577"/>
      <c r="W73" s="577"/>
      <c r="X73" s="577"/>
      <c r="Y73" s="577"/>
      <c r="Z73" s="577"/>
      <c r="AA73" s="607"/>
      <c r="AB73" s="605">
        <f>SUM(AB72:AH72)</f>
        <v>0</v>
      </c>
      <c r="AC73" s="585"/>
      <c r="AD73" s="585"/>
      <c r="AE73" s="585"/>
      <c r="AF73" s="585"/>
      <c r="AG73" s="585"/>
      <c r="AH73" s="583"/>
      <c r="AI73" s="605">
        <f>SUM(AI72:AJ72)</f>
        <v>0</v>
      </c>
      <c r="AJ73" s="583"/>
      <c r="AK73" s="3"/>
      <c r="AL73" s="3"/>
      <c r="AM73" s="3"/>
      <c r="AN73" s="3"/>
      <c r="AO73" s="3"/>
      <c r="AP73" s="3"/>
      <c r="AQ73" s="3"/>
      <c r="AR73" s="3"/>
      <c r="AS73" s="3"/>
    </row>
    <row r="74" spans="3:45" ht="12.75" x14ac:dyDescent="0.2"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</row>
    <row r="75" spans="3:45" ht="12.75" x14ac:dyDescent="0.2">
      <c r="C75" s="135"/>
      <c r="D75" s="135"/>
      <c r="E75" s="135"/>
      <c r="F75" s="617" t="s">
        <v>67</v>
      </c>
      <c r="G75" s="577"/>
      <c r="H75" s="577"/>
      <c r="I75" s="577"/>
      <c r="J75" s="577"/>
      <c r="K75" s="577"/>
      <c r="L75" s="577"/>
      <c r="M75" s="577"/>
      <c r="N75" s="577"/>
      <c r="O75" s="577"/>
      <c r="P75" s="577"/>
      <c r="Q75" s="577"/>
      <c r="R75" s="577"/>
      <c r="S75" s="577"/>
      <c r="T75" s="577"/>
      <c r="U75" s="577"/>
      <c r="V75" s="577"/>
      <c r="W75" s="577"/>
      <c r="X75" s="577"/>
      <c r="Y75" s="577"/>
      <c r="Z75" s="577"/>
      <c r="AA75" s="577"/>
      <c r="AB75" s="577"/>
      <c r="AC75" s="577"/>
      <c r="AD75" s="577"/>
      <c r="AE75" s="577"/>
      <c r="AF75" s="577"/>
      <c r="AG75" s="577"/>
      <c r="AH75" s="577"/>
      <c r="AI75" s="577"/>
      <c r="AJ75" s="577"/>
      <c r="AK75" s="135"/>
      <c r="AL75" s="135"/>
      <c r="AM75" s="135"/>
      <c r="AN75" s="135"/>
      <c r="AO75" s="3"/>
      <c r="AP75" s="3"/>
      <c r="AQ75" s="3"/>
      <c r="AR75" s="3"/>
      <c r="AS75" s="3"/>
    </row>
    <row r="76" spans="3:45" ht="12.75" x14ac:dyDescent="0.2">
      <c r="C76" s="135"/>
      <c r="D76" s="135"/>
      <c r="E76" s="49" t="s">
        <v>9</v>
      </c>
      <c r="F76" s="136" t="s">
        <v>10</v>
      </c>
      <c r="G76" s="137" t="s">
        <v>11</v>
      </c>
      <c r="H76" s="137" t="s">
        <v>12</v>
      </c>
      <c r="I76" s="137" t="s">
        <v>13</v>
      </c>
      <c r="J76" s="137" t="s">
        <v>14</v>
      </c>
      <c r="K76" s="137" t="s">
        <v>15</v>
      </c>
      <c r="L76" s="137" t="s">
        <v>16</v>
      </c>
      <c r="M76" s="138" t="s">
        <v>10</v>
      </c>
      <c r="N76" s="137" t="s">
        <v>11</v>
      </c>
      <c r="O76" s="137" t="s">
        <v>12</v>
      </c>
      <c r="P76" s="137" t="s">
        <v>13</v>
      </c>
      <c r="Q76" s="137" t="s">
        <v>14</v>
      </c>
      <c r="R76" s="137" t="s">
        <v>15</v>
      </c>
      <c r="S76" s="137" t="s">
        <v>16</v>
      </c>
      <c r="T76" s="138" t="s">
        <v>10</v>
      </c>
      <c r="U76" s="137" t="s">
        <v>11</v>
      </c>
      <c r="V76" s="137" t="s">
        <v>12</v>
      </c>
      <c r="W76" s="137" t="s">
        <v>13</v>
      </c>
      <c r="X76" s="137" t="s">
        <v>14</v>
      </c>
      <c r="Y76" s="137" t="s">
        <v>15</v>
      </c>
      <c r="Z76" s="137" t="s">
        <v>16</v>
      </c>
      <c r="AA76" s="138" t="s">
        <v>10</v>
      </c>
      <c r="AB76" s="137" t="s">
        <v>11</v>
      </c>
      <c r="AC76" s="137" t="s">
        <v>12</v>
      </c>
      <c r="AD76" s="137" t="s">
        <v>13</v>
      </c>
      <c r="AE76" s="137" t="s">
        <v>14</v>
      </c>
      <c r="AF76" s="137" t="s">
        <v>15</v>
      </c>
      <c r="AG76" s="137" t="s">
        <v>16</v>
      </c>
      <c r="AH76" s="139"/>
      <c r="AI76" s="139"/>
      <c r="AJ76" s="140"/>
      <c r="AK76" s="141"/>
      <c r="AL76" s="142"/>
      <c r="AM76" s="141"/>
      <c r="AN76" s="143"/>
      <c r="AO76" s="3"/>
      <c r="AP76" s="10"/>
      <c r="AQ76" s="12" t="s">
        <v>17</v>
      </c>
      <c r="AR76" s="12" t="s">
        <v>18</v>
      </c>
      <c r="AS76" s="12" t="s">
        <v>19</v>
      </c>
    </row>
    <row r="77" spans="3:45" ht="12.75" x14ac:dyDescent="0.2">
      <c r="C77" s="135"/>
      <c r="D77" s="135"/>
      <c r="E77" s="49" t="s">
        <v>20</v>
      </c>
      <c r="F77" s="144">
        <v>1</v>
      </c>
      <c r="G77" s="145">
        <v>2</v>
      </c>
      <c r="H77" s="145">
        <v>3</v>
      </c>
      <c r="I77" s="145">
        <v>4</v>
      </c>
      <c r="J77" s="145">
        <v>5</v>
      </c>
      <c r="K77" s="145">
        <v>6</v>
      </c>
      <c r="L77" s="145">
        <v>7</v>
      </c>
      <c r="M77" s="146">
        <v>8</v>
      </c>
      <c r="N77" s="145">
        <v>9</v>
      </c>
      <c r="O77" s="145">
        <v>10</v>
      </c>
      <c r="P77" s="145">
        <v>11</v>
      </c>
      <c r="Q77" s="145">
        <v>12</v>
      </c>
      <c r="R77" s="145">
        <v>13</v>
      </c>
      <c r="S77" s="145">
        <v>14</v>
      </c>
      <c r="T77" s="146">
        <v>15</v>
      </c>
      <c r="U77" s="145">
        <v>16</v>
      </c>
      <c r="V77" s="145">
        <v>17</v>
      </c>
      <c r="W77" s="145">
        <v>18</v>
      </c>
      <c r="X77" s="145">
        <v>19</v>
      </c>
      <c r="Y77" s="145">
        <v>20</v>
      </c>
      <c r="Z77" s="145">
        <v>21</v>
      </c>
      <c r="AA77" s="146">
        <v>22</v>
      </c>
      <c r="AB77" s="145">
        <v>23</v>
      </c>
      <c r="AC77" s="145">
        <v>24</v>
      </c>
      <c r="AD77" s="145">
        <v>25</v>
      </c>
      <c r="AE77" s="145">
        <v>26</v>
      </c>
      <c r="AF77" s="145">
        <v>27</v>
      </c>
      <c r="AG77" s="145">
        <v>28</v>
      </c>
      <c r="AH77" s="147"/>
      <c r="AI77" s="147"/>
      <c r="AJ77" s="148"/>
      <c r="AK77" s="49" t="s">
        <v>21</v>
      </c>
      <c r="AL77" s="142" t="s">
        <v>18</v>
      </c>
      <c r="AM77" s="141" t="s">
        <v>19</v>
      </c>
      <c r="AN77" s="143" t="s">
        <v>22</v>
      </c>
      <c r="AO77" s="3"/>
      <c r="AP77" s="12" t="s">
        <v>23</v>
      </c>
      <c r="AQ77" s="19">
        <f>AK90-AK144</f>
        <v>88.120000000000118</v>
      </c>
      <c r="AR77" s="19">
        <f t="shared" ref="AR77:AS77" si="11">(AL90-AL144)</f>
        <v>123.58000000000015</v>
      </c>
      <c r="AS77" s="19">
        <f t="shared" si="11"/>
        <v>-35.46</v>
      </c>
    </row>
    <row r="78" spans="3:45" ht="12.75" x14ac:dyDescent="0.2">
      <c r="C78" s="579" t="s">
        <v>24</v>
      </c>
      <c r="D78" s="149" t="s">
        <v>25</v>
      </c>
      <c r="E78" s="150" t="s">
        <v>18</v>
      </c>
      <c r="F78" s="151"/>
      <c r="G78" s="142"/>
      <c r="H78" s="142"/>
      <c r="I78" s="142"/>
      <c r="J78" s="152">
        <v>1176</v>
      </c>
      <c r="K78" s="142"/>
      <c r="L78" s="142"/>
      <c r="M78" s="153"/>
      <c r="N78" s="142"/>
      <c r="O78" s="142"/>
      <c r="P78" s="142"/>
      <c r="Q78" s="142"/>
      <c r="R78" s="142"/>
      <c r="S78" s="142"/>
      <c r="T78" s="153"/>
      <c r="U78" s="142"/>
      <c r="V78" s="142"/>
      <c r="W78" s="142"/>
      <c r="X78" s="142"/>
      <c r="Y78" s="152">
        <v>630</v>
      </c>
      <c r="Z78" s="142"/>
      <c r="AA78" s="153"/>
      <c r="AB78" s="142"/>
      <c r="AC78" s="142"/>
      <c r="AD78" s="142"/>
      <c r="AE78" s="142"/>
      <c r="AF78" s="142"/>
      <c r="AG78" s="142"/>
      <c r="AH78" s="154"/>
      <c r="AI78" s="154"/>
      <c r="AJ78" s="155"/>
      <c r="AK78" s="156">
        <f t="shared" ref="AK78:AK89" si="12">SUM(F78:AJ78)</f>
        <v>1806</v>
      </c>
      <c r="AL78" s="157">
        <f t="shared" ref="AL78:AL79" si="13">AK78</f>
        <v>1806</v>
      </c>
      <c r="AM78" s="141"/>
      <c r="AN78" s="158">
        <f>AL78</f>
        <v>1806</v>
      </c>
      <c r="AO78" s="3"/>
      <c r="AP78" s="3"/>
      <c r="AQ78" s="3"/>
      <c r="AR78" s="3"/>
      <c r="AS78" s="3"/>
    </row>
    <row r="79" spans="3:45" ht="12.75" x14ac:dyDescent="0.2">
      <c r="C79" s="580"/>
      <c r="D79" s="608" t="s">
        <v>26</v>
      </c>
      <c r="E79" s="153" t="s">
        <v>18</v>
      </c>
      <c r="F79" s="160"/>
      <c r="G79" s="142"/>
      <c r="H79" s="142"/>
      <c r="I79" s="142"/>
      <c r="J79" s="142"/>
      <c r="K79" s="142"/>
      <c r="L79" s="142"/>
      <c r="M79" s="153"/>
      <c r="N79" s="142"/>
      <c r="O79" s="142"/>
      <c r="P79" s="142"/>
      <c r="Q79" s="142"/>
      <c r="R79" s="142"/>
      <c r="S79" s="142"/>
      <c r="T79" s="153"/>
      <c r="U79" s="142"/>
      <c r="V79" s="142"/>
      <c r="W79" s="142"/>
      <c r="X79" s="142"/>
      <c r="Y79" s="142"/>
      <c r="Z79" s="142"/>
      <c r="AA79" s="153"/>
      <c r="AB79" s="142"/>
      <c r="AC79" s="142"/>
      <c r="AD79" s="142"/>
      <c r="AE79" s="142"/>
      <c r="AF79" s="142"/>
      <c r="AG79" s="142"/>
      <c r="AH79" s="154"/>
      <c r="AI79" s="154"/>
      <c r="AJ79" s="161"/>
      <c r="AK79" s="162">
        <f t="shared" si="12"/>
        <v>0</v>
      </c>
      <c r="AL79" s="163">
        <f t="shared" si="13"/>
        <v>0</v>
      </c>
      <c r="AM79" s="164"/>
      <c r="AN79" s="618">
        <f>SUM(AL79:AM80)</f>
        <v>0</v>
      </c>
      <c r="AO79" s="3"/>
      <c r="AP79" s="3"/>
      <c r="AQ79" s="3"/>
      <c r="AR79" s="3"/>
      <c r="AS79" s="3"/>
    </row>
    <row r="80" spans="3:45" ht="12.75" x14ac:dyDescent="0.2">
      <c r="C80" s="580"/>
      <c r="D80" s="577"/>
      <c r="E80" s="165" t="s">
        <v>19</v>
      </c>
      <c r="F80" s="166"/>
      <c r="G80" s="141"/>
      <c r="H80" s="141"/>
      <c r="I80" s="141"/>
      <c r="J80" s="141"/>
      <c r="K80" s="141"/>
      <c r="L80" s="141"/>
      <c r="M80" s="165"/>
      <c r="N80" s="141"/>
      <c r="O80" s="141"/>
      <c r="P80" s="141"/>
      <c r="Q80" s="141"/>
      <c r="R80" s="141"/>
      <c r="S80" s="141"/>
      <c r="T80" s="165"/>
      <c r="U80" s="141"/>
      <c r="V80" s="141"/>
      <c r="W80" s="141"/>
      <c r="X80" s="141"/>
      <c r="Y80" s="141"/>
      <c r="Z80" s="141"/>
      <c r="AA80" s="165"/>
      <c r="AB80" s="141"/>
      <c r="AC80" s="141"/>
      <c r="AD80" s="141"/>
      <c r="AE80" s="141"/>
      <c r="AF80" s="141"/>
      <c r="AG80" s="141"/>
      <c r="AH80" s="154"/>
      <c r="AI80" s="154"/>
      <c r="AJ80" s="161"/>
      <c r="AK80" s="167">
        <f t="shared" si="12"/>
        <v>0</v>
      </c>
      <c r="AL80" s="168"/>
      <c r="AM80" s="169">
        <f t="shared" ref="AM80:AM81" si="14">AK80</f>
        <v>0</v>
      </c>
      <c r="AN80" s="583"/>
      <c r="AO80" s="3"/>
      <c r="AP80" s="3"/>
      <c r="AQ80" s="3"/>
      <c r="AR80" s="3"/>
      <c r="AS80" s="3"/>
    </row>
    <row r="81" spans="3:45" ht="12.75" x14ac:dyDescent="0.2">
      <c r="C81" s="580"/>
      <c r="D81" s="159" t="s">
        <v>27</v>
      </c>
      <c r="E81" s="165" t="s">
        <v>19</v>
      </c>
      <c r="F81" s="166"/>
      <c r="G81" s="141"/>
      <c r="H81" s="141"/>
      <c r="I81" s="141"/>
      <c r="J81" s="141"/>
      <c r="K81" s="141"/>
      <c r="L81" s="141"/>
      <c r="M81" s="165"/>
      <c r="N81" s="141"/>
      <c r="O81" s="141"/>
      <c r="P81" s="141"/>
      <c r="Q81" s="141"/>
      <c r="R81" s="141"/>
      <c r="S81" s="141"/>
      <c r="T81" s="165"/>
      <c r="U81" s="141"/>
      <c r="V81" s="141"/>
      <c r="W81" s="141"/>
      <c r="X81" s="141"/>
      <c r="Y81" s="141"/>
      <c r="Z81" s="141"/>
      <c r="AA81" s="165"/>
      <c r="AB81" s="141"/>
      <c r="AC81" s="141"/>
      <c r="AD81" s="141"/>
      <c r="AE81" s="141"/>
      <c r="AF81" s="141"/>
      <c r="AG81" s="141"/>
      <c r="AH81" s="154"/>
      <c r="AI81" s="154"/>
      <c r="AJ81" s="161"/>
      <c r="AK81" s="167">
        <f t="shared" si="12"/>
        <v>0</v>
      </c>
      <c r="AL81" s="142"/>
      <c r="AM81" s="170">
        <f t="shared" si="14"/>
        <v>0</v>
      </c>
      <c r="AN81" s="158">
        <f>AM81</f>
        <v>0</v>
      </c>
      <c r="AO81" s="3"/>
      <c r="AP81" s="3"/>
      <c r="AQ81" s="3"/>
      <c r="AR81" s="3"/>
      <c r="AS81" s="3"/>
    </row>
    <row r="82" spans="3:45" ht="12.75" x14ac:dyDescent="0.2">
      <c r="C82" s="580"/>
      <c r="D82" s="608" t="s">
        <v>28</v>
      </c>
      <c r="E82" s="153" t="s">
        <v>18</v>
      </c>
      <c r="F82" s="160"/>
      <c r="G82" s="142"/>
      <c r="H82" s="142"/>
      <c r="I82" s="142"/>
      <c r="J82" s="142"/>
      <c r="K82" s="142"/>
      <c r="L82" s="142"/>
      <c r="M82" s="153"/>
      <c r="N82" s="142"/>
      <c r="O82" s="142"/>
      <c r="P82" s="142"/>
      <c r="Q82" s="157"/>
      <c r="R82" s="142"/>
      <c r="S82" s="142"/>
      <c r="T82" s="153"/>
      <c r="U82" s="157"/>
      <c r="V82" s="142"/>
      <c r="W82" s="142"/>
      <c r="X82" s="142"/>
      <c r="Y82" s="142"/>
      <c r="Z82" s="142"/>
      <c r="AA82" s="153"/>
      <c r="AB82" s="142"/>
      <c r="AC82" s="142"/>
      <c r="AD82" s="142"/>
      <c r="AE82" s="142"/>
      <c r="AF82" s="142"/>
      <c r="AG82" s="142"/>
      <c r="AH82" s="154"/>
      <c r="AI82" s="154"/>
      <c r="AJ82" s="161"/>
      <c r="AK82" s="162">
        <f t="shared" si="12"/>
        <v>0</v>
      </c>
      <c r="AL82" s="163">
        <f>AK82</f>
        <v>0</v>
      </c>
      <c r="AM82" s="164"/>
      <c r="AN82" s="618">
        <f>SUM(AL82:AM83)</f>
        <v>0</v>
      </c>
      <c r="AO82" s="3"/>
      <c r="AP82" s="3"/>
      <c r="AQ82" s="3"/>
      <c r="AR82" s="3"/>
      <c r="AS82" s="3"/>
    </row>
    <row r="83" spans="3:45" ht="12.75" x14ac:dyDescent="0.2">
      <c r="C83" s="580"/>
      <c r="D83" s="577"/>
      <c r="E83" s="165" t="s">
        <v>19</v>
      </c>
      <c r="F83" s="166"/>
      <c r="G83" s="141"/>
      <c r="H83" s="141"/>
      <c r="I83" s="141"/>
      <c r="J83" s="141"/>
      <c r="K83" s="141"/>
      <c r="L83" s="170"/>
      <c r="M83" s="167"/>
      <c r="N83" s="170"/>
      <c r="O83" s="141"/>
      <c r="P83" s="141"/>
      <c r="Q83" s="170"/>
      <c r="R83" s="141"/>
      <c r="S83" s="141"/>
      <c r="T83" s="165"/>
      <c r="U83" s="141"/>
      <c r="V83" s="141"/>
      <c r="W83" s="141"/>
      <c r="X83" s="141"/>
      <c r="Y83" s="141"/>
      <c r="Z83" s="141"/>
      <c r="AA83" s="165"/>
      <c r="AB83" s="141"/>
      <c r="AC83" s="141"/>
      <c r="AD83" s="170"/>
      <c r="AE83" s="141"/>
      <c r="AF83" s="141"/>
      <c r="AG83" s="141"/>
      <c r="AH83" s="154"/>
      <c r="AI83" s="154"/>
      <c r="AJ83" s="161"/>
      <c r="AK83" s="167">
        <f t="shared" si="12"/>
        <v>0</v>
      </c>
      <c r="AL83" s="168"/>
      <c r="AM83" s="169">
        <f>AK83</f>
        <v>0</v>
      </c>
      <c r="AN83" s="583"/>
      <c r="AO83" s="3"/>
      <c r="AP83" s="3"/>
      <c r="AQ83" s="3"/>
      <c r="AR83" s="3"/>
      <c r="AS83" s="3"/>
    </row>
    <row r="84" spans="3:45" ht="12.75" x14ac:dyDescent="0.2">
      <c r="C84" s="580"/>
      <c r="D84" s="608" t="s">
        <v>29</v>
      </c>
      <c r="E84" s="153" t="s">
        <v>18</v>
      </c>
      <c r="F84" s="160"/>
      <c r="G84" s="142"/>
      <c r="H84" s="142"/>
      <c r="I84" s="142"/>
      <c r="J84" s="157"/>
      <c r="K84" s="142"/>
      <c r="L84" s="142"/>
      <c r="M84" s="153"/>
      <c r="N84" s="142"/>
      <c r="O84" s="142"/>
      <c r="P84" s="142"/>
      <c r="Q84" s="142"/>
      <c r="R84" s="142"/>
      <c r="S84" s="142"/>
      <c r="T84" s="153"/>
      <c r="U84" s="142"/>
      <c r="V84" s="142"/>
      <c r="W84" s="142"/>
      <c r="X84" s="142"/>
      <c r="Y84" s="142"/>
      <c r="Z84" s="171"/>
      <c r="AA84" s="172">
        <v>20</v>
      </c>
      <c r="AB84" s="142"/>
      <c r="AC84" s="142"/>
      <c r="AD84" s="142"/>
      <c r="AE84" s="142"/>
      <c r="AF84" s="142"/>
      <c r="AG84" s="142"/>
      <c r="AH84" s="154"/>
      <c r="AI84" s="154"/>
      <c r="AJ84" s="161"/>
      <c r="AK84" s="162">
        <f t="shared" si="12"/>
        <v>20</v>
      </c>
      <c r="AL84" s="163">
        <f>AK84</f>
        <v>20</v>
      </c>
      <c r="AM84" s="164"/>
      <c r="AN84" s="618">
        <f>SUM(AL84:AM85)</f>
        <v>20</v>
      </c>
      <c r="AO84" s="3"/>
      <c r="AP84" s="3"/>
      <c r="AQ84" s="3"/>
      <c r="AR84" s="3"/>
      <c r="AS84" s="3"/>
    </row>
    <row r="85" spans="3:45" ht="12.75" x14ac:dyDescent="0.2">
      <c r="C85" s="580"/>
      <c r="D85" s="577"/>
      <c r="E85" s="165" t="s">
        <v>19</v>
      </c>
      <c r="F85" s="166"/>
      <c r="G85" s="141"/>
      <c r="H85" s="141"/>
      <c r="I85" s="141"/>
      <c r="J85" s="141"/>
      <c r="K85" s="141"/>
      <c r="L85" s="141"/>
      <c r="M85" s="165"/>
      <c r="N85" s="141"/>
      <c r="O85" s="141"/>
      <c r="P85" s="141"/>
      <c r="Q85" s="141"/>
      <c r="R85" s="141"/>
      <c r="S85" s="141"/>
      <c r="T85" s="165"/>
      <c r="U85" s="141"/>
      <c r="V85" s="141"/>
      <c r="W85" s="141"/>
      <c r="X85" s="141"/>
      <c r="Y85" s="141"/>
      <c r="Z85" s="141"/>
      <c r="AA85" s="165"/>
      <c r="AB85" s="141"/>
      <c r="AC85" s="141"/>
      <c r="AD85" s="141"/>
      <c r="AE85" s="141"/>
      <c r="AF85" s="141"/>
      <c r="AG85" s="141"/>
      <c r="AH85" s="154"/>
      <c r="AI85" s="154"/>
      <c r="AJ85" s="161"/>
      <c r="AK85" s="167">
        <f t="shared" si="12"/>
        <v>0</v>
      </c>
      <c r="AL85" s="168"/>
      <c r="AM85" s="169">
        <f>AK85</f>
        <v>0</v>
      </c>
      <c r="AN85" s="583"/>
      <c r="AO85" s="3"/>
      <c r="AP85" s="3"/>
      <c r="AQ85" s="3"/>
      <c r="AR85" s="3"/>
      <c r="AS85" s="3"/>
    </row>
    <row r="86" spans="3:45" ht="12.75" x14ac:dyDescent="0.2">
      <c r="C86" s="580"/>
      <c r="D86" s="608" t="s">
        <v>30</v>
      </c>
      <c r="E86" s="153" t="s">
        <v>18</v>
      </c>
      <c r="F86" s="160"/>
      <c r="G86" s="142"/>
      <c r="H86" s="142"/>
      <c r="I86" s="142"/>
      <c r="J86" s="142"/>
      <c r="K86" s="142"/>
      <c r="L86" s="142"/>
      <c r="M86" s="153"/>
      <c r="N86" s="142"/>
      <c r="O86" s="142"/>
      <c r="P86" s="142"/>
      <c r="Q86" s="142"/>
      <c r="R86" s="142"/>
      <c r="S86" s="142"/>
      <c r="T86" s="153"/>
      <c r="U86" s="142"/>
      <c r="V86" s="142"/>
      <c r="W86" s="142"/>
      <c r="X86" s="142"/>
      <c r="Y86" s="142"/>
      <c r="Z86" s="142"/>
      <c r="AA86" s="153"/>
      <c r="AB86" s="142"/>
      <c r="AC86" s="142"/>
      <c r="AD86" s="142"/>
      <c r="AE86" s="142"/>
      <c r="AF86" s="142"/>
      <c r="AG86" s="142"/>
      <c r="AH86" s="154"/>
      <c r="AI86" s="154"/>
      <c r="AJ86" s="161"/>
      <c r="AK86" s="162">
        <f t="shared" si="12"/>
        <v>0</v>
      </c>
      <c r="AL86" s="163">
        <f>AK86</f>
        <v>0</v>
      </c>
      <c r="AM86" s="141"/>
      <c r="AN86" s="618">
        <f>SUM(AL86:AM87)</f>
        <v>0</v>
      </c>
      <c r="AO86" s="3"/>
      <c r="AP86" s="3"/>
      <c r="AQ86" s="3"/>
      <c r="AR86" s="3"/>
      <c r="AS86" s="3"/>
    </row>
    <row r="87" spans="3:45" ht="12.75" x14ac:dyDescent="0.2">
      <c r="C87" s="580"/>
      <c r="D87" s="577"/>
      <c r="E87" s="165" t="s">
        <v>19</v>
      </c>
      <c r="F87" s="166"/>
      <c r="G87" s="141"/>
      <c r="H87" s="141"/>
      <c r="I87" s="141"/>
      <c r="J87" s="141"/>
      <c r="K87" s="141"/>
      <c r="L87" s="141"/>
      <c r="M87" s="165"/>
      <c r="N87" s="141"/>
      <c r="O87" s="141"/>
      <c r="P87" s="141"/>
      <c r="Q87" s="141"/>
      <c r="R87" s="141"/>
      <c r="S87" s="141"/>
      <c r="T87" s="165"/>
      <c r="U87" s="141"/>
      <c r="V87" s="141"/>
      <c r="W87" s="141"/>
      <c r="X87" s="141"/>
      <c r="Y87" s="141"/>
      <c r="Z87" s="141"/>
      <c r="AA87" s="165"/>
      <c r="AB87" s="141"/>
      <c r="AC87" s="141"/>
      <c r="AD87" s="141"/>
      <c r="AE87" s="141"/>
      <c r="AF87" s="141"/>
      <c r="AG87" s="141"/>
      <c r="AH87" s="154"/>
      <c r="AI87" s="154"/>
      <c r="AJ87" s="161"/>
      <c r="AK87" s="167">
        <f t="shared" si="12"/>
        <v>0</v>
      </c>
      <c r="AL87" s="173"/>
      <c r="AM87" s="169">
        <f>AK87</f>
        <v>0</v>
      </c>
      <c r="AN87" s="583"/>
      <c r="AO87" s="3"/>
      <c r="AP87" s="3"/>
      <c r="AQ87" s="3"/>
      <c r="AR87" s="3"/>
      <c r="AS87" s="3"/>
    </row>
    <row r="88" spans="3:45" ht="12.75" x14ac:dyDescent="0.2">
      <c r="C88" s="580"/>
      <c r="D88" s="608" t="s">
        <v>31</v>
      </c>
      <c r="E88" s="153" t="s">
        <v>18</v>
      </c>
      <c r="F88" s="160"/>
      <c r="G88" s="142"/>
      <c r="H88" s="142"/>
      <c r="I88" s="142"/>
      <c r="J88" s="142"/>
      <c r="K88" s="142"/>
      <c r="L88" s="142"/>
      <c r="M88" s="153"/>
      <c r="N88" s="142"/>
      <c r="O88" s="142"/>
      <c r="P88" s="142"/>
      <c r="Q88" s="142"/>
      <c r="R88" s="142"/>
      <c r="S88" s="142"/>
      <c r="T88" s="153"/>
      <c r="U88" s="142"/>
      <c r="V88" s="142"/>
      <c r="W88" s="142"/>
      <c r="X88" s="142"/>
      <c r="Y88" s="142"/>
      <c r="Z88" s="142"/>
      <c r="AA88" s="153"/>
      <c r="AB88" s="142"/>
      <c r="AC88" s="142"/>
      <c r="AD88" s="142"/>
      <c r="AE88" s="142"/>
      <c r="AF88" s="142"/>
      <c r="AG88" s="142"/>
      <c r="AH88" s="154"/>
      <c r="AI88" s="154"/>
      <c r="AJ88" s="161"/>
      <c r="AK88" s="162">
        <f t="shared" si="12"/>
        <v>0</v>
      </c>
      <c r="AL88" s="163">
        <f>AK88</f>
        <v>0</v>
      </c>
      <c r="AM88" s="164"/>
      <c r="AN88" s="619">
        <f>SUM(AL88:AM89)</f>
        <v>0</v>
      </c>
      <c r="AO88" s="3"/>
      <c r="AP88" s="3"/>
      <c r="AQ88" s="3"/>
      <c r="AR88" s="3"/>
      <c r="AS88" s="3"/>
    </row>
    <row r="89" spans="3:45" ht="12.75" x14ac:dyDescent="0.2">
      <c r="C89" s="581"/>
      <c r="D89" s="585"/>
      <c r="E89" s="174" t="s">
        <v>19</v>
      </c>
      <c r="F89" s="175"/>
      <c r="G89" s="141"/>
      <c r="H89" s="141"/>
      <c r="I89" s="141"/>
      <c r="J89" s="141"/>
      <c r="K89" s="141"/>
      <c r="L89" s="141"/>
      <c r="M89" s="165"/>
      <c r="N89" s="141"/>
      <c r="O89" s="141"/>
      <c r="P89" s="141"/>
      <c r="Q89" s="141"/>
      <c r="R89" s="141"/>
      <c r="S89" s="141"/>
      <c r="T89" s="165"/>
      <c r="U89" s="141"/>
      <c r="V89" s="141"/>
      <c r="W89" s="141"/>
      <c r="X89" s="141"/>
      <c r="Y89" s="141"/>
      <c r="Z89" s="141"/>
      <c r="AA89" s="165"/>
      <c r="AB89" s="141"/>
      <c r="AC89" s="141"/>
      <c r="AD89" s="141"/>
      <c r="AE89" s="141"/>
      <c r="AF89" s="141"/>
      <c r="AG89" s="141"/>
      <c r="AH89" s="154"/>
      <c r="AI89" s="154"/>
      <c r="AJ89" s="176"/>
      <c r="AK89" s="177">
        <f t="shared" si="12"/>
        <v>0</v>
      </c>
      <c r="AL89" s="168"/>
      <c r="AM89" s="169">
        <f>AK89</f>
        <v>0</v>
      </c>
      <c r="AN89" s="583"/>
      <c r="AO89" s="3"/>
      <c r="AP89" s="3"/>
      <c r="AQ89" s="3"/>
      <c r="AR89" s="3"/>
      <c r="AS89" s="3"/>
    </row>
    <row r="90" spans="3:45" ht="12.75" x14ac:dyDescent="0.2">
      <c r="C90" s="49" t="s">
        <v>32</v>
      </c>
      <c r="D90" s="141"/>
      <c r="E90" s="165"/>
      <c r="F90" s="166"/>
      <c r="G90" s="164"/>
      <c r="H90" s="164"/>
      <c r="I90" s="164"/>
      <c r="J90" s="164"/>
      <c r="K90" s="164"/>
      <c r="L90" s="164"/>
      <c r="M90" s="178"/>
      <c r="N90" s="164"/>
      <c r="O90" s="164"/>
      <c r="P90" s="164"/>
      <c r="Q90" s="164"/>
      <c r="R90" s="164"/>
      <c r="S90" s="164"/>
      <c r="T90" s="178"/>
      <c r="U90" s="164"/>
      <c r="V90" s="164"/>
      <c r="W90" s="164"/>
      <c r="X90" s="164"/>
      <c r="Y90" s="164"/>
      <c r="Z90" s="164"/>
      <c r="AA90" s="178"/>
      <c r="AB90" s="164"/>
      <c r="AC90" s="164"/>
      <c r="AD90" s="164"/>
      <c r="AE90" s="164"/>
      <c r="AF90" s="164"/>
      <c r="AG90" s="164"/>
      <c r="AH90" s="179"/>
      <c r="AI90" s="179"/>
      <c r="AJ90" s="161"/>
      <c r="AK90" s="180">
        <f t="shared" ref="AK90:AM90" si="15">SUM(AK78:AK89)</f>
        <v>1826</v>
      </c>
      <c r="AL90" s="157">
        <f t="shared" si="15"/>
        <v>1826</v>
      </c>
      <c r="AM90" s="170">
        <f t="shared" si="15"/>
        <v>0</v>
      </c>
      <c r="AN90" s="143"/>
      <c r="AO90" s="3"/>
      <c r="AP90" s="3"/>
      <c r="AQ90" s="3"/>
      <c r="AR90" s="3"/>
      <c r="AS90" s="3"/>
    </row>
    <row r="91" spans="3:45" ht="12.75" x14ac:dyDescent="0.2">
      <c r="C91" s="594" t="s">
        <v>33</v>
      </c>
      <c r="D91" s="609" t="s">
        <v>34</v>
      </c>
      <c r="E91" s="181" t="s">
        <v>18</v>
      </c>
      <c r="F91" s="182"/>
      <c r="G91" s="183"/>
      <c r="H91" s="183"/>
      <c r="I91" s="183"/>
      <c r="J91" s="184">
        <v>60</v>
      </c>
      <c r="K91" s="183"/>
      <c r="L91" s="183"/>
      <c r="M91" s="185"/>
      <c r="N91" s="183"/>
      <c r="O91" s="183"/>
      <c r="P91" s="183"/>
      <c r="Q91" s="183"/>
      <c r="R91" s="183"/>
      <c r="S91" s="183"/>
      <c r="T91" s="185"/>
      <c r="U91" s="183"/>
      <c r="V91" s="183"/>
      <c r="W91" s="183"/>
      <c r="X91" s="183"/>
      <c r="Y91" s="183"/>
      <c r="Z91" s="183"/>
      <c r="AA91" s="185"/>
      <c r="AB91" s="183"/>
      <c r="AC91" s="183"/>
      <c r="AD91" s="183"/>
      <c r="AE91" s="183"/>
      <c r="AF91" s="183"/>
      <c r="AG91" s="183"/>
      <c r="AH91" s="186"/>
      <c r="AI91" s="186"/>
      <c r="AJ91" s="187"/>
      <c r="AK91" s="188">
        <f t="shared" ref="AK91:AK143" si="16">SUM(F91:AJ91)</f>
        <v>60</v>
      </c>
      <c r="AL91" s="189">
        <f>AK91</f>
        <v>60</v>
      </c>
      <c r="AM91" s="190"/>
      <c r="AN91" s="620">
        <f>SUM(AL91:AM92)</f>
        <v>60</v>
      </c>
      <c r="AO91" s="3"/>
      <c r="AP91" s="3"/>
      <c r="AQ91" s="3"/>
      <c r="AR91" s="3"/>
      <c r="AS91" s="3"/>
    </row>
    <row r="92" spans="3:45" ht="12.75" x14ac:dyDescent="0.2">
      <c r="C92" s="580"/>
      <c r="D92" s="601"/>
      <c r="E92" s="191" t="s">
        <v>19</v>
      </c>
      <c r="F92" s="191"/>
      <c r="G92" s="192"/>
      <c r="H92" s="192"/>
      <c r="I92" s="192"/>
      <c r="J92" s="192"/>
      <c r="K92" s="192"/>
      <c r="L92" s="192"/>
      <c r="M92" s="191"/>
      <c r="N92" s="192"/>
      <c r="O92" s="192"/>
      <c r="P92" s="192"/>
      <c r="Q92" s="192"/>
      <c r="R92" s="192"/>
      <c r="S92" s="192"/>
      <c r="T92" s="191"/>
      <c r="U92" s="192"/>
      <c r="V92" s="192"/>
      <c r="W92" s="192"/>
      <c r="X92" s="192"/>
      <c r="Y92" s="192"/>
      <c r="Z92" s="192"/>
      <c r="AA92" s="191"/>
      <c r="AB92" s="192"/>
      <c r="AC92" s="192"/>
      <c r="AD92" s="192"/>
      <c r="AE92" s="192"/>
      <c r="AF92" s="192"/>
      <c r="AG92" s="192"/>
      <c r="AH92" s="154"/>
      <c r="AI92" s="154"/>
      <c r="AJ92" s="161"/>
      <c r="AK92" s="193">
        <f t="shared" si="16"/>
        <v>0</v>
      </c>
      <c r="AL92" s="194"/>
      <c r="AM92" s="195">
        <f>AK92</f>
        <v>0</v>
      </c>
      <c r="AN92" s="588"/>
      <c r="AO92" s="3"/>
      <c r="AP92" s="3"/>
      <c r="AQ92" s="3"/>
      <c r="AR92" s="3"/>
      <c r="AS92" s="3"/>
    </row>
    <row r="93" spans="3:45" ht="12.75" x14ac:dyDescent="0.2">
      <c r="C93" s="580"/>
      <c r="D93" s="196" t="s">
        <v>35</v>
      </c>
      <c r="E93" s="181" t="s">
        <v>18</v>
      </c>
      <c r="F93" s="197"/>
      <c r="G93" s="194"/>
      <c r="H93" s="194"/>
      <c r="I93" s="194"/>
      <c r="J93" s="198">
        <v>10</v>
      </c>
      <c r="K93" s="194"/>
      <c r="L93" s="194"/>
      <c r="M93" s="181"/>
      <c r="N93" s="194"/>
      <c r="O93" s="194"/>
      <c r="P93" s="194"/>
      <c r="Q93" s="194"/>
      <c r="R93" s="194"/>
      <c r="S93" s="194"/>
      <c r="T93" s="181"/>
      <c r="U93" s="194"/>
      <c r="V93" s="194"/>
      <c r="W93" s="194"/>
      <c r="X93" s="194"/>
      <c r="Y93" s="194"/>
      <c r="Z93" s="194"/>
      <c r="AA93" s="181"/>
      <c r="AB93" s="194"/>
      <c r="AC93" s="194"/>
      <c r="AD93" s="194"/>
      <c r="AE93" s="194"/>
      <c r="AF93" s="194"/>
      <c r="AG93" s="194"/>
      <c r="AH93" s="154"/>
      <c r="AI93" s="154"/>
      <c r="AJ93" s="161"/>
      <c r="AK93" s="199">
        <f t="shared" si="16"/>
        <v>10</v>
      </c>
      <c r="AL93" s="200">
        <f t="shared" ref="AL93:AL94" si="17">AK93</f>
        <v>10</v>
      </c>
      <c r="AM93" s="192"/>
      <c r="AN93" s="201">
        <f>AL93</f>
        <v>10</v>
      </c>
      <c r="AO93" s="3"/>
      <c r="AP93" s="3"/>
      <c r="AQ93" s="3"/>
      <c r="AR93" s="3"/>
      <c r="AS93" s="3"/>
    </row>
    <row r="94" spans="3:45" ht="12.75" x14ac:dyDescent="0.2">
      <c r="C94" s="580"/>
      <c r="D94" s="610" t="s">
        <v>36</v>
      </c>
      <c r="E94" s="181" t="s">
        <v>18</v>
      </c>
      <c r="F94" s="197"/>
      <c r="G94" s="194"/>
      <c r="H94" s="194"/>
      <c r="I94" s="194"/>
      <c r="J94" s="198">
        <v>27</v>
      </c>
      <c r="K94" s="194"/>
      <c r="L94" s="194"/>
      <c r="M94" s="181"/>
      <c r="N94" s="194"/>
      <c r="O94" s="194"/>
      <c r="P94" s="194"/>
      <c r="Q94" s="194"/>
      <c r="R94" s="194"/>
      <c r="S94" s="194"/>
      <c r="T94" s="181"/>
      <c r="U94" s="194"/>
      <c r="V94" s="194"/>
      <c r="W94" s="194"/>
      <c r="X94" s="194"/>
      <c r="Y94" s="194"/>
      <c r="Z94" s="194"/>
      <c r="AA94" s="181"/>
      <c r="AB94" s="194"/>
      <c r="AC94" s="194"/>
      <c r="AD94" s="194"/>
      <c r="AE94" s="194"/>
      <c r="AF94" s="194"/>
      <c r="AG94" s="194"/>
      <c r="AH94" s="154"/>
      <c r="AI94" s="154"/>
      <c r="AJ94" s="161"/>
      <c r="AK94" s="199">
        <f t="shared" si="16"/>
        <v>27</v>
      </c>
      <c r="AL94" s="200">
        <f t="shared" si="17"/>
        <v>27</v>
      </c>
      <c r="AM94" s="192"/>
      <c r="AN94" s="621">
        <f>SUM(AL94:AM95)</f>
        <v>27</v>
      </c>
      <c r="AO94" s="3"/>
      <c r="AP94" s="3"/>
      <c r="AQ94" s="3"/>
      <c r="AR94" s="3"/>
      <c r="AS94" s="3"/>
    </row>
    <row r="95" spans="3:45" ht="12.75" x14ac:dyDescent="0.2">
      <c r="C95" s="580"/>
      <c r="D95" s="603"/>
      <c r="E95" s="202" t="s">
        <v>19</v>
      </c>
      <c r="F95" s="203"/>
      <c r="G95" s="204"/>
      <c r="H95" s="192"/>
      <c r="I95" s="192"/>
      <c r="J95" s="192"/>
      <c r="K95" s="192"/>
      <c r="L95" s="192"/>
      <c r="M95" s="191"/>
      <c r="N95" s="192"/>
      <c r="O95" s="192"/>
      <c r="P95" s="192"/>
      <c r="Q95" s="192"/>
      <c r="R95" s="192"/>
      <c r="S95" s="192"/>
      <c r="T95" s="191"/>
      <c r="U95" s="192"/>
      <c r="V95" s="192"/>
      <c r="W95" s="192"/>
      <c r="X95" s="192"/>
      <c r="Y95" s="192"/>
      <c r="Z95" s="192"/>
      <c r="AA95" s="191"/>
      <c r="AB95" s="192"/>
      <c r="AC95" s="192"/>
      <c r="AD95" s="192"/>
      <c r="AE95" s="192"/>
      <c r="AF95" s="192"/>
      <c r="AG95" s="204"/>
      <c r="AH95" s="205"/>
      <c r="AI95" s="205"/>
      <c r="AJ95" s="206"/>
      <c r="AK95" s="207">
        <f t="shared" si="16"/>
        <v>0</v>
      </c>
      <c r="AL95" s="208"/>
      <c r="AM95" s="209">
        <f>AK95</f>
        <v>0</v>
      </c>
      <c r="AN95" s="590"/>
      <c r="AO95" s="3"/>
      <c r="AP95" s="3"/>
      <c r="AQ95" s="3"/>
      <c r="AR95" s="3"/>
      <c r="AS95" s="3"/>
    </row>
    <row r="96" spans="3:45" ht="12.75" x14ac:dyDescent="0.2">
      <c r="C96" s="580"/>
      <c r="D96" s="611" t="s">
        <v>37</v>
      </c>
      <c r="E96" s="181" t="s">
        <v>18</v>
      </c>
      <c r="F96" s="197"/>
      <c r="G96" s="194"/>
      <c r="H96" s="183"/>
      <c r="I96" s="183"/>
      <c r="J96" s="183"/>
      <c r="K96" s="183"/>
      <c r="L96" s="183"/>
      <c r="M96" s="211"/>
      <c r="N96" s="183"/>
      <c r="O96" s="183"/>
      <c r="P96" s="183"/>
      <c r="Q96" s="183"/>
      <c r="R96" s="183"/>
      <c r="S96" s="183"/>
      <c r="T96" s="185"/>
      <c r="U96" s="212"/>
      <c r="V96" s="183"/>
      <c r="W96" s="183"/>
      <c r="X96" s="183"/>
      <c r="Y96" s="183"/>
      <c r="Z96" s="183"/>
      <c r="AA96" s="185"/>
      <c r="AB96" s="212"/>
      <c r="AC96" s="183"/>
      <c r="AD96" s="183"/>
      <c r="AE96" s="183"/>
      <c r="AF96" s="183"/>
      <c r="AG96" s="194"/>
      <c r="AH96" s="154"/>
      <c r="AI96" s="154"/>
      <c r="AJ96" s="161"/>
      <c r="AK96" s="213">
        <f t="shared" si="16"/>
        <v>0</v>
      </c>
      <c r="AL96" s="214">
        <f>AK96</f>
        <v>0</v>
      </c>
      <c r="AM96" s="192"/>
      <c r="AN96" s="619">
        <f>SUM(AL96:AM97)</f>
        <v>0</v>
      </c>
      <c r="AO96" s="3"/>
      <c r="AP96" s="3"/>
      <c r="AQ96" s="3"/>
      <c r="AR96" s="3"/>
      <c r="AS96" s="3"/>
    </row>
    <row r="97" spans="3:45" ht="12.75" x14ac:dyDescent="0.2">
      <c r="C97" s="580"/>
      <c r="D97" s="577"/>
      <c r="E97" s="191" t="s">
        <v>19</v>
      </c>
      <c r="F97" s="215"/>
      <c r="G97" s="192"/>
      <c r="H97" s="192"/>
      <c r="I97" s="192"/>
      <c r="J97" s="192"/>
      <c r="K97" s="192"/>
      <c r="L97" s="192"/>
      <c r="M97" s="191"/>
      <c r="N97" s="192"/>
      <c r="O97" s="192"/>
      <c r="P97" s="192"/>
      <c r="Q97" s="192"/>
      <c r="R97" s="192"/>
      <c r="S97" s="192"/>
      <c r="T97" s="191"/>
      <c r="U97" s="192"/>
      <c r="V97" s="192"/>
      <c r="W97" s="192"/>
      <c r="X97" s="192"/>
      <c r="Y97" s="192"/>
      <c r="Z97" s="192"/>
      <c r="AA97" s="191"/>
      <c r="AB97" s="192"/>
      <c r="AC97" s="192"/>
      <c r="AD97" s="192"/>
      <c r="AE97" s="192"/>
      <c r="AF97" s="192"/>
      <c r="AG97" s="192"/>
      <c r="AH97" s="154"/>
      <c r="AI97" s="154"/>
      <c r="AJ97" s="161"/>
      <c r="AK97" s="216">
        <f t="shared" si="16"/>
        <v>0</v>
      </c>
      <c r="AL97" s="217"/>
      <c r="AM97" s="218">
        <f>AK97</f>
        <v>0</v>
      </c>
      <c r="AN97" s="583"/>
      <c r="AO97" s="3"/>
      <c r="AP97" s="3"/>
      <c r="AQ97" s="3"/>
      <c r="AR97" s="3"/>
      <c r="AS97" s="3"/>
    </row>
    <row r="98" spans="3:45" ht="12.75" x14ac:dyDescent="0.2">
      <c r="C98" s="580"/>
      <c r="D98" s="210" t="s">
        <v>38</v>
      </c>
      <c r="E98" s="181" t="s">
        <v>18</v>
      </c>
      <c r="F98" s="197"/>
      <c r="G98" s="194"/>
      <c r="H98" s="194"/>
      <c r="I98" s="194"/>
      <c r="J98" s="194"/>
      <c r="K98" s="194"/>
      <c r="L98" s="194"/>
      <c r="M98" s="181"/>
      <c r="N98" s="219">
        <v>15</v>
      </c>
      <c r="O98" s="194"/>
      <c r="P98" s="194"/>
      <c r="Q98" s="194"/>
      <c r="R98" s="194"/>
      <c r="S98" s="200"/>
      <c r="T98" s="181"/>
      <c r="U98" s="194"/>
      <c r="V98" s="194"/>
      <c r="W98" s="194"/>
      <c r="X98" s="194"/>
      <c r="Y98" s="194"/>
      <c r="Z98" s="194"/>
      <c r="AA98" s="181"/>
      <c r="AB98" s="219">
        <v>64</v>
      </c>
      <c r="AC98" s="194"/>
      <c r="AD98" s="200"/>
      <c r="AE98" s="194"/>
      <c r="AF98" s="194"/>
      <c r="AG98" s="194"/>
      <c r="AH98" s="154"/>
      <c r="AI98" s="154"/>
      <c r="AJ98" s="161"/>
      <c r="AK98" s="213">
        <f t="shared" si="16"/>
        <v>79</v>
      </c>
      <c r="AL98" s="200">
        <f t="shared" ref="AL98:AL100" si="18">AK98</f>
        <v>79</v>
      </c>
      <c r="AM98" s="192"/>
      <c r="AN98" s="158">
        <f t="shared" ref="AN98:AN99" si="19">AL98</f>
        <v>79</v>
      </c>
      <c r="AO98" s="3"/>
      <c r="AP98" s="3"/>
      <c r="AQ98" s="3"/>
      <c r="AR98" s="3"/>
      <c r="AS98" s="3"/>
    </row>
    <row r="99" spans="3:45" ht="12.75" x14ac:dyDescent="0.2">
      <c r="C99" s="580"/>
      <c r="D99" s="210" t="s">
        <v>39</v>
      </c>
      <c r="E99" s="181" t="s">
        <v>18</v>
      </c>
      <c r="F99" s="197"/>
      <c r="G99" s="194"/>
      <c r="H99" s="194"/>
      <c r="I99" s="194"/>
      <c r="J99" s="219">
        <v>43.8</v>
      </c>
      <c r="K99" s="200"/>
      <c r="L99" s="194"/>
      <c r="M99" s="181"/>
      <c r="N99" s="194"/>
      <c r="O99" s="194"/>
      <c r="P99" s="194"/>
      <c r="Q99" s="194"/>
      <c r="R99" s="194"/>
      <c r="S99" s="194"/>
      <c r="T99" s="181"/>
      <c r="U99" s="194"/>
      <c r="V99" s="194"/>
      <c r="W99" s="194"/>
      <c r="X99" s="194"/>
      <c r="Y99" s="194"/>
      <c r="Z99" s="194"/>
      <c r="AA99" s="181"/>
      <c r="AB99" s="194"/>
      <c r="AC99" s="194"/>
      <c r="AD99" s="194"/>
      <c r="AE99" s="194"/>
      <c r="AF99" s="194"/>
      <c r="AG99" s="194"/>
      <c r="AH99" s="154"/>
      <c r="AI99" s="154"/>
      <c r="AJ99" s="161"/>
      <c r="AK99" s="213">
        <f t="shared" si="16"/>
        <v>43.8</v>
      </c>
      <c r="AL99" s="200">
        <f t="shared" si="18"/>
        <v>43.8</v>
      </c>
      <c r="AM99" s="192"/>
      <c r="AN99" s="158">
        <f t="shared" si="19"/>
        <v>43.8</v>
      </c>
      <c r="AO99" s="3"/>
      <c r="AP99" s="3"/>
      <c r="AQ99" s="3"/>
      <c r="AR99" s="3"/>
      <c r="AS99" s="3"/>
    </row>
    <row r="100" spans="3:45" ht="12.75" x14ac:dyDescent="0.2">
      <c r="C100" s="580"/>
      <c r="D100" s="611" t="s">
        <v>40</v>
      </c>
      <c r="E100" s="181" t="s">
        <v>18</v>
      </c>
      <c r="F100" s="197"/>
      <c r="G100" s="194"/>
      <c r="H100" s="194"/>
      <c r="I100" s="194"/>
      <c r="J100" s="194"/>
      <c r="K100" s="194"/>
      <c r="L100" s="194"/>
      <c r="M100" s="181"/>
      <c r="N100" s="194"/>
      <c r="O100" s="194"/>
      <c r="P100" s="194"/>
      <c r="Q100" s="194"/>
      <c r="R100" s="194"/>
      <c r="S100" s="194"/>
      <c r="T100" s="181"/>
      <c r="U100" s="194"/>
      <c r="V100" s="194"/>
      <c r="W100" s="194"/>
      <c r="X100" s="194"/>
      <c r="Y100" s="194"/>
      <c r="Z100" s="194"/>
      <c r="AA100" s="181"/>
      <c r="AB100" s="194"/>
      <c r="AC100" s="194"/>
      <c r="AD100" s="194"/>
      <c r="AE100" s="194"/>
      <c r="AF100" s="194"/>
      <c r="AG100" s="194"/>
      <c r="AH100" s="154"/>
      <c r="AI100" s="154"/>
      <c r="AJ100" s="161"/>
      <c r="AK100" s="213">
        <f t="shared" si="16"/>
        <v>0</v>
      </c>
      <c r="AL100" s="220">
        <f t="shared" si="18"/>
        <v>0</v>
      </c>
      <c r="AM100" s="221"/>
      <c r="AN100" s="618">
        <f>SUM(AL100:AM101)</f>
        <v>0</v>
      </c>
      <c r="AO100" s="3"/>
      <c r="AP100" s="3"/>
      <c r="AQ100" s="3"/>
      <c r="AR100" s="3"/>
      <c r="AS100" s="3"/>
    </row>
    <row r="101" spans="3:45" ht="12.75" x14ac:dyDescent="0.2">
      <c r="C101" s="580"/>
      <c r="D101" s="577"/>
      <c r="E101" s="191" t="s">
        <v>19</v>
      </c>
      <c r="F101" s="215"/>
      <c r="G101" s="192"/>
      <c r="H101" s="192"/>
      <c r="I101" s="192"/>
      <c r="J101" s="192"/>
      <c r="K101" s="192"/>
      <c r="L101" s="192"/>
      <c r="M101" s="191"/>
      <c r="N101" s="192"/>
      <c r="O101" s="192"/>
      <c r="P101" s="192"/>
      <c r="Q101" s="192"/>
      <c r="R101" s="192"/>
      <c r="S101" s="192"/>
      <c r="T101" s="191"/>
      <c r="U101" s="192"/>
      <c r="V101" s="192"/>
      <c r="W101" s="192"/>
      <c r="X101" s="192"/>
      <c r="Y101" s="192"/>
      <c r="Z101" s="192"/>
      <c r="AA101" s="191"/>
      <c r="AB101" s="192"/>
      <c r="AC101" s="192"/>
      <c r="AD101" s="192"/>
      <c r="AE101" s="192"/>
      <c r="AF101" s="192"/>
      <c r="AG101" s="192"/>
      <c r="AH101" s="154"/>
      <c r="AI101" s="154"/>
      <c r="AJ101" s="161"/>
      <c r="AK101" s="216">
        <f t="shared" si="16"/>
        <v>0</v>
      </c>
      <c r="AL101" s="217"/>
      <c r="AM101" s="218">
        <f>AK101</f>
        <v>0</v>
      </c>
      <c r="AN101" s="583"/>
      <c r="AO101" s="3"/>
      <c r="AP101" s="3"/>
      <c r="AQ101" s="3"/>
      <c r="AR101" s="3"/>
      <c r="AS101" s="3"/>
    </row>
    <row r="102" spans="3:45" ht="12.75" x14ac:dyDescent="0.2">
      <c r="C102" s="580"/>
      <c r="D102" s="611" t="s">
        <v>41</v>
      </c>
      <c r="E102" s="181" t="s">
        <v>18</v>
      </c>
      <c r="F102" s="197"/>
      <c r="G102" s="194"/>
      <c r="H102" s="194"/>
      <c r="I102" s="194"/>
      <c r="J102" s="219">
        <f>355+129.75</f>
        <v>484.75</v>
      </c>
      <c r="K102" s="194"/>
      <c r="L102" s="194"/>
      <c r="M102" s="181"/>
      <c r="N102" s="194"/>
      <c r="O102" s="194"/>
      <c r="P102" s="194"/>
      <c r="Q102" s="194"/>
      <c r="R102" s="194"/>
      <c r="S102" s="194"/>
      <c r="T102" s="181"/>
      <c r="U102" s="194"/>
      <c r="V102" s="194"/>
      <c r="W102" s="194"/>
      <c r="X102" s="194"/>
      <c r="Y102" s="194"/>
      <c r="Z102" s="194"/>
      <c r="AA102" s="181"/>
      <c r="AB102" s="194"/>
      <c r="AC102" s="194"/>
      <c r="AD102" s="194"/>
      <c r="AE102" s="194"/>
      <c r="AF102" s="194"/>
      <c r="AG102" s="194"/>
      <c r="AH102" s="154"/>
      <c r="AI102" s="154"/>
      <c r="AJ102" s="161"/>
      <c r="AK102" s="213">
        <f t="shared" si="16"/>
        <v>484.75</v>
      </c>
      <c r="AL102" s="220">
        <f>AK102</f>
        <v>484.75</v>
      </c>
      <c r="AM102" s="221"/>
      <c r="AN102" s="618">
        <f>SUM(AL102:AM103)</f>
        <v>484.75</v>
      </c>
      <c r="AO102" s="3"/>
      <c r="AP102" s="3"/>
      <c r="AQ102" s="3"/>
      <c r="AR102" s="3"/>
      <c r="AS102" s="3"/>
    </row>
    <row r="103" spans="3:45" ht="12.75" x14ac:dyDescent="0.2">
      <c r="C103" s="580"/>
      <c r="D103" s="577"/>
      <c r="E103" s="191" t="s">
        <v>19</v>
      </c>
      <c r="F103" s="215"/>
      <c r="G103" s="192"/>
      <c r="H103" s="192"/>
      <c r="I103" s="192"/>
      <c r="J103" s="192"/>
      <c r="K103" s="195"/>
      <c r="L103" s="192"/>
      <c r="M103" s="191"/>
      <c r="N103" s="192"/>
      <c r="O103" s="192"/>
      <c r="P103" s="192"/>
      <c r="Q103" s="192"/>
      <c r="R103" s="192"/>
      <c r="S103" s="192"/>
      <c r="T103" s="191"/>
      <c r="U103" s="192"/>
      <c r="V103" s="192"/>
      <c r="W103" s="192"/>
      <c r="X103" s="192"/>
      <c r="Y103" s="192"/>
      <c r="Z103" s="192"/>
      <c r="AA103" s="191"/>
      <c r="AB103" s="192"/>
      <c r="AC103" s="192"/>
      <c r="AD103" s="192"/>
      <c r="AE103" s="192"/>
      <c r="AF103" s="192"/>
      <c r="AG103" s="192"/>
      <c r="AH103" s="154"/>
      <c r="AI103" s="154"/>
      <c r="AJ103" s="161"/>
      <c r="AK103" s="216">
        <f t="shared" si="16"/>
        <v>0</v>
      </c>
      <c r="AL103" s="217"/>
      <c r="AM103" s="218">
        <f>AK103</f>
        <v>0</v>
      </c>
      <c r="AN103" s="583"/>
      <c r="AO103" s="3"/>
      <c r="AP103" s="3"/>
      <c r="AQ103" s="3"/>
      <c r="AR103" s="3"/>
      <c r="AS103" s="3"/>
    </row>
    <row r="104" spans="3:45" ht="12.75" x14ac:dyDescent="0.2">
      <c r="C104" s="580"/>
      <c r="D104" s="210" t="s">
        <v>42</v>
      </c>
      <c r="E104" s="181" t="s">
        <v>18</v>
      </c>
      <c r="F104" s="197"/>
      <c r="G104" s="194"/>
      <c r="H104" s="194"/>
      <c r="I104" s="194"/>
      <c r="J104" s="219">
        <f>3+20+10</f>
        <v>33</v>
      </c>
      <c r="K104" s="200"/>
      <c r="L104" s="194"/>
      <c r="M104" s="181"/>
      <c r="N104" s="200"/>
      <c r="O104" s="194"/>
      <c r="P104" s="200"/>
      <c r="Q104" s="200"/>
      <c r="R104" s="194"/>
      <c r="S104" s="200"/>
      <c r="T104" s="181"/>
      <c r="U104" s="194"/>
      <c r="V104" s="194"/>
      <c r="W104" s="194"/>
      <c r="X104" s="194"/>
      <c r="Y104" s="194"/>
      <c r="Z104" s="194"/>
      <c r="AA104" s="181"/>
      <c r="AB104" s="194"/>
      <c r="AC104" s="194"/>
      <c r="AD104" s="194"/>
      <c r="AE104" s="194"/>
      <c r="AF104" s="194"/>
      <c r="AG104" s="194"/>
      <c r="AH104" s="154"/>
      <c r="AI104" s="154"/>
      <c r="AJ104" s="161"/>
      <c r="AK104" s="213">
        <f t="shared" si="16"/>
        <v>33</v>
      </c>
      <c r="AL104" s="200">
        <f>AK104</f>
        <v>33</v>
      </c>
      <c r="AM104" s="192"/>
      <c r="AN104" s="158">
        <f>AL104</f>
        <v>33</v>
      </c>
      <c r="AO104" s="3"/>
      <c r="AP104" s="3"/>
      <c r="AQ104" s="3"/>
      <c r="AR104" s="3"/>
      <c r="AS104" s="3"/>
    </row>
    <row r="105" spans="3:45" ht="12.75" x14ac:dyDescent="0.2">
      <c r="C105" s="580"/>
      <c r="D105" s="210" t="s">
        <v>43</v>
      </c>
      <c r="E105" s="191" t="s">
        <v>19</v>
      </c>
      <c r="F105" s="215"/>
      <c r="G105" s="192"/>
      <c r="H105" s="192"/>
      <c r="I105" s="192"/>
      <c r="J105" s="192"/>
      <c r="K105" s="192"/>
      <c r="L105" s="192"/>
      <c r="M105" s="191"/>
      <c r="N105" s="192"/>
      <c r="O105" s="192"/>
      <c r="P105" s="192"/>
      <c r="Q105" s="192"/>
      <c r="R105" s="192"/>
      <c r="S105" s="192"/>
      <c r="T105" s="191"/>
      <c r="U105" s="192"/>
      <c r="V105" s="192"/>
      <c r="W105" s="192"/>
      <c r="X105" s="192"/>
      <c r="Y105" s="192"/>
      <c r="Z105" s="192"/>
      <c r="AA105" s="191"/>
      <c r="AB105" s="192"/>
      <c r="AC105" s="192"/>
      <c r="AD105" s="192"/>
      <c r="AE105" s="192"/>
      <c r="AF105" s="192"/>
      <c r="AG105" s="192"/>
      <c r="AH105" s="154"/>
      <c r="AI105" s="154"/>
      <c r="AJ105" s="161"/>
      <c r="AK105" s="216">
        <f t="shared" si="16"/>
        <v>0</v>
      </c>
      <c r="AL105" s="194"/>
      <c r="AM105" s="195">
        <f>AK105</f>
        <v>0</v>
      </c>
      <c r="AN105" s="158">
        <f>AM105</f>
        <v>0</v>
      </c>
      <c r="AO105" s="3"/>
      <c r="AP105" s="3"/>
      <c r="AQ105" s="3"/>
      <c r="AR105" s="3"/>
      <c r="AS105" s="3"/>
    </row>
    <row r="106" spans="3:45" ht="12.75" x14ac:dyDescent="0.2">
      <c r="C106" s="580"/>
      <c r="D106" s="611" t="s">
        <v>44</v>
      </c>
      <c r="E106" s="181" t="s">
        <v>18</v>
      </c>
      <c r="F106" s="197"/>
      <c r="G106" s="194"/>
      <c r="H106" s="194"/>
      <c r="I106" s="194"/>
      <c r="J106" s="194"/>
      <c r="K106" s="194"/>
      <c r="L106" s="194"/>
      <c r="M106" s="181"/>
      <c r="N106" s="194"/>
      <c r="O106" s="194"/>
      <c r="P106" s="194"/>
      <c r="Q106" s="194"/>
      <c r="R106" s="194"/>
      <c r="S106" s="194"/>
      <c r="T106" s="181"/>
      <c r="U106" s="194"/>
      <c r="V106" s="194"/>
      <c r="W106" s="194"/>
      <c r="X106" s="194"/>
      <c r="Y106" s="194"/>
      <c r="Z106" s="194"/>
      <c r="AA106" s="181"/>
      <c r="AB106" s="194"/>
      <c r="AC106" s="194"/>
      <c r="AD106" s="194"/>
      <c r="AE106" s="194"/>
      <c r="AF106" s="194"/>
      <c r="AG106" s="194"/>
      <c r="AH106" s="154"/>
      <c r="AI106" s="154"/>
      <c r="AJ106" s="161"/>
      <c r="AK106" s="213">
        <f t="shared" si="16"/>
        <v>0</v>
      </c>
      <c r="AL106" s="220">
        <f>AK106</f>
        <v>0</v>
      </c>
      <c r="AM106" s="221"/>
      <c r="AN106" s="618">
        <f>SUM(AL106:AM107)</f>
        <v>0</v>
      </c>
      <c r="AO106" s="3"/>
      <c r="AP106" s="3"/>
      <c r="AQ106" s="3"/>
      <c r="AR106" s="3"/>
      <c r="AS106" s="3"/>
    </row>
    <row r="107" spans="3:45" ht="12.75" x14ac:dyDescent="0.2">
      <c r="C107" s="581"/>
      <c r="D107" s="585"/>
      <c r="E107" s="222" t="s">
        <v>19</v>
      </c>
      <c r="F107" s="223"/>
      <c r="G107" s="192"/>
      <c r="H107" s="192"/>
      <c r="I107" s="192"/>
      <c r="J107" s="192"/>
      <c r="K107" s="192"/>
      <c r="L107" s="192"/>
      <c r="M107" s="191"/>
      <c r="N107" s="192"/>
      <c r="O107" s="192"/>
      <c r="P107" s="192"/>
      <c r="Q107" s="192"/>
      <c r="R107" s="192"/>
      <c r="S107" s="192"/>
      <c r="T107" s="191"/>
      <c r="U107" s="192"/>
      <c r="V107" s="192"/>
      <c r="W107" s="192"/>
      <c r="X107" s="192"/>
      <c r="Y107" s="192"/>
      <c r="Z107" s="192"/>
      <c r="AA107" s="191"/>
      <c r="AB107" s="192"/>
      <c r="AC107" s="192"/>
      <c r="AD107" s="192"/>
      <c r="AE107" s="192"/>
      <c r="AF107" s="192"/>
      <c r="AG107" s="192"/>
      <c r="AH107" s="154"/>
      <c r="AI107" s="154"/>
      <c r="AJ107" s="176"/>
      <c r="AK107" s="224">
        <f t="shared" si="16"/>
        <v>0</v>
      </c>
      <c r="AL107" s="217"/>
      <c r="AM107" s="218">
        <f>AK107</f>
        <v>0</v>
      </c>
      <c r="AN107" s="583"/>
      <c r="AO107" s="3"/>
      <c r="AP107" s="3"/>
      <c r="AQ107" s="3"/>
      <c r="AR107" s="3"/>
      <c r="AS107" s="3"/>
    </row>
    <row r="108" spans="3:45" ht="12.75" x14ac:dyDescent="0.2">
      <c r="C108" s="594" t="s">
        <v>45</v>
      </c>
      <c r="D108" s="612" t="s">
        <v>46</v>
      </c>
      <c r="E108" s="225" t="s">
        <v>18</v>
      </c>
      <c r="F108" s="226"/>
      <c r="G108" s="227">
        <v>16.600000000000001</v>
      </c>
      <c r="H108" s="228"/>
      <c r="I108" s="228">
        <f>11.97-10</f>
        <v>1.9700000000000006</v>
      </c>
      <c r="J108" s="229">
        <f>112.73-1.9-65</f>
        <v>45.83</v>
      </c>
      <c r="K108" s="228"/>
      <c r="L108" s="227">
        <v>13.98</v>
      </c>
      <c r="M108" s="225">
        <f>18.08-1.7</f>
        <v>16.38</v>
      </c>
      <c r="N108" s="228">
        <f>7.64+1.99</f>
        <v>9.629999999999999</v>
      </c>
      <c r="O108" s="229">
        <f>4.65+7.62+2.99+0.95+2.49+0.59</f>
        <v>19.290000000000003</v>
      </c>
      <c r="P108" s="228"/>
      <c r="Q108" s="228"/>
      <c r="R108" s="228">
        <f>1.89+7.72+14.99</f>
        <v>24.6</v>
      </c>
      <c r="S108" s="228">
        <f>11.73+1</f>
        <v>12.73</v>
      </c>
      <c r="T108" s="230">
        <f>2.89+5.79</f>
        <v>8.68</v>
      </c>
      <c r="U108" s="229"/>
      <c r="V108" s="229">
        <f>28.74-1.96</f>
        <v>26.779999999999998</v>
      </c>
      <c r="W108" s="228"/>
      <c r="X108" s="228"/>
      <c r="Y108" s="228">
        <f>0.59+5.82+2.49+3.6+4.78+6.87+3.59+21.99+3.29+5.59+2.59+0.55+0.29</f>
        <v>62.04</v>
      </c>
      <c r="Z108" s="229"/>
      <c r="AA108" s="231">
        <v>3.46</v>
      </c>
      <c r="AB108" s="228"/>
      <c r="AC108" s="228"/>
      <c r="AD108" s="228"/>
      <c r="AE108" s="228">
        <f>9.74+5.82+0.33+2.49+5.09+2.49+2.16+4.99+0.56</f>
        <v>33.67</v>
      </c>
      <c r="AF108" s="229"/>
      <c r="AG108" s="227">
        <v>5.46</v>
      </c>
      <c r="AH108" s="179"/>
      <c r="AI108" s="179"/>
      <c r="AJ108" s="155"/>
      <c r="AK108" s="230">
        <f t="shared" si="16"/>
        <v>301.09999999999997</v>
      </c>
      <c r="AL108" s="220">
        <f>AK108</f>
        <v>301.09999999999997</v>
      </c>
      <c r="AM108" s="221"/>
      <c r="AN108" s="618">
        <f>SUM(AL108:AM109)</f>
        <v>311.09999999999997</v>
      </c>
      <c r="AO108" s="3"/>
      <c r="AP108" s="3"/>
      <c r="AQ108" s="3"/>
      <c r="AR108" s="3"/>
      <c r="AS108" s="3"/>
    </row>
    <row r="109" spans="3:45" ht="12.75" x14ac:dyDescent="0.2">
      <c r="C109" s="580"/>
      <c r="D109" s="577"/>
      <c r="E109" s="191" t="s">
        <v>19</v>
      </c>
      <c r="F109" s="215"/>
      <c r="G109" s="192"/>
      <c r="H109" s="192"/>
      <c r="I109" s="232">
        <v>10</v>
      </c>
      <c r="J109" s="192"/>
      <c r="K109" s="192"/>
      <c r="L109" s="192"/>
      <c r="M109" s="191"/>
      <c r="N109" s="192"/>
      <c r="O109" s="192"/>
      <c r="P109" s="192"/>
      <c r="Q109" s="192"/>
      <c r="R109" s="192"/>
      <c r="S109" s="192"/>
      <c r="T109" s="191"/>
      <c r="U109" s="192"/>
      <c r="V109" s="192"/>
      <c r="W109" s="192"/>
      <c r="X109" s="192"/>
      <c r="Y109" s="192"/>
      <c r="Z109" s="192"/>
      <c r="AA109" s="191"/>
      <c r="AB109" s="192"/>
      <c r="AC109" s="192"/>
      <c r="AD109" s="192"/>
      <c r="AE109" s="192"/>
      <c r="AF109" s="192"/>
      <c r="AG109" s="192"/>
      <c r="AH109" s="154"/>
      <c r="AI109" s="154"/>
      <c r="AJ109" s="161"/>
      <c r="AK109" s="216">
        <f t="shared" si="16"/>
        <v>10</v>
      </c>
      <c r="AL109" s="217"/>
      <c r="AM109" s="218">
        <f>AK109</f>
        <v>10</v>
      </c>
      <c r="AN109" s="583"/>
      <c r="AO109" s="3"/>
      <c r="AP109" s="3"/>
      <c r="AQ109" s="3"/>
      <c r="AR109" s="3"/>
      <c r="AS109" s="3"/>
    </row>
    <row r="110" spans="3:45" ht="12.75" x14ac:dyDescent="0.2">
      <c r="C110" s="580"/>
      <c r="D110" s="613" t="s">
        <v>47</v>
      </c>
      <c r="E110" s="181" t="s">
        <v>18</v>
      </c>
      <c r="F110" s="197"/>
      <c r="G110" s="194"/>
      <c r="H110" s="200"/>
      <c r="I110" s="200"/>
      <c r="J110" s="194">
        <f>0.95*2</f>
        <v>1.9</v>
      </c>
      <c r="K110" s="200"/>
      <c r="L110" s="200">
        <f>2.09+2.26</f>
        <v>4.3499999999999996</v>
      </c>
      <c r="M110" s="233">
        <v>1.7</v>
      </c>
      <c r="N110" s="200">
        <f>3.59-0.36+(0.93*2)</f>
        <v>5.09</v>
      </c>
      <c r="O110" s="194">
        <f>3.35+1.1</f>
        <v>4.45</v>
      </c>
      <c r="P110" s="200"/>
      <c r="Q110" s="194"/>
      <c r="R110" s="200">
        <f>4.99+2.39</f>
        <v>7.3800000000000008</v>
      </c>
      <c r="S110" s="200"/>
      <c r="T110" s="213">
        <f>2.68+1.89+(1.15*2)</f>
        <v>6.87</v>
      </c>
      <c r="U110" s="200"/>
      <c r="V110" s="194">
        <f>0.98*2</f>
        <v>1.96</v>
      </c>
      <c r="W110" s="200"/>
      <c r="X110" s="200"/>
      <c r="Y110" s="200">
        <f>3.26+4.19+1.09+1.09</f>
        <v>9.6300000000000008</v>
      </c>
      <c r="Z110" s="194"/>
      <c r="AA110" s="181">
        <f>1.76+1.94+2.56</f>
        <v>6.26</v>
      </c>
      <c r="AB110" s="200"/>
      <c r="AC110" s="194"/>
      <c r="AD110" s="200"/>
      <c r="AE110" s="200">
        <f>3.39+1.8</f>
        <v>5.19</v>
      </c>
      <c r="AF110" s="194"/>
      <c r="AG110" s="194">
        <f>2.83+6.55</f>
        <v>9.379999999999999</v>
      </c>
      <c r="AH110" s="154"/>
      <c r="AI110" s="154"/>
      <c r="AJ110" s="161"/>
      <c r="AK110" s="213">
        <f t="shared" si="16"/>
        <v>64.16</v>
      </c>
      <c r="AL110" s="220">
        <f>AK110</f>
        <v>64.16</v>
      </c>
      <c r="AM110" s="221"/>
      <c r="AN110" s="622">
        <f>SUM(AL110:AM111)</f>
        <v>64.16</v>
      </c>
      <c r="AO110" s="3"/>
      <c r="AP110" s="3"/>
      <c r="AQ110" s="3"/>
      <c r="AR110" s="3"/>
      <c r="AS110" s="3"/>
    </row>
    <row r="111" spans="3:45" ht="12.75" x14ac:dyDescent="0.2">
      <c r="C111" s="580"/>
      <c r="D111" s="577"/>
      <c r="E111" s="191" t="s">
        <v>19</v>
      </c>
      <c r="F111" s="215"/>
      <c r="G111" s="192"/>
      <c r="H111" s="192"/>
      <c r="I111" s="192"/>
      <c r="J111" s="192"/>
      <c r="K111" s="192"/>
      <c r="L111" s="192"/>
      <c r="M111" s="191"/>
      <c r="N111" s="192"/>
      <c r="O111" s="192"/>
      <c r="P111" s="192"/>
      <c r="Q111" s="192"/>
      <c r="R111" s="192"/>
      <c r="S111" s="192"/>
      <c r="T111" s="191"/>
      <c r="U111" s="192"/>
      <c r="V111" s="192"/>
      <c r="W111" s="192"/>
      <c r="X111" s="192"/>
      <c r="Y111" s="192"/>
      <c r="Z111" s="192"/>
      <c r="AA111" s="191"/>
      <c r="AB111" s="192"/>
      <c r="AC111" s="192"/>
      <c r="AD111" s="192"/>
      <c r="AE111" s="192"/>
      <c r="AF111" s="192"/>
      <c r="AG111" s="192"/>
      <c r="AH111" s="154"/>
      <c r="AI111" s="154"/>
      <c r="AJ111" s="161"/>
      <c r="AK111" s="216">
        <f t="shared" si="16"/>
        <v>0</v>
      </c>
      <c r="AL111" s="217"/>
      <c r="AM111" s="218">
        <f>AK111</f>
        <v>0</v>
      </c>
      <c r="AN111" s="583"/>
      <c r="AO111" s="3"/>
      <c r="AP111" s="3"/>
      <c r="AQ111" s="3"/>
      <c r="AR111" s="3"/>
      <c r="AS111" s="3"/>
    </row>
    <row r="112" spans="3:45" ht="12.75" x14ac:dyDescent="0.2">
      <c r="C112" s="580"/>
      <c r="D112" s="613" t="s">
        <v>48</v>
      </c>
      <c r="E112" s="181" t="s">
        <v>18</v>
      </c>
      <c r="F112" s="197"/>
      <c r="G112" s="194"/>
      <c r="H112" s="194"/>
      <c r="I112" s="194"/>
      <c r="J112" s="194"/>
      <c r="K112" s="194"/>
      <c r="L112" s="194"/>
      <c r="M112" s="181"/>
      <c r="N112" s="194"/>
      <c r="O112" s="194"/>
      <c r="P112" s="194"/>
      <c r="Q112" s="194"/>
      <c r="R112" s="194"/>
      <c r="S112" s="194"/>
      <c r="T112" s="181"/>
      <c r="U112" s="219">
        <v>4.97</v>
      </c>
      <c r="V112" s="219">
        <v>2.2799999999999998</v>
      </c>
      <c r="W112" s="194"/>
      <c r="X112" s="200"/>
      <c r="Y112" s="194"/>
      <c r="Z112" s="194"/>
      <c r="AA112" s="181"/>
      <c r="AB112" s="194"/>
      <c r="AC112" s="194"/>
      <c r="AD112" s="194"/>
      <c r="AE112" s="200"/>
      <c r="AF112" s="194"/>
      <c r="AG112" s="194"/>
      <c r="AH112" s="154"/>
      <c r="AI112" s="154"/>
      <c r="AJ112" s="161"/>
      <c r="AK112" s="213">
        <f t="shared" si="16"/>
        <v>7.25</v>
      </c>
      <c r="AL112" s="220">
        <f>AK112</f>
        <v>7.25</v>
      </c>
      <c r="AM112" s="221"/>
      <c r="AN112" s="618">
        <f>SUM(AL112:AM113)</f>
        <v>9.7200000000000006</v>
      </c>
      <c r="AO112" s="3"/>
      <c r="AP112" s="3"/>
      <c r="AQ112" s="3"/>
      <c r="AR112" s="3"/>
      <c r="AS112" s="3"/>
    </row>
    <row r="113" spans="3:45" ht="12.75" x14ac:dyDescent="0.2">
      <c r="C113" s="580"/>
      <c r="D113" s="577"/>
      <c r="E113" s="191" t="s">
        <v>19</v>
      </c>
      <c r="F113" s="215"/>
      <c r="G113" s="192">
        <f>8.97-6.5</f>
        <v>2.4700000000000006</v>
      </c>
      <c r="H113" s="192"/>
      <c r="I113" s="192"/>
      <c r="J113" s="192"/>
      <c r="K113" s="192"/>
      <c r="L113" s="192"/>
      <c r="M113" s="191"/>
      <c r="N113" s="192"/>
      <c r="O113" s="192"/>
      <c r="P113" s="192"/>
      <c r="Q113" s="192"/>
      <c r="R113" s="192"/>
      <c r="S113" s="192"/>
      <c r="T113" s="191"/>
      <c r="U113" s="192"/>
      <c r="V113" s="192"/>
      <c r="W113" s="192"/>
      <c r="X113" s="192"/>
      <c r="Y113" s="192"/>
      <c r="Z113" s="192"/>
      <c r="AA113" s="191"/>
      <c r="AB113" s="192"/>
      <c r="AC113" s="192"/>
      <c r="AD113" s="192"/>
      <c r="AE113" s="192"/>
      <c r="AF113" s="192"/>
      <c r="AG113" s="192"/>
      <c r="AH113" s="154"/>
      <c r="AI113" s="154"/>
      <c r="AJ113" s="161"/>
      <c r="AK113" s="216">
        <f t="shared" si="16"/>
        <v>2.4700000000000006</v>
      </c>
      <c r="AL113" s="217"/>
      <c r="AM113" s="218">
        <f>AK113</f>
        <v>2.4700000000000006</v>
      </c>
      <c r="AN113" s="583"/>
      <c r="AO113" s="3"/>
      <c r="AP113" s="3"/>
      <c r="AQ113" s="3"/>
      <c r="AR113" s="3"/>
      <c r="AS113" s="3"/>
    </row>
    <row r="114" spans="3:45" ht="12.75" x14ac:dyDescent="0.2">
      <c r="C114" s="580"/>
      <c r="D114" s="613" t="s">
        <v>49</v>
      </c>
      <c r="E114" s="181" t="s">
        <v>18</v>
      </c>
      <c r="F114" s="197"/>
      <c r="G114" s="194"/>
      <c r="H114" s="200"/>
      <c r="I114" s="198">
        <v>4.5</v>
      </c>
      <c r="J114" s="194"/>
      <c r="K114" s="200"/>
      <c r="L114" s="219">
        <v>4.5</v>
      </c>
      <c r="M114" s="181"/>
      <c r="N114" s="194"/>
      <c r="O114" s="194"/>
      <c r="P114" s="194"/>
      <c r="Q114" s="200"/>
      <c r="R114" s="194"/>
      <c r="S114" s="198">
        <v>15</v>
      </c>
      <c r="T114" s="181"/>
      <c r="U114" s="200"/>
      <c r="V114" s="194"/>
      <c r="W114" s="200"/>
      <c r="X114" s="194"/>
      <c r="Y114" s="194"/>
      <c r="Z114" s="194"/>
      <c r="AA114" s="181">
        <f>2.59+0.02</f>
        <v>2.61</v>
      </c>
      <c r="AB114" s="219">
        <v>4.5</v>
      </c>
      <c r="AC114" s="200"/>
      <c r="AD114" s="194"/>
      <c r="AE114" s="194"/>
      <c r="AF114" s="194"/>
      <c r="AG114" s="194"/>
      <c r="AH114" s="154"/>
      <c r="AI114" s="154"/>
      <c r="AJ114" s="161"/>
      <c r="AK114" s="213">
        <f t="shared" si="16"/>
        <v>31.11</v>
      </c>
      <c r="AL114" s="220">
        <f>AK114</f>
        <v>31.11</v>
      </c>
      <c r="AM114" s="221"/>
      <c r="AN114" s="618">
        <f>SUM(AL114:AM115)</f>
        <v>31.11</v>
      </c>
      <c r="AO114" s="3"/>
      <c r="AP114" s="3"/>
      <c r="AQ114" s="3"/>
      <c r="AR114" s="3"/>
      <c r="AS114" s="3"/>
    </row>
    <row r="115" spans="3:45" ht="12.75" x14ac:dyDescent="0.2">
      <c r="C115" s="580"/>
      <c r="D115" s="577"/>
      <c r="E115" s="191" t="s">
        <v>19</v>
      </c>
      <c r="F115" s="215"/>
      <c r="G115" s="192"/>
      <c r="H115" s="192"/>
      <c r="I115" s="192"/>
      <c r="J115" s="192"/>
      <c r="K115" s="192"/>
      <c r="L115" s="192"/>
      <c r="M115" s="191"/>
      <c r="N115" s="192"/>
      <c r="O115" s="192"/>
      <c r="P115" s="192"/>
      <c r="Q115" s="192"/>
      <c r="R115" s="192"/>
      <c r="S115" s="192"/>
      <c r="T115" s="191"/>
      <c r="U115" s="192"/>
      <c r="V115" s="192"/>
      <c r="W115" s="192"/>
      <c r="X115" s="192"/>
      <c r="Y115" s="192"/>
      <c r="Z115" s="192"/>
      <c r="AA115" s="191"/>
      <c r="AB115" s="195"/>
      <c r="AC115" s="192"/>
      <c r="AD115" s="192"/>
      <c r="AE115" s="195"/>
      <c r="AF115" s="192"/>
      <c r="AG115" s="192"/>
      <c r="AH115" s="154"/>
      <c r="AI115" s="154"/>
      <c r="AJ115" s="161"/>
      <c r="AK115" s="216">
        <f t="shared" si="16"/>
        <v>0</v>
      </c>
      <c r="AL115" s="217"/>
      <c r="AM115" s="218">
        <f>AK115</f>
        <v>0</v>
      </c>
      <c r="AN115" s="583"/>
      <c r="AO115" s="3"/>
      <c r="AP115" s="3"/>
      <c r="AQ115" s="3"/>
      <c r="AR115" s="3"/>
      <c r="AS115" s="3"/>
    </row>
    <row r="116" spans="3:45" ht="12.75" x14ac:dyDescent="0.2">
      <c r="C116" s="580"/>
      <c r="D116" s="647" t="s">
        <v>50</v>
      </c>
      <c r="E116" s="181" t="s">
        <v>18</v>
      </c>
      <c r="F116" s="197"/>
      <c r="G116" s="194"/>
      <c r="H116" s="194"/>
      <c r="I116" s="194"/>
      <c r="J116" s="219">
        <v>65</v>
      </c>
      <c r="K116" s="200"/>
      <c r="L116" s="194"/>
      <c r="M116" s="181"/>
      <c r="N116" s="194"/>
      <c r="O116" s="194"/>
      <c r="P116" s="200"/>
      <c r="Q116" s="194"/>
      <c r="R116" s="200"/>
      <c r="S116" s="194"/>
      <c r="T116" s="234">
        <v>65</v>
      </c>
      <c r="U116" s="200"/>
      <c r="V116" s="194"/>
      <c r="W116" s="200"/>
      <c r="X116" s="194"/>
      <c r="Y116" s="200"/>
      <c r="Z116" s="194"/>
      <c r="AA116" s="181"/>
      <c r="AB116" s="219">
        <v>65</v>
      </c>
      <c r="AC116" s="194"/>
      <c r="AD116" s="194"/>
      <c r="AE116" s="194"/>
      <c r="AF116" s="194"/>
      <c r="AG116" s="194"/>
      <c r="AH116" s="154"/>
      <c r="AI116" s="154"/>
      <c r="AJ116" s="161"/>
      <c r="AK116" s="213">
        <f t="shared" si="16"/>
        <v>195</v>
      </c>
      <c r="AL116" s="220">
        <f>AK116</f>
        <v>195</v>
      </c>
      <c r="AM116" s="221"/>
      <c r="AN116" s="618">
        <f>SUM(AL116:AM117)</f>
        <v>217.99</v>
      </c>
      <c r="AO116" s="3"/>
      <c r="AP116" s="3"/>
      <c r="AQ116" s="3"/>
      <c r="AR116" s="3"/>
      <c r="AS116" s="3"/>
    </row>
    <row r="117" spans="3:45" ht="12.75" x14ac:dyDescent="0.2">
      <c r="C117" s="580"/>
      <c r="D117" s="577"/>
      <c r="E117" s="191" t="s">
        <v>19</v>
      </c>
      <c r="F117" s="215"/>
      <c r="G117" s="232">
        <f>6.5+13</f>
        <v>19.5</v>
      </c>
      <c r="H117" s="192"/>
      <c r="I117" s="192"/>
      <c r="J117" s="192"/>
      <c r="K117" s="192"/>
      <c r="L117" s="192"/>
      <c r="M117" s="235">
        <v>3.49</v>
      </c>
      <c r="N117" s="192"/>
      <c r="O117" s="192"/>
      <c r="P117" s="192"/>
      <c r="Q117" s="192"/>
      <c r="R117" s="192"/>
      <c r="S117" s="192"/>
      <c r="T117" s="191"/>
      <c r="U117" s="192"/>
      <c r="V117" s="192"/>
      <c r="W117" s="192"/>
      <c r="X117" s="192"/>
      <c r="Y117" s="192"/>
      <c r="Z117" s="192"/>
      <c r="AA117" s="191"/>
      <c r="AB117" s="192"/>
      <c r="AC117" s="192"/>
      <c r="AD117" s="192"/>
      <c r="AE117" s="192"/>
      <c r="AF117" s="192"/>
      <c r="AG117" s="192"/>
      <c r="AH117" s="154"/>
      <c r="AI117" s="154"/>
      <c r="AJ117" s="161"/>
      <c r="AK117" s="216">
        <f t="shared" si="16"/>
        <v>22.990000000000002</v>
      </c>
      <c r="AL117" s="217"/>
      <c r="AM117" s="218">
        <f>AK117</f>
        <v>22.990000000000002</v>
      </c>
      <c r="AN117" s="583"/>
      <c r="AO117" s="3"/>
      <c r="AP117" s="3"/>
      <c r="AQ117" s="3"/>
      <c r="AR117" s="3"/>
      <c r="AS117" s="3"/>
    </row>
    <row r="118" spans="3:45" ht="12.75" x14ac:dyDescent="0.2">
      <c r="C118" s="580"/>
      <c r="D118" s="647" t="s">
        <v>1</v>
      </c>
      <c r="E118" s="181" t="s">
        <v>18</v>
      </c>
      <c r="F118" s="197"/>
      <c r="G118" s="194"/>
      <c r="H118" s="200"/>
      <c r="I118" s="194"/>
      <c r="J118" s="194"/>
      <c r="K118" s="194"/>
      <c r="L118" s="194"/>
      <c r="M118" s="181"/>
      <c r="N118" s="200"/>
      <c r="O118" s="194"/>
      <c r="P118" s="200"/>
      <c r="Q118" s="194"/>
      <c r="R118" s="194"/>
      <c r="S118" s="194">
        <f>3.19*2</f>
        <v>6.38</v>
      </c>
      <c r="T118" s="181"/>
      <c r="U118" s="194"/>
      <c r="V118" s="194"/>
      <c r="W118" s="194"/>
      <c r="X118" s="194"/>
      <c r="Y118" s="194"/>
      <c r="Z118" s="194"/>
      <c r="AA118" s="181"/>
      <c r="AB118" s="200"/>
      <c r="AC118" s="194"/>
      <c r="AD118" s="194"/>
      <c r="AE118" s="194"/>
      <c r="AF118" s="194"/>
      <c r="AG118" s="194"/>
      <c r="AH118" s="154"/>
      <c r="AI118" s="154"/>
      <c r="AJ118" s="161"/>
      <c r="AK118" s="213">
        <f t="shared" si="16"/>
        <v>6.38</v>
      </c>
      <c r="AL118" s="214">
        <f>AK118</f>
        <v>6.38</v>
      </c>
      <c r="AM118" s="192"/>
      <c r="AN118" s="618">
        <f>SUM(AL118:AM119)</f>
        <v>6.38</v>
      </c>
      <c r="AO118" s="3"/>
      <c r="AP118" s="3"/>
      <c r="AQ118" s="3"/>
      <c r="AR118" s="3"/>
      <c r="AS118" s="3"/>
    </row>
    <row r="119" spans="3:45" ht="12.75" x14ac:dyDescent="0.2">
      <c r="C119" s="580"/>
      <c r="D119" s="577"/>
      <c r="E119" s="191" t="s">
        <v>19</v>
      </c>
      <c r="F119" s="215"/>
      <c r="G119" s="192"/>
      <c r="H119" s="192"/>
      <c r="I119" s="192"/>
      <c r="J119" s="192"/>
      <c r="K119" s="192"/>
      <c r="L119" s="192"/>
      <c r="M119" s="191"/>
      <c r="N119" s="192"/>
      <c r="O119" s="192"/>
      <c r="P119" s="192"/>
      <c r="Q119" s="192"/>
      <c r="R119" s="192"/>
      <c r="S119" s="192"/>
      <c r="T119" s="191"/>
      <c r="U119" s="192"/>
      <c r="V119" s="192"/>
      <c r="W119" s="192"/>
      <c r="X119" s="192"/>
      <c r="Y119" s="192"/>
      <c r="Z119" s="192"/>
      <c r="AA119" s="191"/>
      <c r="AB119" s="192"/>
      <c r="AC119" s="192"/>
      <c r="AD119" s="192"/>
      <c r="AE119" s="192"/>
      <c r="AF119" s="192"/>
      <c r="AG119" s="192"/>
      <c r="AH119" s="154"/>
      <c r="AI119" s="154"/>
      <c r="AJ119" s="161"/>
      <c r="AK119" s="216">
        <f t="shared" si="16"/>
        <v>0</v>
      </c>
      <c r="AL119" s="236"/>
      <c r="AM119" s="195">
        <f>AK119</f>
        <v>0</v>
      </c>
      <c r="AN119" s="583"/>
      <c r="AO119" s="3"/>
      <c r="AP119" s="3"/>
      <c r="AQ119" s="3"/>
      <c r="AR119" s="3"/>
      <c r="AS119" s="3"/>
    </row>
    <row r="120" spans="3:45" ht="12.75" x14ac:dyDescent="0.2">
      <c r="C120" s="580"/>
      <c r="D120" s="608" t="s">
        <v>51</v>
      </c>
      <c r="E120" s="181" t="s">
        <v>18</v>
      </c>
      <c r="F120" s="197"/>
      <c r="G120" s="194"/>
      <c r="H120" s="194"/>
      <c r="I120" s="194"/>
      <c r="J120" s="194"/>
      <c r="K120" s="194"/>
      <c r="L120" s="194"/>
      <c r="M120" s="213"/>
      <c r="N120" s="194"/>
      <c r="O120" s="194"/>
      <c r="P120" s="194"/>
      <c r="Q120" s="194"/>
      <c r="R120" s="194"/>
      <c r="S120" s="194"/>
      <c r="T120" s="181"/>
      <c r="U120" s="194"/>
      <c r="V120" s="194"/>
      <c r="W120" s="194"/>
      <c r="X120" s="194"/>
      <c r="Y120" s="194"/>
      <c r="Z120" s="194"/>
      <c r="AA120" s="181"/>
      <c r="AB120" s="194"/>
      <c r="AC120" s="194"/>
      <c r="AD120" s="200"/>
      <c r="AE120" s="194"/>
      <c r="AF120" s="194"/>
      <c r="AG120" s="194"/>
      <c r="AH120" s="154"/>
      <c r="AI120" s="154"/>
      <c r="AJ120" s="161"/>
      <c r="AK120" s="213">
        <f t="shared" si="16"/>
        <v>0</v>
      </c>
      <c r="AL120" s="220">
        <f>AK120</f>
        <v>0</v>
      </c>
      <c r="AM120" s="221"/>
      <c r="AN120" s="619">
        <f>SUM(AL120:AM121)</f>
        <v>0</v>
      </c>
      <c r="AO120" s="3"/>
      <c r="AP120" s="3"/>
      <c r="AQ120" s="3"/>
      <c r="AR120" s="3"/>
      <c r="AS120" s="3"/>
    </row>
    <row r="121" spans="3:45" ht="12.75" x14ac:dyDescent="0.2">
      <c r="C121" s="580"/>
      <c r="D121" s="577"/>
      <c r="E121" s="191" t="s">
        <v>19</v>
      </c>
      <c r="F121" s="215"/>
      <c r="G121" s="192"/>
      <c r="H121" s="192"/>
      <c r="I121" s="192"/>
      <c r="J121" s="192"/>
      <c r="K121" s="192"/>
      <c r="L121" s="192"/>
      <c r="M121" s="191"/>
      <c r="N121" s="192"/>
      <c r="O121" s="192"/>
      <c r="P121" s="192"/>
      <c r="Q121" s="192"/>
      <c r="R121" s="192"/>
      <c r="S121" s="192"/>
      <c r="T121" s="191"/>
      <c r="U121" s="192"/>
      <c r="V121" s="192"/>
      <c r="W121" s="192"/>
      <c r="X121" s="192"/>
      <c r="Y121" s="192"/>
      <c r="Z121" s="192"/>
      <c r="AA121" s="191"/>
      <c r="AB121" s="192"/>
      <c r="AC121" s="192"/>
      <c r="AD121" s="192"/>
      <c r="AE121" s="192"/>
      <c r="AF121" s="192"/>
      <c r="AG121" s="192"/>
      <c r="AH121" s="154"/>
      <c r="AI121" s="154"/>
      <c r="AJ121" s="161"/>
      <c r="AK121" s="216">
        <f t="shared" si="16"/>
        <v>0</v>
      </c>
      <c r="AL121" s="217"/>
      <c r="AM121" s="218">
        <f>AK121</f>
        <v>0</v>
      </c>
      <c r="AN121" s="583"/>
      <c r="AO121" s="3"/>
      <c r="AP121" s="3"/>
      <c r="AQ121" s="3"/>
      <c r="AR121" s="3"/>
      <c r="AS121" s="3"/>
    </row>
    <row r="122" spans="3:45" ht="12.75" x14ac:dyDescent="0.2">
      <c r="C122" s="580"/>
      <c r="D122" s="608" t="s">
        <v>52</v>
      </c>
      <c r="E122" s="181" t="s">
        <v>18</v>
      </c>
      <c r="F122" s="197"/>
      <c r="G122" s="194"/>
      <c r="H122" s="194"/>
      <c r="I122" s="194"/>
      <c r="J122" s="194"/>
      <c r="K122" s="194"/>
      <c r="L122" s="194"/>
      <c r="M122" s="181"/>
      <c r="N122" s="194"/>
      <c r="O122" s="194"/>
      <c r="P122" s="194"/>
      <c r="Q122" s="194"/>
      <c r="R122" s="194"/>
      <c r="S122" s="194"/>
      <c r="T122" s="181"/>
      <c r="U122" s="194"/>
      <c r="V122" s="194"/>
      <c r="W122" s="194"/>
      <c r="X122" s="194"/>
      <c r="Y122" s="194"/>
      <c r="Z122" s="194"/>
      <c r="AA122" s="181"/>
      <c r="AB122" s="200"/>
      <c r="AC122" s="194"/>
      <c r="AD122" s="194"/>
      <c r="AE122" s="194"/>
      <c r="AF122" s="194"/>
      <c r="AG122" s="194"/>
      <c r="AH122" s="154"/>
      <c r="AI122" s="154"/>
      <c r="AJ122" s="161"/>
      <c r="AK122" s="213">
        <f t="shared" si="16"/>
        <v>0</v>
      </c>
      <c r="AL122" s="220">
        <f>AK122</f>
        <v>0</v>
      </c>
      <c r="AM122" s="221"/>
      <c r="AN122" s="618">
        <f>SUM(AL122:AM123)</f>
        <v>0</v>
      </c>
      <c r="AO122" s="3"/>
      <c r="AP122" s="3"/>
      <c r="AQ122" s="3"/>
      <c r="AR122" s="3"/>
      <c r="AS122" s="3"/>
    </row>
    <row r="123" spans="3:45" ht="12.75" x14ac:dyDescent="0.2">
      <c r="C123" s="581"/>
      <c r="D123" s="585"/>
      <c r="E123" s="222" t="s">
        <v>19</v>
      </c>
      <c r="F123" s="223"/>
      <c r="G123" s="192"/>
      <c r="H123" s="192"/>
      <c r="I123" s="192"/>
      <c r="J123" s="192"/>
      <c r="K123" s="192"/>
      <c r="L123" s="192"/>
      <c r="M123" s="191"/>
      <c r="N123" s="192"/>
      <c r="O123" s="192"/>
      <c r="P123" s="192"/>
      <c r="Q123" s="192"/>
      <c r="R123" s="192"/>
      <c r="S123" s="192"/>
      <c r="T123" s="191"/>
      <c r="U123" s="192"/>
      <c r="V123" s="192"/>
      <c r="W123" s="192"/>
      <c r="X123" s="192"/>
      <c r="Y123" s="192"/>
      <c r="Z123" s="192"/>
      <c r="AA123" s="191"/>
      <c r="AB123" s="192"/>
      <c r="AC123" s="192"/>
      <c r="AD123" s="192"/>
      <c r="AE123" s="192"/>
      <c r="AF123" s="192"/>
      <c r="AG123" s="192"/>
      <c r="AH123" s="154"/>
      <c r="AI123" s="154"/>
      <c r="AJ123" s="176"/>
      <c r="AK123" s="224">
        <f t="shared" si="16"/>
        <v>0</v>
      </c>
      <c r="AL123" s="217"/>
      <c r="AM123" s="218">
        <f>AK123</f>
        <v>0</v>
      </c>
      <c r="AN123" s="583"/>
      <c r="AO123" s="3"/>
      <c r="AP123" s="3"/>
      <c r="AQ123" s="3"/>
      <c r="AR123" s="3"/>
      <c r="AS123" s="3"/>
    </row>
    <row r="124" spans="3:45" ht="12.75" x14ac:dyDescent="0.2">
      <c r="C124" s="594" t="s">
        <v>53</v>
      </c>
      <c r="D124" s="237" t="s">
        <v>54</v>
      </c>
      <c r="E124" s="225" t="s">
        <v>18</v>
      </c>
      <c r="F124" s="226"/>
      <c r="G124" s="229"/>
      <c r="H124" s="229"/>
      <c r="I124" s="229"/>
      <c r="J124" s="229"/>
      <c r="K124" s="229"/>
      <c r="L124" s="229"/>
      <c r="M124" s="225"/>
      <c r="N124" s="229"/>
      <c r="O124" s="229"/>
      <c r="P124" s="229"/>
      <c r="Q124" s="229"/>
      <c r="R124" s="229"/>
      <c r="S124" s="229"/>
      <c r="T124" s="225"/>
      <c r="U124" s="227">
        <v>3</v>
      </c>
      <c r="V124" s="229"/>
      <c r="W124" s="229"/>
      <c r="X124" s="229"/>
      <c r="Y124" s="229"/>
      <c r="Z124" s="229"/>
      <c r="AA124" s="225"/>
      <c r="AB124" s="229"/>
      <c r="AC124" s="229"/>
      <c r="AD124" s="229"/>
      <c r="AE124" s="229"/>
      <c r="AF124" s="229"/>
      <c r="AG124" s="229"/>
      <c r="AH124" s="179"/>
      <c r="AI124" s="179"/>
      <c r="AJ124" s="155"/>
      <c r="AK124" s="230">
        <f t="shared" si="16"/>
        <v>3</v>
      </c>
      <c r="AL124" s="200">
        <f t="shared" ref="AL124:AL125" si="20">AK124</f>
        <v>3</v>
      </c>
      <c r="AM124" s="192"/>
      <c r="AN124" s="158">
        <f>AL124</f>
        <v>3</v>
      </c>
      <c r="AO124" s="3"/>
      <c r="AP124" s="3"/>
      <c r="AQ124" s="3"/>
      <c r="AR124" s="3"/>
      <c r="AS124" s="3"/>
    </row>
    <row r="125" spans="3:45" ht="12.75" x14ac:dyDescent="0.2">
      <c r="C125" s="580"/>
      <c r="D125" s="611" t="s">
        <v>55</v>
      </c>
      <c r="E125" s="181" t="s">
        <v>18</v>
      </c>
      <c r="F125" s="197"/>
      <c r="G125" s="194"/>
      <c r="H125" s="200"/>
      <c r="I125" s="194"/>
      <c r="J125" s="194"/>
      <c r="K125" s="194"/>
      <c r="L125" s="219">
        <v>4.97</v>
      </c>
      <c r="M125" s="181"/>
      <c r="N125" s="194"/>
      <c r="O125" s="194"/>
      <c r="P125" s="194"/>
      <c r="Q125" s="194"/>
      <c r="R125" s="194"/>
      <c r="S125" s="194"/>
      <c r="T125" s="181"/>
      <c r="U125" s="194"/>
      <c r="V125" s="194"/>
      <c r="W125" s="200"/>
      <c r="X125" s="194"/>
      <c r="Y125" s="198">
        <v>15.59</v>
      </c>
      <c r="Z125" s="194"/>
      <c r="AA125" s="181"/>
      <c r="AB125" s="194"/>
      <c r="AC125" s="198">
        <v>40</v>
      </c>
      <c r="AD125" s="194"/>
      <c r="AE125" s="194"/>
      <c r="AF125" s="194"/>
      <c r="AG125" s="194"/>
      <c r="AH125" s="154"/>
      <c r="AI125" s="154"/>
      <c r="AJ125" s="161"/>
      <c r="AK125" s="213">
        <f t="shared" si="16"/>
        <v>60.56</v>
      </c>
      <c r="AL125" s="220">
        <f t="shared" si="20"/>
        <v>60.56</v>
      </c>
      <c r="AM125" s="221"/>
      <c r="AN125" s="618">
        <f>SUM(AL125:AM126)</f>
        <v>60.56</v>
      </c>
      <c r="AO125" s="3"/>
      <c r="AP125" s="3"/>
      <c r="AQ125" s="3"/>
      <c r="AR125" s="3"/>
      <c r="AS125" s="3"/>
    </row>
    <row r="126" spans="3:45" ht="12.75" x14ac:dyDescent="0.2">
      <c r="C126" s="580"/>
      <c r="D126" s="577"/>
      <c r="E126" s="191" t="s">
        <v>19</v>
      </c>
      <c r="F126" s="215"/>
      <c r="G126" s="192"/>
      <c r="H126" s="192"/>
      <c r="I126" s="192"/>
      <c r="J126" s="192"/>
      <c r="K126" s="192"/>
      <c r="L126" s="192"/>
      <c r="M126" s="191"/>
      <c r="N126" s="192"/>
      <c r="O126" s="192"/>
      <c r="P126" s="192"/>
      <c r="Q126" s="192"/>
      <c r="R126" s="192"/>
      <c r="S126" s="192"/>
      <c r="T126" s="191"/>
      <c r="U126" s="192"/>
      <c r="V126" s="192"/>
      <c r="W126" s="192"/>
      <c r="X126" s="192"/>
      <c r="Y126" s="192"/>
      <c r="Z126" s="192"/>
      <c r="AA126" s="191"/>
      <c r="AB126" s="192"/>
      <c r="AC126" s="192"/>
      <c r="AD126" s="192"/>
      <c r="AE126" s="192"/>
      <c r="AF126" s="192"/>
      <c r="AG126" s="192"/>
      <c r="AH126" s="154"/>
      <c r="AI126" s="154"/>
      <c r="AJ126" s="161"/>
      <c r="AK126" s="216">
        <f t="shared" si="16"/>
        <v>0</v>
      </c>
      <c r="AL126" s="217"/>
      <c r="AM126" s="218">
        <f>AK126</f>
        <v>0</v>
      </c>
      <c r="AN126" s="583"/>
      <c r="AO126" s="3"/>
      <c r="AP126" s="3"/>
      <c r="AQ126" s="3"/>
      <c r="AR126" s="3"/>
      <c r="AS126" s="3"/>
    </row>
    <row r="127" spans="3:45" ht="12.75" x14ac:dyDescent="0.2">
      <c r="C127" s="580"/>
      <c r="D127" s="611" t="s">
        <v>56</v>
      </c>
      <c r="E127" s="181" t="s">
        <v>18</v>
      </c>
      <c r="F127" s="197"/>
      <c r="G127" s="194"/>
      <c r="H127" s="194"/>
      <c r="I127" s="194"/>
      <c r="J127" s="194"/>
      <c r="K127" s="194"/>
      <c r="L127" s="194"/>
      <c r="M127" s="181"/>
      <c r="N127" s="194"/>
      <c r="O127" s="194"/>
      <c r="P127" s="194"/>
      <c r="Q127" s="194"/>
      <c r="R127" s="194"/>
      <c r="S127" s="194"/>
      <c r="T127" s="181"/>
      <c r="U127" s="194"/>
      <c r="V127" s="194"/>
      <c r="W127" s="194"/>
      <c r="X127" s="194"/>
      <c r="Y127" s="194"/>
      <c r="Z127" s="194"/>
      <c r="AA127" s="181"/>
      <c r="AB127" s="194"/>
      <c r="AC127" s="194"/>
      <c r="AD127" s="194"/>
      <c r="AE127" s="194"/>
      <c r="AF127" s="194"/>
      <c r="AG127" s="194"/>
      <c r="AH127" s="154"/>
      <c r="AI127" s="154"/>
      <c r="AJ127" s="161"/>
      <c r="AK127" s="213">
        <f t="shared" si="16"/>
        <v>0</v>
      </c>
      <c r="AL127" s="220">
        <f>AK127</f>
        <v>0</v>
      </c>
      <c r="AM127" s="221"/>
      <c r="AN127" s="618">
        <f>SUM(AL127:AM128)</f>
        <v>0</v>
      </c>
      <c r="AO127" s="3"/>
      <c r="AP127" s="3"/>
      <c r="AQ127" s="3"/>
      <c r="AR127" s="3"/>
      <c r="AS127" s="3"/>
    </row>
    <row r="128" spans="3:45" ht="12.75" x14ac:dyDescent="0.2">
      <c r="C128" s="580"/>
      <c r="D128" s="577"/>
      <c r="E128" s="191" t="s">
        <v>19</v>
      </c>
      <c r="F128" s="215"/>
      <c r="G128" s="192"/>
      <c r="H128" s="192"/>
      <c r="I128" s="192"/>
      <c r="J128" s="192"/>
      <c r="K128" s="192"/>
      <c r="L128" s="192"/>
      <c r="M128" s="191"/>
      <c r="N128" s="192"/>
      <c r="O128" s="192"/>
      <c r="P128" s="192"/>
      <c r="Q128" s="192"/>
      <c r="R128" s="192"/>
      <c r="S128" s="192"/>
      <c r="T128" s="191"/>
      <c r="U128" s="192"/>
      <c r="V128" s="192"/>
      <c r="W128" s="192"/>
      <c r="X128" s="192"/>
      <c r="Y128" s="192"/>
      <c r="Z128" s="192"/>
      <c r="AA128" s="191"/>
      <c r="AB128" s="192"/>
      <c r="AC128" s="192"/>
      <c r="AD128" s="192"/>
      <c r="AE128" s="192"/>
      <c r="AF128" s="192"/>
      <c r="AG128" s="192"/>
      <c r="AH128" s="154"/>
      <c r="AI128" s="154"/>
      <c r="AJ128" s="161"/>
      <c r="AK128" s="216">
        <f t="shared" si="16"/>
        <v>0</v>
      </c>
      <c r="AL128" s="217"/>
      <c r="AM128" s="218">
        <f>AK128</f>
        <v>0</v>
      </c>
      <c r="AN128" s="583"/>
      <c r="AO128" s="3"/>
      <c r="AP128" s="3"/>
      <c r="AQ128" s="3"/>
      <c r="AR128" s="3"/>
      <c r="AS128" s="3"/>
    </row>
    <row r="129" spans="3:45" ht="12.75" x14ac:dyDescent="0.2">
      <c r="C129" s="580"/>
      <c r="D129" s="611" t="s">
        <v>57</v>
      </c>
      <c r="E129" s="181" t="s">
        <v>18</v>
      </c>
      <c r="F129" s="197"/>
      <c r="G129" s="194"/>
      <c r="H129" s="194"/>
      <c r="I129" s="200"/>
      <c r="J129" s="194"/>
      <c r="K129" s="194"/>
      <c r="L129" s="194"/>
      <c r="M129" s="181"/>
      <c r="N129" s="194"/>
      <c r="O129" s="194"/>
      <c r="P129" s="194"/>
      <c r="Q129" s="194"/>
      <c r="R129" s="194"/>
      <c r="S129" s="194"/>
      <c r="T129" s="181"/>
      <c r="U129" s="194"/>
      <c r="V129" s="194"/>
      <c r="W129" s="194"/>
      <c r="X129" s="194"/>
      <c r="Y129" s="194"/>
      <c r="Z129" s="194"/>
      <c r="AA129" s="181"/>
      <c r="AB129" s="194"/>
      <c r="AC129" s="194"/>
      <c r="AD129" s="194"/>
      <c r="AE129" s="194"/>
      <c r="AF129" s="194"/>
      <c r="AG129" s="194"/>
      <c r="AH129" s="154"/>
      <c r="AI129" s="154"/>
      <c r="AJ129" s="161"/>
      <c r="AK129" s="213">
        <f t="shared" si="16"/>
        <v>0</v>
      </c>
      <c r="AL129" s="220">
        <f>AK129</f>
        <v>0</v>
      </c>
      <c r="AM129" s="221"/>
      <c r="AN129" s="618">
        <f>SUM(AL129:AM130)</f>
        <v>0</v>
      </c>
      <c r="AO129" s="3"/>
      <c r="AP129" s="3"/>
      <c r="AQ129" s="3"/>
      <c r="AR129" s="3"/>
      <c r="AS129" s="3"/>
    </row>
    <row r="130" spans="3:45" ht="12.75" x14ac:dyDescent="0.2">
      <c r="C130" s="581"/>
      <c r="D130" s="585"/>
      <c r="E130" s="222" t="s">
        <v>19</v>
      </c>
      <c r="F130" s="223"/>
      <c r="G130" s="192"/>
      <c r="H130" s="192"/>
      <c r="I130" s="192"/>
      <c r="J130" s="192"/>
      <c r="K130" s="192"/>
      <c r="L130" s="192"/>
      <c r="M130" s="191"/>
      <c r="N130" s="192"/>
      <c r="O130" s="192"/>
      <c r="P130" s="192"/>
      <c r="Q130" s="192"/>
      <c r="R130" s="192"/>
      <c r="S130" s="192"/>
      <c r="T130" s="191"/>
      <c r="U130" s="192"/>
      <c r="V130" s="192"/>
      <c r="W130" s="192"/>
      <c r="X130" s="192"/>
      <c r="Y130" s="192"/>
      <c r="Z130" s="192"/>
      <c r="AA130" s="191"/>
      <c r="AB130" s="192"/>
      <c r="AC130" s="192"/>
      <c r="AD130" s="192"/>
      <c r="AE130" s="192"/>
      <c r="AF130" s="192"/>
      <c r="AG130" s="192"/>
      <c r="AH130" s="154"/>
      <c r="AI130" s="154"/>
      <c r="AJ130" s="176"/>
      <c r="AK130" s="224">
        <f t="shared" si="16"/>
        <v>0</v>
      </c>
      <c r="AL130" s="217"/>
      <c r="AM130" s="218">
        <f>AK130</f>
        <v>0</v>
      </c>
      <c r="AN130" s="583"/>
      <c r="AO130" s="3"/>
      <c r="AP130" s="3"/>
      <c r="AQ130" s="3"/>
      <c r="AR130" s="3"/>
      <c r="AS130" s="3"/>
    </row>
    <row r="131" spans="3:45" ht="12.75" x14ac:dyDescent="0.2">
      <c r="C131" s="594" t="s">
        <v>58</v>
      </c>
      <c r="D131" s="648" t="s">
        <v>59</v>
      </c>
      <c r="E131" s="225" t="s">
        <v>18</v>
      </c>
      <c r="F131" s="226"/>
      <c r="G131" s="229"/>
      <c r="H131" s="229"/>
      <c r="I131" s="229"/>
      <c r="J131" s="229"/>
      <c r="K131" s="229"/>
      <c r="L131" s="229"/>
      <c r="M131" s="225"/>
      <c r="N131" s="229"/>
      <c r="O131" s="229"/>
      <c r="P131" s="229"/>
      <c r="Q131" s="229"/>
      <c r="R131" s="229"/>
      <c r="S131" s="227">
        <v>4.5</v>
      </c>
      <c r="T131" s="225"/>
      <c r="U131" s="229"/>
      <c r="V131" s="229"/>
      <c r="W131" s="229"/>
      <c r="X131" s="229"/>
      <c r="Y131" s="229"/>
      <c r="Z131" s="229"/>
      <c r="AA131" s="225"/>
      <c r="AB131" s="229"/>
      <c r="AC131" s="229"/>
      <c r="AD131" s="229"/>
      <c r="AE131" s="227">
        <v>25</v>
      </c>
      <c r="AF131" s="228"/>
      <c r="AG131" s="227">
        <v>104.81</v>
      </c>
      <c r="AH131" s="179"/>
      <c r="AI131" s="179"/>
      <c r="AJ131" s="155"/>
      <c r="AK131" s="230">
        <f t="shared" si="16"/>
        <v>134.31</v>
      </c>
      <c r="AL131" s="220">
        <f>AK131</f>
        <v>134.31</v>
      </c>
      <c r="AM131" s="221"/>
      <c r="AN131" s="623">
        <f>SUM(AL131:AM132)</f>
        <v>134.31</v>
      </c>
      <c r="AO131" s="3"/>
      <c r="AP131" s="3"/>
      <c r="AQ131" s="3"/>
      <c r="AR131" s="3"/>
      <c r="AS131" s="3"/>
    </row>
    <row r="132" spans="3:45" ht="12.75" x14ac:dyDescent="0.2">
      <c r="C132" s="580"/>
      <c r="D132" s="577"/>
      <c r="E132" s="191" t="s">
        <v>19</v>
      </c>
      <c r="F132" s="215"/>
      <c r="G132" s="192"/>
      <c r="H132" s="192"/>
      <c r="I132" s="192"/>
      <c r="J132" s="192"/>
      <c r="K132" s="192"/>
      <c r="L132" s="192"/>
      <c r="M132" s="191"/>
      <c r="N132" s="192"/>
      <c r="O132" s="192"/>
      <c r="P132" s="192"/>
      <c r="Q132" s="192"/>
      <c r="R132" s="192"/>
      <c r="S132" s="192"/>
      <c r="T132" s="191"/>
      <c r="U132" s="192"/>
      <c r="V132" s="192"/>
      <c r="W132" s="192"/>
      <c r="X132" s="192"/>
      <c r="Y132" s="192"/>
      <c r="Z132" s="192"/>
      <c r="AA132" s="191"/>
      <c r="AB132" s="192"/>
      <c r="AC132" s="192"/>
      <c r="AD132" s="192"/>
      <c r="AE132" s="192"/>
      <c r="AF132" s="192"/>
      <c r="AG132" s="192"/>
      <c r="AH132" s="154"/>
      <c r="AI132" s="154"/>
      <c r="AJ132" s="161"/>
      <c r="AK132" s="216">
        <f t="shared" si="16"/>
        <v>0</v>
      </c>
      <c r="AL132" s="217"/>
      <c r="AM132" s="218">
        <f>AK132</f>
        <v>0</v>
      </c>
      <c r="AN132" s="585"/>
      <c r="AO132" s="3"/>
      <c r="AP132" s="3"/>
      <c r="AQ132" s="3"/>
      <c r="AR132" s="3"/>
      <c r="AS132" s="3"/>
    </row>
    <row r="133" spans="3:45" ht="12.75" x14ac:dyDescent="0.2">
      <c r="C133" s="580"/>
      <c r="D133" s="611" t="s">
        <v>60</v>
      </c>
      <c r="E133" s="181" t="s">
        <v>18</v>
      </c>
      <c r="F133" s="197"/>
      <c r="G133" s="194"/>
      <c r="H133" s="194"/>
      <c r="I133" s="194"/>
      <c r="J133" s="194"/>
      <c r="K133" s="194"/>
      <c r="L133" s="194"/>
      <c r="M133" s="181"/>
      <c r="N133" s="194"/>
      <c r="O133" s="194"/>
      <c r="P133" s="194"/>
      <c r="Q133" s="194"/>
      <c r="R133" s="194"/>
      <c r="S133" s="194"/>
      <c r="T133" s="181"/>
      <c r="U133" s="194"/>
      <c r="V133" s="194"/>
      <c r="W133" s="194"/>
      <c r="X133" s="194"/>
      <c r="Y133" s="194"/>
      <c r="Z133" s="194"/>
      <c r="AA133" s="181"/>
      <c r="AB133" s="194"/>
      <c r="AC133" s="194"/>
      <c r="AD133" s="194"/>
      <c r="AE133" s="194"/>
      <c r="AF133" s="194"/>
      <c r="AG133" s="194"/>
      <c r="AH133" s="154"/>
      <c r="AI133" s="154"/>
      <c r="AJ133" s="161"/>
      <c r="AK133" s="213">
        <f t="shared" si="16"/>
        <v>0</v>
      </c>
      <c r="AL133" s="214">
        <f>AK133</f>
        <v>0</v>
      </c>
      <c r="AM133" s="192"/>
      <c r="AN133" s="618">
        <f>SUM(AL133:AM134)</f>
        <v>0</v>
      </c>
      <c r="AO133" s="3"/>
      <c r="AP133" s="3"/>
      <c r="AQ133" s="3"/>
      <c r="AR133" s="3"/>
      <c r="AS133" s="3"/>
    </row>
    <row r="134" spans="3:45" ht="12.75" x14ac:dyDescent="0.2">
      <c r="C134" s="580"/>
      <c r="D134" s="577"/>
      <c r="E134" s="191" t="s">
        <v>19</v>
      </c>
      <c r="F134" s="215"/>
      <c r="G134" s="192"/>
      <c r="H134" s="192"/>
      <c r="I134" s="192"/>
      <c r="J134" s="192"/>
      <c r="K134" s="192"/>
      <c r="L134" s="192"/>
      <c r="M134" s="191"/>
      <c r="N134" s="192"/>
      <c r="O134" s="192"/>
      <c r="P134" s="192"/>
      <c r="Q134" s="192"/>
      <c r="R134" s="192"/>
      <c r="S134" s="192"/>
      <c r="T134" s="191"/>
      <c r="U134" s="192"/>
      <c r="V134" s="192"/>
      <c r="W134" s="192"/>
      <c r="X134" s="192"/>
      <c r="Y134" s="192"/>
      <c r="Z134" s="192"/>
      <c r="AA134" s="191"/>
      <c r="AB134" s="192"/>
      <c r="AC134" s="192"/>
      <c r="AD134" s="192"/>
      <c r="AE134" s="192"/>
      <c r="AF134" s="192"/>
      <c r="AG134" s="192"/>
      <c r="AH134" s="154"/>
      <c r="AI134" s="154"/>
      <c r="AJ134" s="161"/>
      <c r="AK134" s="216">
        <f t="shared" si="16"/>
        <v>0</v>
      </c>
      <c r="AL134" s="236"/>
      <c r="AM134" s="195">
        <f>AK134</f>
        <v>0</v>
      </c>
      <c r="AN134" s="583"/>
      <c r="AO134" s="3"/>
      <c r="AP134" s="3"/>
      <c r="AQ134" s="3"/>
      <c r="AR134" s="3"/>
      <c r="AS134" s="3"/>
    </row>
    <row r="135" spans="3:45" ht="12.75" x14ac:dyDescent="0.2">
      <c r="C135" s="580"/>
      <c r="D135" s="611" t="s">
        <v>61</v>
      </c>
      <c r="E135" s="181" t="s">
        <v>18</v>
      </c>
      <c r="F135" s="197"/>
      <c r="G135" s="194"/>
      <c r="H135" s="194"/>
      <c r="I135" s="194"/>
      <c r="J135" s="194"/>
      <c r="K135" s="194"/>
      <c r="L135" s="194"/>
      <c r="M135" s="181"/>
      <c r="N135" s="194"/>
      <c r="O135" s="194"/>
      <c r="P135" s="194"/>
      <c r="Q135" s="194"/>
      <c r="R135" s="194"/>
      <c r="S135" s="194"/>
      <c r="T135" s="181"/>
      <c r="U135" s="194"/>
      <c r="V135" s="194"/>
      <c r="W135" s="194"/>
      <c r="X135" s="194"/>
      <c r="Y135" s="194"/>
      <c r="Z135" s="194">
        <f>12+20+5.5+22+18+44.5</f>
        <v>122</v>
      </c>
      <c r="AA135" s="181"/>
      <c r="AB135" s="194"/>
      <c r="AC135" s="200"/>
      <c r="AD135" s="194"/>
      <c r="AE135" s="194"/>
      <c r="AF135" s="194"/>
      <c r="AG135" s="194"/>
      <c r="AH135" s="154"/>
      <c r="AI135" s="154"/>
      <c r="AJ135" s="161"/>
      <c r="AK135" s="213">
        <f t="shared" si="16"/>
        <v>122</v>
      </c>
      <c r="AL135" s="220">
        <f>AK135</f>
        <v>122</v>
      </c>
      <c r="AM135" s="221"/>
      <c r="AN135" s="623">
        <f>SUM(AL135:AM136)</f>
        <v>122</v>
      </c>
      <c r="AO135" s="3"/>
      <c r="AP135" s="3"/>
      <c r="AQ135" s="3"/>
      <c r="AR135" s="3"/>
      <c r="AS135" s="3"/>
    </row>
    <row r="136" spans="3:45" ht="12.75" x14ac:dyDescent="0.2">
      <c r="C136" s="580"/>
      <c r="D136" s="577"/>
      <c r="E136" s="191" t="s">
        <v>19</v>
      </c>
      <c r="F136" s="215"/>
      <c r="G136" s="192"/>
      <c r="H136" s="192"/>
      <c r="I136" s="192"/>
      <c r="J136" s="192"/>
      <c r="K136" s="192"/>
      <c r="L136" s="192"/>
      <c r="M136" s="191"/>
      <c r="N136" s="192"/>
      <c r="O136" s="192"/>
      <c r="P136" s="192"/>
      <c r="Q136" s="192"/>
      <c r="R136" s="192"/>
      <c r="S136" s="192"/>
      <c r="T136" s="191"/>
      <c r="U136" s="192"/>
      <c r="V136" s="192"/>
      <c r="W136" s="192"/>
      <c r="X136" s="192"/>
      <c r="Y136" s="192"/>
      <c r="Z136" s="192"/>
      <c r="AA136" s="191"/>
      <c r="AB136" s="192"/>
      <c r="AC136" s="192"/>
      <c r="AD136" s="192"/>
      <c r="AE136" s="192"/>
      <c r="AF136" s="192"/>
      <c r="AG136" s="192"/>
      <c r="AH136" s="154"/>
      <c r="AI136" s="154"/>
      <c r="AJ136" s="161"/>
      <c r="AK136" s="216">
        <f t="shared" si="16"/>
        <v>0</v>
      </c>
      <c r="AL136" s="217"/>
      <c r="AM136" s="218">
        <f>AK136</f>
        <v>0</v>
      </c>
      <c r="AN136" s="585"/>
      <c r="AO136" s="3"/>
      <c r="AP136" s="3"/>
      <c r="AQ136" s="3"/>
      <c r="AR136" s="3"/>
      <c r="AS136" s="3"/>
    </row>
    <row r="137" spans="3:45" ht="12.75" x14ac:dyDescent="0.2">
      <c r="C137" s="580"/>
      <c r="D137" s="611" t="s">
        <v>62</v>
      </c>
      <c r="E137" s="181" t="s">
        <v>18</v>
      </c>
      <c r="F137" s="197"/>
      <c r="G137" s="194"/>
      <c r="H137" s="194"/>
      <c r="I137" s="194"/>
      <c r="J137" s="194"/>
      <c r="K137" s="194"/>
      <c r="L137" s="194"/>
      <c r="M137" s="181"/>
      <c r="N137" s="194"/>
      <c r="O137" s="194"/>
      <c r="P137" s="194"/>
      <c r="Q137" s="194"/>
      <c r="R137" s="194"/>
      <c r="S137" s="194"/>
      <c r="T137" s="181"/>
      <c r="U137" s="194"/>
      <c r="V137" s="194"/>
      <c r="W137" s="194"/>
      <c r="X137" s="194"/>
      <c r="Y137" s="194"/>
      <c r="Z137" s="194"/>
      <c r="AA137" s="181"/>
      <c r="AB137" s="194"/>
      <c r="AC137" s="194"/>
      <c r="AD137" s="194"/>
      <c r="AE137" s="194"/>
      <c r="AF137" s="194"/>
      <c r="AG137" s="194"/>
      <c r="AH137" s="154"/>
      <c r="AI137" s="154"/>
      <c r="AJ137" s="161"/>
      <c r="AK137" s="213">
        <f t="shared" si="16"/>
        <v>0</v>
      </c>
      <c r="AL137" s="220">
        <f>AK137</f>
        <v>0</v>
      </c>
      <c r="AM137" s="221"/>
      <c r="AN137" s="618">
        <f>SUM(AL137:AM138)</f>
        <v>0</v>
      </c>
      <c r="AO137" s="3"/>
      <c r="AP137" s="3"/>
      <c r="AQ137" s="3"/>
      <c r="AR137" s="3"/>
      <c r="AS137" s="3"/>
    </row>
    <row r="138" spans="3:45" ht="12.75" x14ac:dyDescent="0.2">
      <c r="C138" s="581"/>
      <c r="D138" s="585"/>
      <c r="E138" s="222" t="s">
        <v>19</v>
      </c>
      <c r="F138" s="223"/>
      <c r="G138" s="192"/>
      <c r="H138" s="192"/>
      <c r="I138" s="192"/>
      <c r="J138" s="192"/>
      <c r="K138" s="192"/>
      <c r="L138" s="192"/>
      <c r="M138" s="191"/>
      <c r="N138" s="192"/>
      <c r="O138" s="192"/>
      <c r="P138" s="192"/>
      <c r="Q138" s="192"/>
      <c r="R138" s="192"/>
      <c r="S138" s="192"/>
      <c r="T138" s="191"/>
      <c r="U138" s="192"/>
      <c r="V138" s="192"/>
      <c r="W138" s="192"/>
      <c r="X138" s="192"/>
      <c r="Y138" s="192"/>
      <c r="Z138" s="192"/>
      <c r="AA138" s="191"/>
      <c r="AB138" s="192"/>
      <c r="AC138" s="192"/>
      <c r="AD138" s="192"/>
      <c r="AE138" s="192"/>
      <c r="AF138" s="192"/>
      <c r="AG138" s="192"/>
      <c r="AH138" s="154"/>
      <c r="AI138" s="154"/>
      <c r="AJ138" s="176"/>
      <c r="AK138" s="224">
        <f t="shared" si="16"/>
        <v>0</v>
      </c>
      <c r="AL138" s="217"/>
      <c r="AM138" s="218">
        <f>AK138</f>
        <v>0</v>
      </c>
      <c r="AN138" s="583"/>
      <c r="AO138" s="3"/>
      <c r="AP138" s="3"/>
      <c r="AQ138" s="3"/>
      <c r="AR138" s="3"/>
      <c r="AS138" s="3"/>
    </row>
    <row r="139" spans="3:45" ht="12.75" x14ac:dyDescent="0.2">
      <c r="C139" s="594" t="s">
        <v>63</v>
      </c>
      <c r="D139" s="648" t="s">
        <v>64</v>
      </c>
      <c r="E139" s="225" t="s">
        <v>18</v>
      </c>
      <c r="F139" s="226"/>
      <c r="G139" s="229"/>
      <c r="H139" s="229"/>
      <c r="I139" s="229"/>
      <c r="J139" s="229"/>
      <c r="K139" s="229"/>
      <c r="L139" s="229"/>
      <c r="M139" s="225"/>
      <c r="N139" s="229"/>
      <c r="O139" s="229"/>
      <c r="P139" s="229"/>
      <c r="Q139" s="229"/>
      <c r="R139" s="229"/>
      <c r="S139" s="229"/>
      <c r="T139" s="225"/>
      <c r="U139" s="229"/>
      <c r="V139" s="229"/>
      <c r="W139" s="229"/>
      <c r="X139" s="229"/>
      <c r="Y139" s="229"/>
      <c r="Z139" s="229"/>
      <c r="AA139" s="225"/>
      <c r="AB139" s="229"/>
      <c r="AC139" s="229"/>
      <c r="AD139" s="229"/>
      <c r="AE139" s="229"/>
      <c r="AF139" s="229"/>
      <c r="AG139" s="229"/>
      <c r="AH139" s="179"/>
      <c r="AI139" s="179"/>
      <c r="AJ139" s="155"/>
      <c r="AK139" s="230">
        <f t="shared" si="16"/>
        <v>0</v>
      </c>
      <c r="AL139" s="228">
        <f>AK139</f>
        <v>0</v>
      </c>
      <c r="AM139" s="221"/>
      <c r="AN139" s="618">
        <f>SUM(AL139:AM140)</f>
        <v>0</v>
      </c>
      <c r="AO139" s="3"/>
      <c r="AP139" s="3"/>
      <c r="AQ139" s="3"/>
      <c r="AR139" s="3"/>
      <c r="AS139" s="3"/>
    </row>
    <row r="140" spans="3:45" ht="12.75" x14ac:dyDescent="0.2">
      <c r="C140" s="580"/>
      <c r="D140" s="577"/>
      <c r="E140" s="191" t="s">
        <v>19</v>
      </c>
      <c r="F140" s="215"/>
      <c r="G140" s="192"/>
      <c r="H140" s="192"/>
      <c r="I140" s="192"/>
      <c r="J140" s="192"/>
      <c r="K140" s="192"/>
      <c r="L140" s="192"/>
      <c r="M140" s="191"/>
      <c r="N140" s="192"/>
      <c r="O140" s="192"/>
      <c r="P140" s="192"/>
      <c r="Q140" s="192"/>
      <c r="R140" s="192"/>
      <c r="S140" s="192"/>
      <c r="T140" s="191"/>
      <c r="U140" s="192"/>
      <c r="V140" s="192"/>
      <c r="W140" s="192"/>
      <c r="X140" s="192"/>
      <c r="Y140" s="192"/>
      <c r="Z140" s="192"/>
      <c r="AA140" s="191"/>
      <c r="AB140" s="192"/>
      <c r="AC140" s="192"/>
      <c r="AD140" s="192"/>
      <c r="AE140" s="192"/>
      <c r="AF140" s="192"/>
      <c r="AG140" s="192"/>
      <c r="AH140" s="154"/>
      <c r="AI140" s="154"/>
      <c r="AJ140" s="161"/>
      <c r="AK140" s="216">
        <f t="shared" si="16"/>
        <v>0</v>
      </c>
      <c r="AL140" s="217"/>
      <c r="AM140" s="218">
        <f>AK140</f>
        <v>0</v>
      </c>
      <c r="AN140" s="583"/>
      <c r="AO140" s="3"/>
      <c r="AP140" s="3"/>
      <c r="AQ140" s="3"/>
      <c r="AR140" s="3"/>
      <c r="AS140" s="3"/>
    </row>
    <row r="141" spans="3:45" ht="12.75" x14ac:dyDescent="0.2">
      <c r="C141" s="580"/>
      <c r="D141" s="611" t="s">
        <v>65</v>
      </c>
      <c r="E141" s="181" t="s">
        <v>18</v>
      </c>
      <c r="F141" s="197"/>
      <c r="G141" s="194"/>
      <c r="H141" s="194"/>
      <c r="I141" s="194"/>
      <c r="J141" s="219">
        <v>40</v>
      </c>
      <c r="K141" s="194"/>
      <c r="L141" s="194"/>
      <c r="M141" s="181"/>
      <c r="N141" s="194"/>
      <c r="O141" s="194"/>
      <c r="P141" s="194"/>
      <c r="Q141" s="194"/>
      <c r="R141" s="194"/>
      <c r="S141" s="194"/>
      <c r="T141" s="181"/>
      <c r="U141" s="194"/>
      <c r="V141" s="194"/>
      <c r="W141" s="194"/>
      <c r="X141" s="194"/>
      <c r="Y141" s="194"/>
      <c r="Z141" s="194"/>
      <c r="AA141" s="181"/>
      <c r="AB141" s="194"/>
      <c r="AC141" s="194"/>
      <c r="AD141" s="194"/>
      <c r="AE141" s="194"/>
      <c r="AF141" s="194"/>
      <c r="AG141" s="194"/>
      <c r="AH141" s="154"/>
      <c r="AI141" s="154"/>
      <c r="AJ141" s="161"/>
      <c r="AK141" s="213">
        <f t="shared" si="16"/>
        <v>40</v>
      </c>
      <c r="AL141" s="220">
        <f>AK141</f>
        <v>40</v>
      </c>
      <c r="AM141" s="221"/>
      <c r="AN141" s="618">
        <f>SUM(AL141:AM142)</f>
        <v>40</v>
      </c>
      <c r="AO141" s="3"/>
      <c r="AP141" s="3"/>
      <c r="AQ141" s="3"/>
      <c r="AR141" s="3"/>
      <c r="AS141" s="3"/>
    </row>
    <row r="142" spans="3:45" ht="12.75" x14ac:dyDescent="0.2">
      <c r="C142" s="581"/>
      <c r="D142" s="585"/>
      <c r="E142" s="222" t="s">
        <v>19</v>
      </c>
      <c r="F142" s="223"/>
      <c r="G142" s="192"/>
      <c r="H142" s="192"/>
      <c r="I142" s="192"/>
      <c r="J142" s="192"/>
      <c r="K142" s="192"/>
      <c r="L142" s="192"/>
      <c r="M142" s="191"/>
      <c r="N142" s="192"/>
      <c r="O142" s="192"/>
      <c r="P142" s="192"/>
      <c r="Q142" s="192"/>
      <c r="R142" s="192"/>
      <c r="S142" s="192"/>
      <c r="T142" s="191"/>
      <c r="U142" s="192"/>
      <c r="V142" s="192"/>
      <c r="W142" s="192"/>
      <c r="X142" s="192"/>
      <c r="Y142" s="192"/>
      <c r="Z142" s="192"/>
      <c r="AA142" s="191"/>
      <c r="AB142" s="192"/>
      <c r="AC142" s="192"/>
      <c r="AD142" s="192"/>
      <c r="AE142" s="192"/>
      <c r="AF142" s="192"/>
      <c r="AG142" s="192"/>
      <c r="AH142" s="154"/>
      <c r="AI142" s="154"/>
      <c r="AJ142" s="176"/>
      <c r="AK142" s="224">
        <f t="shared" si="16"/>
        <v>0</v>
      </c>
      <c r="AL142" s="217"/>
      <c r="AM142" s="218">
        <f>AK142</f>
        <v>0</v>
      </c>
      <c r="AN142" s="583"/>
      <c r="AO142" s="3"/>
      <c r="AP142" s="3"/>
      <c r="AQ142" s="3"/>
      <c r="AR142" s="3"/>
      <c r="AS142" s="3"/>
    </row>
    <row r="143" spans="3:45" ht="12.75" x14ac:dyDescent="0.2">
      <c r="C143" s="238" t="s">
        <v>66</v>
      </c>
      <c r="D143" s="239"/>
      <c r="E143" s="240"/>
      <c r="F143" s="241"/>
      <c r="G143" s="242"/>
      <c r="H143" s="239"/>
      <c r="I143" s="239"/>
      <c r="J143" s="239"/>
      <c r="K143" s="239"/>
      <c r="L143" s="239"/>
      <c r="M143" s="240"/>
      <c r="N143" s="239"/>
      <c r="O143" s="239"/>
      <c r="P143" s="239"/>
      <c r="Q143" s="239"/>
      <c r="R143" s="239"/>
      <c r="S143" s="239"/>
      <c r="T143" s="240"/>
      <c r="U143" s="239"/>
      <c r="V143" s="239"/>
      <c r="W143" s="239"/>
      <c r="X143" s="239"/>
      <c r="Y143" s="239"/>
      <c r="Z143" s="239"/>
      <c r="AA143" s="240"/>
      <c r="AB143" s="239"/>
      <c r="AC143" s="239"/>
      <c r="AD143" s="239"/>
      <c r="AE143" s="239"/>
      <c r="AF143" s="239"/>
      <c r="AG143" s="242"/>
      <c r="AH143" s="179"/>
      <c r="AI143" s="179"/>
      <c r="AJ143" s="243"/>
      <c r="AK143" s="244">
        <f t="shared" si="16"/>
        <v>0</v>
      </c>
      <c r="AL143" s="245"/>
      <c r="AM143" s="239"/>
      <c r="AN143" s="240"/>
      <c r="AO143" s="3"/>
      <c r="AP143" s="3"/>
      <c r="AQ143" s="3"/>
      <c r="AR143" s="3"/>
      <c r="AS143" s="3"/>
    </row>
    <row r="144" spans="3:45" ht="12.75" x14ac:dyDescent="0.2">
      <c r="C144" s="246" t="s">
        <v>32</v>
      </c>
      <c r="D144" s="192"/>
      <c r="E144" s="191"/>
      <c r="F144" s="247">
        <f t="shared" ref="F144:AM144" si="21">SUM(F91:F142)</f>
        <v>0</v>
      </c>
      <c r="G144" s="248">
        <f t="shared" si="21"/>
        <v>38.57</v>
      </c>
      <c r="H144" s="195">
        <f t="shared" si="21"/>
        <v>0</v>
      </c>
      <c r="I144" s="195">
        <f t="shared" si="21"/>
        <v>16.47</v>
      </c>
      <c r="J144" s="195">
        <f t="shared" si="21"/>
        <v>811.28</v>
      </c>
      <c r="K144" s="195">
        <f t="shared" si="21"/>
        <v>0</v>
      </c>
      <c r="L144" s="195">
        <f t="shared" si="21"/>
        <v>27.799999999999997</v>
      </c>
      <c r="M144" s="216">
        <f t="shared" si="21"/>
        <v>21.57</v>
      </c>
      <c r="N144" s="195">
        <f t="shared" si="21"/>
        <v>29.72</v>
      </c>
      <c r="O144" s="195">
        <f t="shared" si="21"/>
        <v>23.740000000000002</v>
      </c>
      <c r="P144" s="195">
        <f t="shared" si="21"/>
        <v>0</v>
      </c>
      <c r="Q144" s="195">
        <f t="shared" si="21"/>
        <v>0</v>
      </c>
      <c r="R144" s="195">
        <f t="shared" si="21"/>
        <v>31.980000000000004</v>
      </c>
      <c r="S144" s="195">
        <f t="shared" si="21"/>
        <v>38.61</v>
      </c>
      <c r="T144" s="216">
        <f t="shared" si="21"/>
        <v>80.55</v>
      </c>
      <c r="U144" s="195">
        <f t="shared" si="21"/>
        <v>7.97</v>
      </c>
      <c r="V144" s="195">
        <f t="shared" si="21"/>
        <v>31.02</v>
      </c>
      <c r="W144" s="195">
        <f t="shared" si="21"/>
        <v>0</v>
      </c>
      <c r="X144" s="195">
        <f t="shared" si="21"/>
        <v>0</v>
      </c>
      <c r="Y144" s="195">
        <f t="shared" si="21"/>
        <v>87.26</v>
      </c>
      <c r="Z144" s="195">
        <f t="shared" si="21"/>
        <v>122</v>
      </c>
      <c r="AA144" s="216">
        <f t="shared" si="21"/>
        <v>12.329999999999998</v>
      </c>
      <c r="AB144" s="195">
        <f t="shared" si="21"/>
        <v>133.5</v>
      </c>
      <c r="AC144" s="195">
        <f t="shared" si="21"/>
        <v>40</v>
      </c>
      <c r="AD144" s="195">
        <f t="shared" si="21"/>
        <v>0</v>
      </c>
      <c r="AE144" s="195">
        <f t="shared" si="21"/>
        <v>63.86</v>
      </c>
      <c r="AF144" s="195">
        <f t="shared" si="21"/>
        <v>0</v>
      </c>
      <c r="AG144" s="248">
        <f t="shared" si="21"/>
        <v>119.65</v>
      </c>
      <c r="AH144" s="249">
        <f t="shared" si="21"/>
        <v>0</v>
      </c>
      <c r="AI144" s="249">
        <f t="shared" si="21"/>
        <v>0</v>
      </c>
      <c r="AJ144" s="250">
        <f t="shared" si="21"/>
        <v>0</v>
      </c>
      <c r="AK144" s="251">
        <f t="shared" si="21"/>
        <v>1737.8799999999999</v>
      </c>
      <c r="AL144" s="200">
        <f t="shared" si="21"/>
        <v>1702.4199999999998</v>
      </c>
      <c r="AM144" s="195">
        <f t="shared" si="21"/>
        <v>35.46</v>
      </c>
      <c r="AN144" s="135"/>
      <c r="AO144" s="3"/>
      <c r="AP144" s="3"/>
      <c r="AQ144" s="3"/>
      <c r="AR144" s="3"/>
      <c r="AS144" s="3"/>
    </row>
    <row r="145" spans="3:45" ht="16.5" x14ac:dyDescent="0.2">
      <c r="C145" s="135"/>
      <c r="D145" s="135"/>
      <c r="E145" s="135"/>
      <c r="F145" s="252">
        <f>SUM(F144)</f>
        <v>0</v>
      </c>
      <c r="G145" s="614">
        <f>SUM(G144:M144)</f>
        <v>915.68999999999994</v>
      </c>
      <c r="H145" s="585"/>
      <c r="I145" s="585"/>
      <c r="J145" s="585"/>
      <c r="K145" s="585"/>
      <c r="L145" s="585"/>
      <c r="M145" s="583"/>
      <c r="N145" s="615">
        <f>SUM(N144:T144)</f>
        <v>204.6</v>
      </c>
      <c r="O145" s="577"/>
      <c r="P145" s="577"/>
      <c r="Q145" s="577"/>
      <c r="R145" s="577"/>
      <c r="S145" s="577"/>
      <c r="T145" s="607"/>
      <c r="U145" s="615">
        <f>SUM(U144:AA144)</f>
        <v>260.58</v>
      </c>
      <c r="V145" s="577"/>
      <c r="W145" s="577"/>
      <c r="X145" s="577"/>
      <c r="Y145" s="577"/>
      <c r="Z145" s="577"/>
      <c r="AA145" s="607"/>
      <c r="AB145" s="614">
        <f>SUM(AB144:AG144)</f>
        <v>357.01</v>
      </c>
      <c r="AC145" s="585"/>
      <c r="AD145" s="585"/>
      <c r="AE145" s="585"/>
      <c r="AF145" s="585"/>
      <c r="AG145" s="585"/>
      <c r="AH145" s="253"/>
      <c r="AI145" s="253"/>
      <c r="AJ145" s="254"/>
      <c r="AK145" s="135"/>
      <c r="AL145" s="135"/>
      <c r="AM145" s="135"/>
      <c r="AN145" s="135"/>
      <c r="AO145" s="3"/>
      <c r="AP145" s="3"/>
      <c r="AQ145" s="3"/>
      <c r="AR145" s="3"/>
      <c r="AS145" s="3"/>
    </row>
    <row r="146" spans="3:45" ht="12.75" x14ac:dyDescent="0.2"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</row>
    <row r="147" spans="3:45" ht="12.75" x14ac:dyDescent="0.2">
      <c r="C147" s="3"/>
      <c r="D147" s="3"/>
      <c r="E147" s="3"/>
      <c r="F147" s="578" t="s">
        <v>8</v>
      </c>
      <c r="G147" s="577"/>
      <c r="H147" s="577"/>
      <c r="I147" s="577"/>
      <c r="J147" s="577"/>
      <c r="K147" s="577"/>
      <c r="L147" s="577"/>
      <c r="M147" s="577"/>
      <c r="N147" s="577"/>
      <c r="O147" s="577"/>
      <c r="P147" s="577"/>
      <c r="Q147" s="577"/>
      <c r="R147" s="577"/>
      <c r="S147" s="577"/>
      <c r="T147" s="577"/>
      <c r="U147" s="577"/>
      <c r="V147" s="577"/>
      <c r="W147" s="577"/>
      <c r="X147" s="577"/>
      <c r="Y147" s="577"/>
      <c r="Z147" s="577"/>
      <c r="AA147" s="577"/>
      <c r="AB147" s="577"/>
      <c r="AC147" s="577"/>
      <c r="AD147" s="577"/>
      <c r="AE147" s="577"/>
      <c r="AF147" s="577"/>
      <c r="AG147" s="577"/>
      <c r="AH147" s="577"/>
      <c r="AI147" s="577"/>
      <c r="AJ147" s="577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3:45" ht="12.75" x14ac:dyDescent="0.2">
      <c r="C148" s="3"/>
      <c r="D148" s="3"/>
      <c r="E148" s="5" t="s">
        <v>9</v>
      </c>
      <c r="F148" s="255" t="s">
        <v>14</v>
      </c>
      <c r="G148" s="7" t="s">
        <v>15</v>
      </c>
      <c r="H148" s="7" t="s">
        <v>16</v>
      </c>
      <c r="I148" s="8" t="s">
        <v>10</v>
      </c>
      <c r="J148" s="7" t="s">
        <v>11</v>
      </c>
      <c r="K148" s="7" t="s">
        <v>12</v>
      </c>
      <c r="L148" s="7" t="s">
        <v>13</v>
      </c>
      <c r="M148" s="7" t="s">
        <v>14</v>
      </c>
      <c r="N148" s="7" t="s">
        <v>15</v>
      </c>
      <c r="O148" s="7" t="s">
        <v>16</v>
      </c>
      <c r="P148" s="8" t="s">
        <v>10</v>
      </c>
      <c r="Q148" s="7" t="s">
        <v>11</v>
      </c>
      <c r="R148" s="7" t="s">
        <v>12</v>
      </c>
      <c r="S148" s="7" t="s">
        <v>13</v>
      </c>
      <c r="T148" s="7" t="s">
        <v>14</v>
      </c>
      <c r="U148" s="7" t="s">
        <v>15</v>
      </c>
      <c r="V148" s="7" t="s">
        <v>16</v>
      </c>
      <c r="W148" s="8" t="s">
        <v>10</v>
      </c>
      <c r="X148" s="7" t="s">
        <v>11</v>
      </c>
      <c r="Y148" s="7" t="s">
        <v>12</v>
      </c>
      <c r="Z148" s="7" t="s">
        <v>13</v>
      </c>
      <c r="AA148" s="7" t="s">
        <v>14</v>
      </c>
      <c r="AB148" s="7" t="s">
        <v>15</v>
      </c>
      <c r="AC148" s="7" t="s">
        <v>16</v>
      </c>
      <c r="AD148" s="8" t="s">
        <v>10</v>
      </c>
      <c r="AE148" s="7" t="s">
        <v>11</v>
      </c>
      <c r="AF148" s="7" t="s">
        <v>12</v>
      </c>
      <c r="AG148" s="7" t="s">
        <v>13</v>
      </c>
      <c r="AH148" s="7" t="s">
        <v>14</v>
      </c>
      <c r="AI148" s="7" t="s">
        <v>15</v>
      </c>
      <c r="AJ148" s="8" t="s">
        <v>16</v>
      </c>
      <c r="AK148" s="9"/>
      <c r="AL148" s="10"/>
      <c r="AM148" s="9"/>
      <c r="AN148" s="11"/>
      <c r="AO148" s="3"/>
      <c r="AP148" s="10"/>
      <c r="AQ148" s="12" t="s">
        <v>17</v>
      </c>
      <c r="AR148" s="12" t="s">
        <v>18</v>
      </c>
      <c r="AS148" s="12" t="s">
        <v>19</v>
      </c>
    </row>
    <row r="149" spans="3:45" ht="12.75" x14ac:dyDescent="0.2">
      <c r="C149" s="3"/>
      <c r="D149" s="3"/>
      <c r="E149" s="5" t="s">
        <v>20</v>
      </c>
      <c r="F149" s="256">
        <v>1</v>
      </c>
      <c r="G149" s="14">
        <v>2</v>
      </c>
      <c r="H149" s="14">
        <v>3</v>
      </c>
      <c r="I149" s="16">
        <v>4</v>
      </c>
      <c r="J149" s="14">
        <v>5</v>
      </c>
      <c r="K149" s="14">
        <v>6</v>
      </c>
      <c r="L149" s="14">
        <v>7</v>
      </c>
      <c r="M149" s="14">
        <v>8</v>
      </c>
      <c r="N149" s="14">
        <v>9</v>
      </c>
      <c r="O149" s="14">
        <v>10</v>
      </c>
      <c r="P149" s="16">
        <v>11</v>
      </c>
      <c r="Q149" s="14">
        <v>12</v>
      </c>
      <c r="R149" s="14">
        <v>13</v>
      </c>
      <c r="S149" s="14">
        <v>14</v>
      </c>
      <c r="T149" s="14">
        <v>15</v>
      </c>
      <c r="U149" s="14">
        <v>16</v>
      </c>
      <c r="V149" s="14">
        <v>17</v>
      </c>
      <c r="W149" s="16">
        <v>18</v>
      </c>
      <c r="X149" s="14">
        <v>19</v>
      </c>
      <c r="Y149" s="14">
        <v>20</v>
      </c>
      <c r="Z149" s="14">
        <v>21</v>
      </c>
      <c r="AA149" s="14">
        <v>22</v>
      </c>
      <c r="AB149" s="14">
        <v>23</v>
      </c>
      <c r="AC149" s="14">
        <v>24</v>
      </c>
      <c r="AD149" s="16">
        <v>25</v>
      </c>
      <c r="AE149" s="14">
        <v>26</v>
      </c>
      <c r="AF149" s="14">
        <v>27</v>
      </c>
      <c r="AG149" s="14">
        <v>28</v>
      </c>
      <c r="AH149" s="14">
        <v>29</v>
      </c>
      <c r="AI149" s="17">
        <v>30</v>
      </c>
      <c r="AJ149" s="18">
        <v>31</v>
      </c>
      <c r="AK149" s="5" t="s">
        <v>21</v>
      </c>
      <c r="AL149" s="10" t="s">
        <v>18</v>
      </c>
      <c r="AM149" s="9" t="s">
        <v>19</v>
      </c>
      <c r="AN149" s="11" t="s">
        <v>22</v>
      </c>
      <c r="AO149" s="3"/>
      <c r="AP149" s="12" t="s">
        <v>23</v>
      </c>
      <c r="AQ149" s="19">
        <f>AK162-AK216</f>
        <v>-1717.0100000000002</v>
      </c>
      <c r="AR149" s="19">
        <f t="shared" ref="AR149:AS149" si="22">(AL162-AL216)</f>
        <v>-261.01</v>
      </c>
      <c r="AS149" s="19">
        <f t="shared" si="22"/>
        <v>-1456</v>
      </c>
    </row>
    <row r="150" spans="3:45" ht="12.75" x14ac:dyDescent="0.2">
      <c r="C150" s="579" t="s">
        <v>24</v>
      </c>
      <c r="D150" s="20" t="s">
        <v>25</v>
      </c>
      <c r="E150" s="21" t="s">
        <v>18</v>
      </c>
      <c r="F150" s="257"/>
      <c r="G150" s="10"/>
      <c r="H150" s="10"/>
      <c r="I150" s="31"/>
      <c r="J150" s="258">
        <v>833.46</v>
      </c>
      <c r="K150" s="10"/>
      <c r="L150" s="10"/>
      <c r="M150" s="10"/>
      <c r="N150" s="10"/>
      <c r="O150" s="10"/>
      <c r="P150" s="31"/>
      <c r="Q150" s="10"/>
      <c r="R150" s="10"/>
      <c r="S150" s="10"/>
      <c r="T150" s="10"/>
      <c r="U150" s="10"/>
      <c r="V150" s="10"/>
      <c r="W150" s="31"/>
      <c r="X150" s="41"/>
      <c r="Y150" s="258">
        <v>630</v>
      </c>
      <c r="Z150" s="10"/>
      <c r="AA150" s="10"/>
      <c r="AB150" s="10"/>
      <c r="AC150" s="10"/>
      <c r="AD150" s="31"/>
      <c r="AE150" s="10"/>
      <c r="AF150" s="10"/>
      <c r="AG150" s="10"/>
      <c r="AH150" s="41"/>
      <c r="AI150" s="10"/>
      <c r="AJ150" s="21"/>
      <c r="AK150" s="27">
        <f t="shared" ref="AK150:AK161" si="23">SUM(F150:AJ150)</f>
        <v>1463.46</v>
      </c>
      <c r="AL150" s="28">
        <f t="shared" ref="AL150:AL151" si="24">AK150</f>
        <v>1463.46</v>
      </c>
      <c r="AM150" s="9"/>
      <c r="AN150" s="29">
        <f>AL150</f>
        <v>1463.46</v>
      </c>
      <c r="AO150" s="3"/>
      <c r="AP150" s="3"/>
      <c r="AQ150" s="3"/>
      <c r="AR150" s="3"/>
      <c r="AS150" s="3"/>
    </row>
    <row r="151" spans="3:45" ht="12.75" x14ac:dyDescent="0.2">
      <c r="C151" s="580"/>
      <c r="D151" s="576" t="s">
        <v>26</v>
      </c>
      <c r="E151" s="31" t="s">
        <v>18</v>
      </c>
      <c r="F151" s="45"/>
      <c r="G151" s="10"/>
      <c r="H151" s="10"/>
      <c r="I151" s="31"/>
      <c r="J151" s="10"/>
      <c r="K151" s="10"/>
      <c r="L151" s="10"/>
      <c r="M151" s="10"/>
      <c r="N151" s="10"/>
      <c r="O151" s="10"/>
      <c r="P151" s="31"/>
      <c r="Q151" s="10"/>
      <c r="R151" s="10"/>
      <c r="S151" s="10"/>
      <c r="T151" s="10"/>
      <c r="U151" s="10"/>
      <c r="V151" s="10"/>
      <c r="W151" s="31"/>
      <c r="X151" s="10"/>
      <c r="Y151" s="10"/>
      <c r="Z151" s="10"/>
      <c r="AA151" s="10"/>
      <c r="AB151" s="10"/>
      <c r="AC151" s="10"/>
      <c r="AD151" s="31"/>
      <c r="AE151" s="10"/>
      <c r="AF151" s="10"/>
      <c r="AG151" s="10"/>
      <c r="AH151" s="10"/>
      <c r="AI151" s="10"/>
      <c r="AJ151" s="31"/>
      <c r="AK151" s="33">
        <f t="shared" si="23"/>
        <v>0</v>
      </c>
      <c r="AL151" s="34">
        <f t="shared" si="24"/>
        <v>0</v>
      </c>
      <c r="AM151" s="35"/>
      <c r="AN151" s="582">
        <f>SUM(AL151:AM152)</f>
        <v>0</v>
      </c>
      <c r="AO151" s="3"/>
      <c r="AP151" s="3"/>
      <c r="AQ151" s="3"/>
      <c r="AR151" s="3"/>
      <c r="AS151" s="3"/>
    </row>
    <row r="152" spans="3:45" ht="12.75" x14ac:dyDescent="0.2">
      <c r="C152" s="580"/>
      <c r="D152" s="577"/>
      <c r="E152" s="36" t="s">
        <v>19</v>
      </c>
      <c r="F152" s="259"/>
      <c r="G152" s="9"/>
      <c r="H152" s="9"/>
      <c r="I152" s="36"/>
      <c r="J152" s="9"/>
      <c r="K152" s="9"/>
      <c r="L152" s="9"/>
      <c r="M152" s="9"/>
      <c r="N152" s="9"/>
      <c r="O152" s="9"/>
      <c r="P152" s="36"/>
      <c r="Q152" s="9"/>
      <c r="R152" s="9"/>
      <c r="S152" s="9"/>
      <c r="T152" s="9"/>
      <c r="U152" s="9"/>
      <c r="V152" s="9"/>
      <c r="W152" s="36"/>
      <c r="X152" s="9"/>
      <c r="Y152" s="9"/>
      <c r="Z152" s="9"/>
      <c r="AA152" s="9"/>
      <c r="AB152" s="9"/>
      <c r="AC152" s="9"/>
      <c r="AD152" s="36"/>
      <c r="AE152" s="9"/>
      <c r="AF152" s="9"/>
      <c r="AG152" s="9"/>
      <c r="AH152" s="9"/>
      <c r="AI152" s="9"/>
      <c r="AJ152" s="36"/>
      <c r="AK152" s="38">
        <f t="shared" si="23"/>
        <v>0</v>
      </c>
      <c r="AL152" s="39"/>
      <c r="AM152" s="40">
        <f t="shared" ref="AM152:AM153" si="25">AK152</f>
        <v>0</v>
      </c>
      <c r="AN152" s="583"/>
      <c r="AO152" s="3"/>
      <c r="AP152" s="3"/>
      <c r="AQ152" s="3"/>
      <c r="AR152" s="3"/>
      <c r="AS152" s="3"/>
    </row>
    <row r="153" spans="3:45" ht="12.75" x14ac:dyDescent="0.2">
      <c r="C153" s="580"/>
      <c r="D153" s="30" t="s">
        <v>27</v>
      </c>
      <c r="E153" s="36" t="s">
        <v>19</v>
      </c>
      <c r="F153" s="259"/>
      <c r="G153" s="9"/>
      <c r="H153" s="9"/>
      <c r="I153" s="36"/>
      <c r="J153" s="9"/>
      <c r="K153" s="9"/>
      <c r="L153" s="9"/>
      <c r="M153" s="9"/>
      <c r="N153" s="9"/>
      <c r="O153" s="9"/>
      <c r="P153" s="36"/>
      <c r="Q153" s="9"/>
      <c r="R153" s="9"/>
      <c r="S153" s="9"/>
      <c r="T153" s="9"/>
      <c r="U153" s="9"/>
      <c r="V153" s="9"/>
      <c r="W153" s="36"/>
      <c r="X153" s="9"/>
      <c r="Y153" s="9"/>
      <c r="Z153" s="9"/>
      <c r="AA153" s="9"/>
      <c r="AB153" s="9"/>
      <c r="AC153" s="9"/>
      <c r="AD153" s="36"/>
      <c r="AE153" s="9"/>
      <c r="AF153" s="9"/>
      <c r="AG153" s="9"/>
      <c r="AH153" s="9"/>
      <c r="AI153" s="9"/>
      <c r="AJ153" s="36"/>
      <c r="AK153" s="38">
        <f t="shared" si="23"/>
        <v>0</v>
      </c>
      <c r="AL153" s="10"/>
      <c r="AM153" s="19">
        <f t="shared" si="25"/>
        <v>0</v>
      </c>
      <c r="AN153" s="29">
        <f>AM153</f>
        <v>0</v>
      </c>
      <c r="AO153" s="3"/>
      <c r="AP153" s="3"/>
      <c r="AQ153" s="3"/>
      <c r="AR153" s="3"/>
      <c r="AS153" s="3"/>
    </row>
    <row r="154" spans="3:45" ht="12.75" x14ac:dyDescent="0.2">
      <c r="C154" s="580"/>
      <c r="D154" s="576" t="s">
        <v>28</v>
      </c>
      <c r="E154" s="31" t="s">
        <v>18</v>
      </c>
      <c r="F154" s="45"/>
      <c r="G154" s="10"/>
      <c r="H154" s="10"/>
      <c r="I154" s="31"/>
      <c r="J154" s="10"/>
      <c r="K154" s="10"/>
      <c r="L154" s="10"/>
      <c r="M154" s="10"/>
      <c r="N154" s="10"/>
      <c r="O154" s="10"/>
      <c r="P154" s="31"/>
      <c r="Q154" s="41">
        <v>18</v>
      </c>
      <c r="R154" s="10"/>
      <c r="S154" s="10"/>
      <c r="T154" s="10"/>
      <c r="U154" s="41">
        <v>10</v>
      </c>
      <c r="V154" s="10"/>
      <c r="W154" s="31"/>
      <c r="X154" s="10"/>
      <c r="Y154" s="10"/>
      <c r="Z154" s="10"/>
      <c r="AA154" s="10"/>
      <c r="AB154" s="10"/>
      <c r="AC154" s="10"/>
      <c r="AD154" s="33"/>
      <c r="AE154" s="10"/>
      <c r="AF154" s="41"/>
      <c r="AG154" s="10"/>
      <c r="AH154" s="10"/>
      <c r="AI154" s="10"/>
      <c r="AJ154" s="31"/>
      <c r="AK154" s="33">
        <f t="shared" si="23"/>
        <v>28</v>
      </c>
      <c r="AL154" s="34">
        <f>AK154</f>
        <v>28</v>
      </c>
      <c r="AM154" s="35"/>
      <c r="AN154" s="582">
        <f>SUM(AL154:AM155)</f>
        <v>135</v>
      </c>
      <c r="AO154" s="3"/>
      <c r="AP154" s="3"/>
      <c r="AQ154" s="3"/>
      <c r="AR154" s="3"/>
      <c r="AS154" s="3"/>
    </row>
    <row r="155" spans="3:45" ht="12.75" x14ac:dyDescent="0.2">
      <c r="C155" s="580"/>
      <c r="D155" s="577"/>
      <c r="E155" s="36" t="s">
        <v>19</v>
      </c>
      <c r="F155" s="259"/>
      <c r="G155" s="19"/>
      <c r="H155" s="9"/>
      <c r="I155" s="36"/>
      <c r="J155" s="9"/>
      <c r="K155" s="9"/>
      <c r="L155" s="42">
        <v>15</v>
      </c>
      <c r="M155" s="42">
        <v>5</v>
      </c>
      <c r="N155" s="42">
        <v>20</v>
      </c>
      <c r="O155" s="9"/>
      <c r="P155" s="36"/>
      <c r="Q155" s="42">
        <v>2</v>
      </c>
      <c r="R155" s="9"/>
      <c r="S155" s="9"/>
      <c r="T155" s="19"/>
      <c r="U155" s="9"/>
      <c r="V155" s="19"/>
      <c r="W155" s="36"/>
      <c r="X155" s="9"/>
      <c r="Y155" s="9"/>
      <c r="Z155" s="9"/>
      <c r="AA155" s="9"/>
      <c r="AB155" s="19"/>
      <c r="AC155" s="9"/>
      <c r="AD155" s="43">
        <v>15</v>
      </c>
      <c r="AE155" s="9"/>
      <c r="AF155" s="9"/>
      <c r="AG155" s="9"/>
      <c r="AH155" s="9"/>
      <c r="AI155" s="42">
        <v>50</v>
      </c>
      <c r="AJ155" s="36"/>
      <c r="AK155" s="38">
        <f t="shared" si="23"/>
        <v>107</v>
      </c>
      <c r="AL155" s="39"/>
      <c r="AM155" s="40">
        <f>AK155</f>
        <v>107</v>
      </c>
      <c r="AN155" s="583"/>
      <c r="AO155" s="3"/>
      <c r="AP155" s="3"/>
      <c r="AQ155" s="3"/>
      <c r="AR155" s="3"/>
      <c r="AS155" s="3"/>
    </row>
    <row r="156" spans="3:45" ht="12.75" x14ac:dyDescent="0.2">
      <c r="C156" s="580"/>
      <c r="D156" s="576" t="s">
        <v>29</v>
      </c>
      <c r="E156" s="31" t="s">
        <v>18</v>
      </c>
      <c r="F156" s="260"/>
      <c r="G156" s="10"/>
      <c r="H156" s="10"/>
      <c r="I156" s="31"/>
      <c r="J156" s="41">
        <v>30.62</v>
      </c>
      <c r="K156" s="10"/>
      <c r="L156" s="10"/>
      <c r="M156" s="10"/>
      <c r="N156" s="10"/>
      <c r="O156" s="10"/>
      <c r="P156" s="31"/>
      <c r="Q156" s="10"/>
      <c r="R156" s="10"/>
      <c r="S156" s="41"/>
      <c r="T156" s="10"/>
      <c r="U156" s="10"/>
      <c r="V156" s="10"/>
      <c r="W156" s="31"/>
      <c r="X156" s="10"/>
      <c r="Y156" s="10"/>
      <c r="Z156" s="10"/>
      <c r="AA156" s="10"/>
      <c r="AB156" s="10"/>
      <c r="AC156" s="10"/>
      <c r="AD156" s="33"/>
      <c r="AE156" s="10"/>
      <c r="AF156" s="10"/>
      <c r="AG156" s="41">
        <v>95</v>
      </c>
      <c r="AH156" s="10"/>
      <c r="AI156" s="10"/>
      <c r="AJ156" s="31"/>
      <c r="AK156" s="33">
        <f t="shared" si="23"/>
        <v>125.62</v>
      </c>
      <c r="AL156" s="34">
        <f>AK156</f>
        <v>125.62</v>
      </c>
      <c r="AM156" s="35"/>
      <c r="AN156" s="582">
        <f>SUM(AL156:AM157)</f>
        <v>125.62</v>
      </c>
      <c r="AO156" s="3"/>
      <c r="AP156" s="3"/>
      <c r="AQ156" s="3"/>
      <c r="AR156" s="3"/>
      <c r="AS156" s="3"/>
    </row>
    <row r="157" spans="3:45" ht="12.75" x14ac:dyDescent="0.2">
      <c r="C157" s="580"/>
      <c r="D157" s="577"/>
      <c r="E157" s="36" t="s">
        <v>19</v>
      </c>
      <c r="F157" s="259"/>
      <c r="G157" s="9"/>
      <c r="H157" s="9"/>
      <c r="I157" s="36"/>
      <c r="J157" s="9"/>
      <c r="K157" s="9"/>
      <c r="L157" s="9"/>
      <c r="M157" s="9"/>
      <c r="N157" s="9"/>
      <c r="O157" s="9"/>
      <c r="P157" s="36"/>
      <c r="Q157" s="9"/>
      <c r="R157" s="9"/>
      <c r="S157" s="9"/>
      <c r="T157" s="9"/>
      <c r="U157" s="9"/>
      <c r="V157" s="9"/>
      <c r="W157" s="36"/>
      <c r="X157" s="9"/>
      <c r="Y157" s="9"/>
      <c r="Z157" s="9"/>
      <c r="AA157" s="9"/>
      <c r="AB157" s="9"/>
      <c r="AC157" s="9"/>
      <c r="AD157" s="36"/>
      <c r="AE157" s="9"/>
      <c r="AF157" s="9"/>
      <c r="AG157" s="9"/>
      <c r="AH157" s="9"/>
      <c r="AI157" s="9"/>
      <c r="AJ157" s="36"/>
      <c r="AK157" s="38">
        <f t="shared" si="23"/>
        <v>0</v>
      </c>
      <c r="AL157" s="39"/>
      <c r="AM157" s="40">
        <f>AK157</f>
        <v>0</v>
      </c>
      <c r="AN157" s="583"/>
      <c r="AO157" s="3"/>
      <c r="AP157" s="3"/>
      <c r="AQ157" s="3"/>
      <c r="AR157" s="3"/>
      <c r="AS157" s="3"/>
    </row>
    <row r="158" spans="3:45" ht="12.75" x14ac:dyDescent="0.2">
      <c r="C158" s="580"/>
      <c r="D158" s="576" t="s">
        <v>30</v>
      </c>
      <c r="E158" s="31" t="s">
        <v>18</v>
      </c>
      <c r="F158" s="45"/>
      <c r="G158" s="10"/>
      <c r="H158" s="10"/>
      <c r="I158" s="31"/>
      <c r="J158" s="10"/>
      <c r="K158" s="10"/>
      <c r="L158" s="10"/>
      <c r="M158" s="10"/>
      <c r="N158" s="10"/>
      <c r="O158" s="10"/>
      <c r="P158" s="31"/>
      <c r="Q158" s="10"/>
      <c r="R158" s="10"/>
      <c r="S158" s="10"/>
      <c r="T158" s="10"/>
      <c r="U158" s="10"/>
      <c r="V158" s="10"/>
      <c r="W158" s="31"/>
      <c r="X158" s="10"/>
      <c r="Y158" s="10"/>
      <c r="Z158" s="10"/>
      <c r="AA158" s="10"/>
      <c r="AB158" s="10"/>
      <c r="AC158" s="10"/>
      <c r="AD158" s="31"/>
      <c r="AE158" s="10"/>
      <c r="AF158" s="10"/>
      <c r="AG158" s="10"/>
      <c r="AH158" s="10"/>
      <c r="AI158" s="10"/>
      <c r="AJ158" s="31"/>
      <c r="AK158" s="33">
        <f t="shared" si="23"/>
        <v>0</v>
      </c>
      <c r="AL158" s="34">
        <f>AK158</f>
        <v>0</v>
      </c>
      <c r="AM158" s="9"/>
      <c r="AN158" s="582">
        <f>SUM(AL158:AM159)</f>
        <v>0</v>
      </c>
      <c r="AO158" s="3"/>
      <c r="AP158" s="3"/>
      <c r="AQ158" s="3"/>
      <c r="AR158" s="3"/>
      <c r="AS158" s="3"/>
    </row>
    <row r="159" spans="3:45" ht="12.75" x14ac:dyDescent="0.2">
      <c r="C159" s="580"/>
      <c r="D159" s="577"/>
      <c r="E159" s="36" t="s">
        <v>19</v>
      </c>
      <c r="F159" s="259"/>
      <c r="G159" s="9"/>
      <c r="H159" s="9"/>
      <c r="I159" s="36"/>
      <c r="J159" s="9"/>
      <c r="K159" s="9"/>
      <c r="L159" s="9"/>
      <c r="M159" s="9"/>
      <c r="N159" s="9"/>
      <c r="O159" s="9"/>
      <c r="P159" s="36"/>
      <c r="Q159" s="9"/>
      <c r="R159" s="9"/>
      <c r="S159" s="9"/>
      <c r="T159" s="9"/>
      <c r="U159" s="9"/>
      <c r="V159" s="9"/>
      <c r="W159" s="36"/>
      <c r="X159" s="9"/>
      <c r="Y159" s="9"/>
      <c r="Z159" s="9"/>
      <c r="AA159" s="9"/>
      <c r="AB159" s="9"/>
      <c r="AC159" s="9"/>
      <c r="AD159" s="36"/>
      <c r="AE159" s="9"/>
      <c r="AF159" s="9"/>
      <c r="AG159" s="9"/>
      <c r="AH159" s="9"/>
      <c r="AI159" s="9"/>
      <c r="AJ159" s="36"/>
      <c r="AK159" s="38">
        <f t="shared" si="23"/>
        <v>0</v>
      </c>
      <c r="AL159" s="45"/>
      <c r="AM159" s="40">
        <f>AK159</f>
        <v>0</v>
      </c>
      <c r="AN159" s="583"/>
      <c r="AO159" s="3"/>
      <c r="AP159" s="3"/>
      <c r="AQ159" s="3"/>
      <c r="AR159" s="3"/>
      <c r="AS159" s="3"/>
    </row>
    <row r="160" spans="3:45" ht="12.75" x14ac:dyDescent="0.2">
      <c r="C160" s="580"/>
      <c r="D160" s="576" t="s">
        <v>31</v>
      </c>
      <c r="E160" s="31" t="s">
        <v>18</v>
      </c>
      <c r="F160" s="45"/>
      <c r="G160" s="10"/>
      <c r="H160" s="10"/>
      <c r="I160" s="31"/>
      <c r="J160" s="10"/>
      <c r="K160" s="10"/>
      <c r="L160" s="10"/>
      <c r="M160" s="10"/>
      <c r="N160" s="10"/>
      <c r="O160" s="10"/>
      <c r="P160" s="31"/>
      <c r="Q160" s="10"/>
      <c r="R160" s="10"/>
      <c r="S160" s="10"/>
      <c r="T160" s="28"/>
      <c r="U160" s="10"/>
      <c r="V160" s="10"/>
      <c r="W160" s="31"/>
      <c r="X160" s="10"/>
      <c r="Y160" s="10"/>
      <c r="Z160" s="10"/>
      <c r="AA160" s="10"/>
      <c r="AB160" s="10"/>
      <c r="AC160" s="10"/>
      <c r="AD160" s="31"/>
      <c r="AE160" s="10"/>
      <c r="AF160" s="10"/>
      <c r="AG160" s="10"/>
      <c r="AH160" s="10"/>
      <c r="AI160" s="10"/>
      <c r="AJ160" s="31"/>
      <c r="AK160" s="33">
        <f t="shared" si="23"/>
        <v>0</v>
      </c>
      <c r="AL160" s="34">
        <f>AK160</f>
        <v>0</v>
      </c>
      <c r="AM160" s="35"/>
      <c r="AN160" s="586">
        <f>SUM(AL160:AM161)</f>
        <v>0</v>
      </c>
      <c r="AO160" s="3"/>
      <c r="AP160" s="3"/>
      <c r="AQ160" s="3"/>
      <c r="AR160" s="3"/>
      <c r="AS160" s="3"/>
    </row>
    <row r="161" spans="3:45" ht="12.75" x14ac:dyDescent="0.2">
      <c r="C161" s="581"/>
      <c r="D161" s="585"/>
      <c r="E161" s="46" t="s">
        <v>19</v>
      </c>
      <c r="F161" s="261"/>
      <c r="G161" s="9"/>
      <c r="H161" s="9"/>
      <c r="I161" s="36"/>
      <c r="J161" s="19"/>
      <c r="K161" s="9"/>
      <c r="L161" s="9"/>
      <c r="M161" s="9"/>
      <c r="N161" s="9"/>
      <c r="O161" s="9"/>
      <c r="P161" s="36"/>
      <c r="Q161" s="9"/>
      <c r="R161" s="9"/>
      <c r="S161" s="19"/>
      <c r="T161" s="19"/>
      <c r="U161" s="9"/>
      <c r="V161" s="9"/>
      <c r="W161" s="36"/>
      <c r="X161" s="9"/>
      <c r="Y161" s="19"/>
      <c r="Z161" s="19"/>
      <c r="AA161" s="19"/>
      <c r="AB161" s="9"/>
      <c r="AC161" s="9"/>
      <c r="AD161" s="36"/>
      <c r="AE161" s="9"/>
      <c r="AF161" s="9"/>
      <c r="AG161" s="9"/>
      <c r="AH161" s="9"/>
      <c r="AI161" s="9"/>
      <c r="AJ161" s="46"/>
      <c r="AK161" s="48">
        <f t="shared" si="23"/>
        <v>0</v>
      </c>
      <c r="AL161" s="39"/>
      <c r="AM161" s="40">
        <f>AK161</f>
        <v>0</v>
      </c>
      <c r="AN161" s="583"/>
      <c r="AO161" s="3"/>
      <c r="AP161" s="3"/>
      <c r="AQ161" s="3"/>
      <c r="AR161" s="3"/>
      <c r="AS161" s="3"/>
    </row>
    <row r="162" spans="3:45" ht="12.75" x14ac:dyDescent="0.2">
      <c r="C162" s="49" t="s">
        <v>32</v>
      </c>
      <c r="D162" s="9"/>
      <c r="E162" s="36"/>
      <c r="F162" s="259"/>
      <c r="G162" s="35"/>
      <c r="H162" s="35"/>
      <c r="I162" s="50"/>
      <c r="J162" s="35"/>
      <c r="K162" s="35"/>
      <c r="L162" s="35"/>
      <c r="M162" s="35"/>
      <c r="N162" s="35"/>
      <c r="O162" s="35"/>
      <c r="P162" s="50"/>
      <c r="Q162" s="35"/>
      <c r="R162" s="35"/>
      <c r="S162" s="35"/>
      <c r="T162" s="35"/>
      <c r="U162" s="35"/>
      <c r="V162" s="35"/>
      <c r="W162" s="50"/>
      <c r="X162" s="35"/>
      <c r="Y162" s="35"/>
      <c r="Z162" s="35"/>
      <c r="AA162" s="35"/>
      <c r="AB162" s="35"/>
      <c r="AC162" s="35"/>
      <c r="AD162" s="50"/>
      <c r="AE162" s="35"/>
      <c r="AF162" s="35"/>
      <c r="AG162" s="35"/>
      <c r="AH162" s="35"/>
      <c r="AI162" s="35"/>
      <c r="AJ162" s="36"/>
      <c r="AK162" s="51">
        <f t="shared" ref="AK162:AM162" si="26">SUM(AK150:AK161)</f>
        <v>1724.08</v>
      </c>
      <c r="AL162" s="28">
        <f t="shared" si="26"/>
        <v>1617.08</v>
      </c>
      <c r="AM162" s="19">
        <f t="shared" si="26"/>
        <v>107</v>
      </c>
      <c r="AN162" s="11"/>
      <c r="AO162" s="3"/>
      <c r="AP162" s="3"/>
      <c r="AQ162" s="3"/>
      <c r="AR162" s="3"/>
      <c r="AS162" s="3"/>
    </row>
    <row r="163" spans="3:45" ht="12.75" x14ac:dyDescent="0.2">
      <c r="C163" s="594" t="s">
        <v>33</v>
      </c>
      <c r="D163" s="600" t="s">
        <v>34</v>
      </c>
      <c r="E163" s="68" t="s">
        <v>18</v>
      </c>
      <c r="F163" s="262"/>
      <c r="G163" s="55"/>
      <c r="H163" s="55"/>
      <c r="I163" s="53"/>
      <c r="J163" s="56">
        <v>120</v>
      </c>
      <c r="K163" s="55"/>
      <c r="L163" s="55"/>
      <c r="M163" s="55"/>
      <c r="N163" s="55"/>
      <c r="O163" s="55"/>
      <c r="P163" s="53"/>
      <c r="Q163" s="55"/>
      <c r="R163" s="55"/>
      <c r="S163" s="55"/>
      <c r="T163" s="55"/>
      <c r="U163" s="55"/>
      <c r="V163" s="55"/>
      <c r="W163" s="53"/>
      <c r="X163" s="55"/>
      <c r="Y163" s="55"/>
      <c r="Z163" s="55"/>
      <c r="AA163" s="55"/>
      <c r="AB163" s="55"/>
      <c r="AC163" s="55"/>
      <c r="AD163" s="53"/>
      <c r="AE163" s="55"/>
      <c r="AF163" s="55"/>
      <c r="AG163" s="55"/>
      <c r="AH163" s="55"/>
      <c r="AI163" s="55"/>
      <c r="AJ163" s="53"/>
      <c r="AK163" s="57">
        <f>SUM(F163:AJ163)</f>
        <v>120</v>
      </c>
      <c r="AL163" s="58">
        <f>AK163</f>
        <v>120</v>
      </c>
      <c r="AM163" s="59"/>
      <c r="AN163" s="587">
        <f>SUM(AL163:AM164)</f>
        <v>120</v>
      </c>
      <c r="AO163" s="3"/>
      <c r="AP163" s="3"/>
      <c r="AQ163" s="3"/>
      <c r="AR163" s="3"/>
      <c r="AS163" s="3"/>
    </row>
    <row r="164" spans="3:45" ht="12.75" x14ac:dyDescent="0.2">
      <c r="C164" s="580"/>
      <c r="D164" s="601"/>
      <c r="E164" s="61" t="s">
        <v>19</v>
      </c>
      <c r="F164" s="62"/>
      <c r="G164" s="62"/>
      <c r="H164" s="62"/>
      <c r="I164" s="61"/>
      <c r="J164" s="63"/>
      <c r="K164" s="62"/>
      <c r="L164" s="62"/>
      <c r="M164" s="62"/>
      <c r="N164" s="62"/>
      <c r="O164" s="62"/>
      <c r="P164" s="61"/>
      <c r="Q164" s="62"/>
      <c r="R164" s="62"/>
      <c r="S164" s="62"/>
      <c r="T164" s="62"/>
      <c r="U164" s="62"/>
      <c r="V164" s="62"/>
      <c r="W164" s="61"/>
      <c r="X164" s="62"/>
      <c r="Y164" s="62"/>
      <c r="Z164" s="62"/>
      <c r="AA164" s="62"/>
      <c r="AB164" s="62"/>
      <c r="AC164" s="62"/>
      <c r="AD164" s="61"/>
      <c r="AE164" s="62"/>
      <c r="AF164" s="62"/>
      <c r="AG164" s="62"/>
      <c r="AH164" s="62"/>
      <c r="AI164" s="62"/>
      <c r="AJ164" s="61"/>
      <c r="AK164" s="64">
        <f>SUM(F164:AJ164)</f>
        <v>0</v>
      </c>
      <c r="AL164" s="65"/>
      <c r="AM164" s="66">
        <f>AK164</f>
        <v>0</v>
      </c>
      <c r="AN164" s="588"/>
      <c r="AO164" s="3"/>
      <c r="AP164" s="3"/>
      <c r="AQ164" s="3"/>
      <c r="AR164" s="3"/>
      <c r="AS164" s="3"/>
    </row>
    <row r="165" spans="3:45" ht="12.75" x14ac:dyDescent="0.2">
      <c r="C165" s="580"/>
      <c r="D165" s="67" t="s">
        <v>35</v>
      </c>
      <c r="E165" s="68" t="s">
        <v>18</v>
      </c>
      <c r="F165" s="114"/>
      <c r="G165" s="65"/>
      <c r="H165" s="65"/>
      <c r="I165" s="68"/>
      <c r="J165" s="70">
        <v>16</v>
      </c>
      <c r="K165" s="65"/>
      <c r="L165" s="65"/>
      <c r="M165" s="65"/>
      <c r="N165" s="65"/>
      <c r="O165" s="65"/>
      <c r="P165" s="68"/>
      <c r="Q165" s="65"/>
      <c r="R165" s="65"/>
      <c r="S165" s="65"/>
      <c r="T165" s="65"/>
      <c r="U165" s="65"/>
      <c r="V165" s="65"/>
      <c r="W165" s="68"/>
      <c r="X165" s="65"/>
      <c r="Y165" s="65"/>
      <c r="Z165" s="65"/>
      <c r="AA165" s="65"/>
      <c r="AB165" s="65"/>
      <c r="AC165" s="65"/>
      <c r="AD165" s="68"/>
      <c r="AE165" s="65"/>
      <c r="AF165" s="65"/>
      <c r="AG165" s="65"/>
      <c r="AH165" s="65"/>
      <c r="AI165" s="65"/>
      <c r="AJ165" s="68"/>
      <c r="AK165" s="71">
        <f>SUM(F165:AJ165)</f>
        <v>16</v>
      </c>
      <c r="AL165" s="72">
        <f t="shared" ref="AL165:AL166" si="27">AK165</f>
        <v>16</v>
      </c>
      <c r="AM165" s="62"/>
      <c r="AN165" s="73">
        <f>AL165</f>
        <v>16</v>
      </c>
      <c r="AO165" s="3"/>
      <c r="AP165" s="3"/>
      <c r="AQ165" s="3"/>
      <c r="AR165" s="3"/>
      <c r="AS165" s="3"/>
    </row>
    <row r="166" spans="3:45" ht="12.75" x14ac:dyDescent="0.2">
      <c r="C166" s="580"/>
      <c r="D166" s="602" t="s">
        <v>36</v>
      </c>
      <c r="E166" s="68" t="s">
        <v>18</v>
      </c>
      <c r="F166" s="114"/>
      <c r="G166" s="65"/>
      <c r="H166" s="65"/>
      <c r="I166" s="68"/>
      <c r="J166" s="70">
        <v>27</v>
      </c>
      <c r="K166" s="65"/>
      <c r="L166" s="65"/>
      <c r="M166" s="65"/>
      <c r="N166" s="65"/>
      <c r="O166" s="65"/>
      <c r="P166" s="68"/>
      <c r="Q166" s="65"/>
      <c r="R166" s="65"/>
      <c r="S166" s="65"/>
      <c r="T166" s="65"/>
      <c r="U166" s="65"/>
      <c r="V166" s="65"/>
      <c r="W166" s="68"/>
      <c r="X166" s="65"/>
      <c r="Y166" s="65"/>
      <c r="Z166" s="65"/>
      <c r="AA166" s="65"/>
      <c r="AB166" s="65"/>
      <c r="AC166" s="65"/>
      <c r="AD166" s="68"/>
      <c r="AE166" s="65"/>
      <c r="AF166" s="65"/>
      <c r="AG166" s="65"/>
      <c r="AH166" s="65"/>
      <c r="AI166" s="65"/>
      <c r="AJ166" s="68"/>
      <c r="AK166" s="74">
        <f>SUM(F166:AJ166)</f>
        <v>27</v>
      </c>
      <c r="AL166" s="72">
        <f t="shared" si="27"/>
        <v>27</v>
      </c>
      <c r="AM166" s="62"/>
      <c r="AN166" s="589">
        <f>SUM(AL166:AM167)</f>
        <v>27</v>
      </c>
      <c r="AO166" s="3"/>
      <c r="AP166" s="3"/>
      <c r="AQ166" s="3"/>
      <c r="AR166" s="3"/>
      <c r="AS166" s="3"/>
    </row>
    <row r="167" spans="3:45" ht="12.75" x14ac:dyDescent="0.2">
      <c r="C167" s="580"/>
      <c r="D167" s="603"/>
      <c r="E167" s="75" t="s">
        <v>19</v>
      </c>
      <c r="F167" s="263"/>
      <c r="G167" s="77"/>
      <c r="H167" s="77"/>
      <c r="I167" s="75"/>
      <c r="J167" s="77"/>
      <c r="K167" s="77"/>
      <c r="L167" s="77"/>
      <c r="M167" s="77"/>
      <c r="N167" s="77"/>
      <c r="O167" s="77"/>
      <c r="P167" s="75"/>
      <c r="Q167" s="77"/>
      <c r="R167" s="77"/>
      <c r="S167" s="77"/>
      <c r="T167" s="77"/>
      <c r="U167" s="77"/>
      <c r="V167" s="77"/>
      <c r="W167" s="75"/>
      <c r="X167" s="77"/>
      <c r="Y167" s="77"/>
      <c r="Z167" s="77"/>
      <c r="AA167" s="77"/>
      <c r="AB167" s="77"/>
      <c r="AC167" s="77"/>
      <c r="AD167" s="75"/>
      <c r="AE167" s="77"/>
      <c r="AF167" s="77"/>
      <c r="AG167" s="77"/>
      <c r="AH167" s="77"/>
      <c r="AI167" s="77"/>
      <c r="AJ167" s="75"/>
      <c r="AK167" s="78">
        <f t="shared" ref="AK167:AK215" si="28">SUM(F167:AJ167)</f>
        <v>0</v>
      </c>
      <c r="AL167" s="79"/>
      <c r="AM167" s="80">
        <f>AK167</f>
        <v>0</v>
      </c>
      <c r="AN167" s="590"/>
      <c r="AO167" s="3"/>
      <c r="AP167" s="3"/>
      <c r="AQ167" s="3"/>
      <c r="AR167" s="3"/>
      <c r="AS167" s="3"/>
    </row>
    <row r="168" spans="3:45" ht="12.75" x14ac:dyDescent="0.2">
      <c r="C168" s="580"/>
      <c r="D168" s="584" t="s">
        <v>37</v>
      </c>
      <c r="E168" s="68" t="s">
        <v>18</v>
      </c>
      <c r="F168" s="114"/>
      <c r="G168" s="65"/>
      <c r="H168" s="65"/>
      <c r="I168" s="68"/>
      <c r="J168" s="87"/>
      <c r="K168" s="65"/>
      <c r="L168" s="65"/>
      <c r="M168" s="87">
        <v>34.799999999999997</v>
      </c>
      <c r="N168" s="65"/>
      <c r="O168" s="65"/>
      <c r="P168" s="68"/>
      <c r="Q168" s="72"/>
      <c r="R168" s="87"/>
      <c r="S168" s="65"/>
      <c r="T168" s="72"/>
      <c r="U168" s="87">
        <v>5</v>
      </c>
      <c r="V168" s="65"/>
      <c r="W168" s="68"/>
      <c r="X168" s="65"/>
      <c r="Y168" s="65"/>
      <c r="Z168" s="65"/>
      <c r="AA168" s="65"/>
      <c r="AB168" s="87">
        <v>1</v>
      </c>
      <c r="AC168" s="65"/>
      <c r="AD168" s="68"/>
      <c r="AE168" s="65"/>
      <c r="AF168" s="87"/>
      <c r="AG168" s="87">
        <v>3</v>
      </c>
      <c r="AH168" s="65"/>
      <c r="AI168" s="65"/>
      <c r="AJ168" s="68"/>
      <c r="AK168" s="88">
        <f t="shared" si="28"/>
        <v>43.8</v>
      </c>
      <c r="AL168" s="89">
        <f>AK168</f>
        <v>43.8</v>
      </c>
      <c r="AM168" s="62"/>
      <c r="AN168" s="586">
        <f>SUM(AL168:AM169)</f>
        <v>43.8</v>
      </c>
      <c r="AO168" s="3"/>
      <c r="AP168" s="3"/>
      <c r="AQ168" s="3"/>
      <c r="AR168" s="3"/>
      <c r="AS168" s="3"/>
    </row>
    <row r="169" spans="3:45" ht="12.75" x14ac:dyDescent="0.2">
      <c r="C169" s="580"/>
      <c r="D169" s="577"/>
      <c r="E169" s="61" t="s">
        <v>19</v>
      </c>
      <c r="F169" s="264"/>
      <c r="G169" s="62"/>
      <c r="H169" s="62"/>
      <c r="I169" s="61"/>
      <c r="J169" s="62"/>
      <c r="K169" s="62"/>
      <c r="L169" s="62"/>
      <c r="M169" s="62"/>
      <c r="N169" s="62"/>
      <c r="O169" s="62"/>
      <c r="P169" s="61"/>
      <c r="Q169" s="62"/>
      <c r="R169" s="91"/>
      <c r="S169" s="62"/>
      <c r="T169" s="62"/>
      <c r="U169" s="62"/>
      <c r="V169" s="62"/>
      <c r="W169" s="61"/>
      <c r="X169" s="62"/>
      <c r="Y169" s="62"/>
      <c r="Z169" s="62"/>
      <c r="AA169" s="62"/>
      <c r="AB169" s="62"/>
      <c r="AC169" s="62"/>
      <c r="AD169" s="61"/>
      <c r="AE169" s="62"/>
      <c r="AF169" s="62"/>
      <c r="AG169" s="62"/>
      <c r="AH169" s="62"/>
      <c r="AI169" s="62"/>
      <c r="AJ169" s="61"/>
      <c r="AK169" s="92">
        <f t="shared" si="28"/>
        <v>0</v>
      </c>
      <c r="AL169" s="93"/>
      <c r="AM169" s="94">
        <f>AK169</f>
        <v>0</v>
      </c>
      <c r="AN169" s="583"/>
      <c r="AO169" s="3"/>
      <c r="AP169" s="3"/>
      <c r="AQ169" s="3"/>
      <c r="AR169" s="3"/>
      <c r="AS169" s="3"/>
    </row>
    <row r="170" spans="3:45" ht="12.75" x14ac:dyDescent="0.2">
      <c r="C170" s="580"/>
      <c r="D170" s="81" t="s">
        <v>38</v>
      </c>
      <c r="E170" s="68" t="s">
        <v>18</v>
      </c>
      <c r="F170" s="114"/>
      <c r="G170" s="65"/>
      <c r="H170" s="65"/>
      <c r="I170" s="68"/>
      <c r="J170" s="65"/>
      <c r="K170" s="65"/>
      <c r="L170" s="65"/>
      <c r="M170" s="65"/>
      <c r="N170" s="65"/>
      <c r="O170" s="65"/>
      <c r="P170" s="68"/>
      <c r="Q170" s="65"/>
      <c r="R170" s="65"/>
      <c r="S170" s="87">
        <v>87</v>
      </c>
      <c r="T170" s="65"/>
      <c r="U170" s="65"/>
      <c r="V170" s="65"/>
      <c r="W170" s="68"/>
      <c r="X170" s="65"/>
      <c r="Y170" s="65"/>
      <c r="Z170" s="65"/>
      <c r="AA170" s="87"/>
      <c r="AB170" s="65"/>
      <c r="AC170" s="72"/>
      <c r="AD170" s="68">
        <f>73+5</f>
        <v>78</v>
      </c>
      <c r="AE170" s="65"/>
      <c r="AF170" s="65"/>
      <c r="AG170" s="65"/>
      <c r="AH170" s="65"/>
      <c r="AI170" s="65"/>
      <c r="AJ170" s="68"/>
      <c r="AK170" s="88">
        <f t="shared" si="28"/>
        <v>165</v>
      </c>
      <c r="AL170" s="72">
        <f t="shared" ref="AL170:AL172" si="29">AK170</f>
        <v>165</v>
      </c>
      <c r="AM170" s="62"/>
      <c r="AN170" s="29">
        <f t="shared" ref="AN170:AN171" si="30">AL170</f>
        <v>165</v>
      </c>
      <c r="AO170" s="3"/>
      <c r="AP170" s="3"/>
      <c r="AQ170" s="3"/>
      <c r="AR170" s="3"/>
      <c r="AS170" s="3"/>
    </row>
    <row r="171" spans="3:45" ht="12.75" x14ac:dyDescent="0.2">
      <c r="C171" s="580"/>
      <c r="D171" s="81" t="s">
        <v>39</v>
      </c>
      <c r="E171" s="68" t="s">
        <v>18</v>
      </c>
      <c r="F171" s="114"/>
      <c r="G171" s="65"/>
      <c r="H171" s="65"/>
      <c r="I171" s="68"/>
      <c r="J171" s="65"/>
      <c r="K171" s="87">
        <v>44</v>
      </c>
      <c r="L171" s="65"/>
      <c r="M171" s="65"/>
      <c r="N171" s="65"/>
      <c r="O171" s="65"/>
      <c r="P171" s="68"/>
      <c r="Q171" s="65"/>
      <c r="R171" s="65"/>
      <c r="S171" s="65"/>
      <c r="T171" s="65"/>
      <c r="U171" s="65"/>
      <c r="V171" s="65"/>
      <c r="W171" s="68"/>
      <c r="X171" s="65"/>
      <c r="Y171" s="65"/>
      <c r="Z171" s="65"/>
      <c r="AA171" s="65"/>
      <c r="AB171" s="65"/>
      <c r="AC171" s="65"/>
      <c r="AD171" s="68"/>
      <c r="AE171" s="65"/>
      <c r="AF171" s="65"/>
      <c r="AG171" s="65"/>
      <c r="AH171" s="65"/>
      <c r="AI171" s="65"/>
      <c r="AJ171" s="68"/>
      <c r="AK171" s="88">
        <f t="shared" si="28"/>
        <v>44</v>
      </c>
      <c r="AL171" s="72">
        <f t="shared" si="29"/>
        <v>44</v>
      </c>
      <c r="AM171" s="62"/>
      <c r="AN171" s="29">
        <f t="shared" si="30"/>
        <v>44</v>
      </c>
      <c r="AO171" s="3"/>
      <c r="AP171" s="3"/>
      <c r="AQ171" s="3"/>
      <c r="AR171" s="3"/>
      <c r="AS171" s="3"/>
    </row>
    <row r="172" spans="3:45" ht="12.75" x14ac:dyDescent="0.2">
      <c r="C172" s="580"/>
      <c r="D172" s="584" t="s">
        <v>40</v>
      </c>
      <c r="E172" s="68" t="s">
        <v>18</v>
      </c>
      <c r="F172" s="114"/>
      <c r="G172" s="65"/>
      <c r="H172" s="65"/>
      <c r="I172" s="68"/>
      <c r="J172" s="65"/>
      <c r="K172" s="65"/>
      <c r="L172" s="65"/>
      <c r="M172" s="65"/>
      <c r="N172" s="65"/>
      <c r="O172" s="65"/>
      <c r="P172" s="68"/>
      <c r="Q172" s="65"/>
      <c r="R172" s="65"/>
      <c r="S172" s="65"/>
      <c r="T172" s="65"/>
      <c r="U172" s="65"/>
      <c r="V172" s="65"/>
      <c r="W172" s="68"/>
      <c r="X172" s="65"/>
      <c r="Y172" s="65"/>
      <c r="Z172" s="65"/>
      <c r="AA172" s="65"/>
      <c r="AB172" s="65"/>
      <c r="AC172" s="65"/>
      <c r="AD172" s="68"/>
      <c r="AE172" s="65"/>
      <c r="AF172" s="65"/>
      <c r="AG172" s="65"/>
      <c r="AH172" s="65"/>
      <c r="AI172" s="65"/>
      <c r="AJ172" s="68"/>
      <c r="AK172" s="88">
        <f t="shared" si="28"/>
        <v>0</v>
      </c>
      <c r="AL172" s="96">
        <f t="shared" si="29"/>
        <v>0</v>
      </c>
      <c r="AM172" s="97"/>
      <c r="AN172" s="582">
        <f>SUM(AL172:AM173)</f>
        <v>0</v>
      </c>
      <c r="AO172" s="3"/>
      <c r="AP172" s="3"/>
      <c r="AQ172" s="3"/>
      <c r="AR172" s="3"/>
      <c r="AS172" s="3"/>
    </row>
    <row r="173" spans="3:45" ht="12.75" x14ac:dyDescent="0.2">
      <c r="C173" s="580"/>
      <c r="D173" s="577"/>
      <c r="E173" s="61" t="s">
        <v>19</v>
      </c>
      <c r="F173" s="264"/>
      <c r="G173" s="62"/>
      <c r="H173" s="62"/>
      <c r="I173" s="61"/>
      <c r="J173" s="62"/>
      <c r="K173" s="62"/>
      <c r="L173" s="62"/>
      <c r="M173" s="62"/>
      <c r="N173" s="62"/>
      <c r="O173" s="62"/>
      <c r="P173" s="61"/>
      <c r="Q173" s="62"/>
      <c r="R173" s="62"/>
      <c r="S173" s="62"/>
      <c r="T173" s="62"/>
      <c r="U173" s="62"/>
      <c r="V173" s="62"/>
      <c r="W173" s="61"/>
      <c r="X173" s="62"/>
      <c r="Y173" s="62"/>
      <c r="Z173" s="62"/>
      <c r="AA173" s="62"/>
      <c r="AB173" s="62"/>
      <c r="AC173" s="62"/>
      <c r="AD173" s="61"/>
      <c r="AE173" s="62"/>
      <c r="AF173" s="62"/>
      <c r="AG173" s="62"/>
      <c r="AH173" s="62"/>
      <c r="AI173" s="62"/>
      <c r="AJ173" s="61"/>
      <c r="AK173" s="92">
        <f t="shared" si="28"/>
        <v>0</v>
      </c>
      <c r="AL173" s="93"/>
      <c r="AM173" s="94">
        <f>AK173</f>
        <v>0</v>
      </c>
      <c r="AN173" s="583"/>
      <c r="AO173" s="3"/>
      <c r="AP173" s="3"/>
      <c r="AQ173" s="3"/>
      <c r="AR173" s="3"/>
      <c r="AS173" s="3"/>
    </row>
    <row r="174" spans="3:45" ht="12.75" x14ac:dyDescent="0.2">
      <c r="C174" s="580"/>
      <c r="D174" s="584" t="s">
        <v>41</v>
      </c>
      <c r="E174" s="68" t="s">
        <v>18</v>
      </c>
      <c r="F174" s="114"/>
      <c r="G174" s="65"/>
      <c r="H174" s="65"/>
      <c r="I174" s="68"/>
      <c r="J174" s="72"/>
      <c r="K174" s="70"/>
      <c r="L174" s="65"/>
      <c r="M174" s="65"/>
      <c r="N174" s="65"/>
      <c r="O174" s="65"/>
      <c r="P174" s="68"/>
      <c r="Q174" s="65"/>
      <c r="R174" s="65"/>
      <c r="S174" s="65"/>
      <c r="T174" s="65"/>
      <c r="U174" s="65"/>
      <c r="V174" s="65"/>
      <c r="W174" s="68"/>
      <c r="X174" s="65"/>
      <c r="Y174" s="65"/>
      <c r="Z174" s="65"/>
      <c r="AA174" s="65"/>
      <c r="AB174" s="65"/>
      <c r="AC174" s="87"/>
      <c r="AD174" s="68"/>
      <c r="AE174" s="65"/>
      <c r="AF174" s="87"/>
      <c r="AG174" s="65"/>
      <c r="AH174" s="65"/>
      <c r="AI174" s="65"/>
      <c r="AJ174" s="68"/>
      <c r="AK174" s="88">
        <f t="shared" si="28"/>
        <v>0</v>
      </c>
      <c r="AL174" s="96">
        <f>AK174</f>
        <v>0</v>
      </c>
      <c r="AM174" s="97"/>
      <c r="AN174" s="582">
        <f>SUM(AL174:AM175)</f>
        <v>1550</v>
      </c>
      <c r="AO174" s="3"/>
      <c r="AP174" s="3"/>
      <c r="AQ174" s="3"/>
      <c r="AR174" s="3"/>
      <c r="AS174" s="3"/>
    </row>
    <row r="175" spans="3:45" ht="12.75" x14ac:dyDescent="0.2">
      <c r="C175" s="580"/>
      <c r="D175" s="577"/>
      <c r="E175" s="61" t="s">
        <v>19</v>
      </c>
      <c r="F175" s="264"/>
      <c r="G175" s="66"/>
      <c r="H175" s="62"/>
      <c r="I175" s="61"/>
      <c r="J175" s="62"/>
      <c r="K175" s="91">
        <v>1550</v>
      </c>
      <c r="L175" s="62"/>
      <c r="M175" s="62"/>
      <c r="N175" s="62"/>
      <c r="O175" s="62"/>
      <c r="P175" s="61"/>
      <c r="Q175" s="62"/>
      <c r="R175" s="62"/>
      <c r="S175" s="62"/>
      <c r="T175" s="62"/>
      <c r="U175" s="62"/>
      <c r="V175" s="62"/>
      <c r="W175" s="61"/>
      <c r="X175" s="62"/>
      <c r="Y175" s="62"/>
      <c r="Z175" s="66"/>
      <c r="AA175" s="62"/>
      <c r="AB175" s="62"/>
      <c r="AC175" s="62"/>
      <c r="AD175" s="61"/>
      <c r="AE175" s="62"/>
      <c r="AF175" s="62"/>
      <c r="AG175" s="62"/>
      <c r="AH175" s="62"/>
      <c r="AI175" s="62"/>
      <c r="AJ175" s="61"/>
      <c r="AK175" s="92">
        <f t="shared" si="28"/>
        <v>1550</v>
      </c>
      <c r="AL175" s="93"/>
      <c r="AM175" s="94">
        <f>AK175</f>
        <v>1550</v>
      </c>
      <c r="AN175" s="583"/>
      <c r="AO175" s="3"/>
      <c r="AP175" s="3"/>
      <c r="AQ175" s="3"/>
      <c r="AR175" s="3"/>
      <c r="AS175" s="3"/>
    </row>
    <row r="176" spans="3:45" ht="12.75" x14ac:dyDescent="0.2">
      <c r="C176" s="580"/>
      <c r="D176" s="81" t="s">
        <v>42</v>
      </c>
      <c r="E176" s="68" t="s">
        <v>18</v>
      </c>
      <c r="F176" s="89"/>
      <c r="G176" s="70"/>
      <c r="H176" s="65"/>
      <c r="I176" s="68"/>
      <c r="J176" s="87"/>
      <c r="K176" s="87">
        <v>25</v>
      </c>
      <c r="L176" s="70"/>
      <c r="M176" s="70"/>
      <c r="N176" s="87">
        <v>70</v>
      </c>
      <c r="O176" s="87"/>
      <c r="P176" s="95">
        <v>10</v>
      </c>
      <c r="Q176" s="87">
        <v>10</v>
      </c>
      <c r="R176" s="65"/>
      <c r="S176" s="87">
        <v>35</v>
      </c>
      <c r="T176" s="87"/>
      <c r="U176" s="72"/>
      <c r="V176" s="70"/>
      <c r="W176" s="95"/>
      <c r="X176" s="65"/>
      <c r="Y176" s="72"/>
      <c r="Z176" s="70"/>
      <c r="AA176" s="72"/>
      <c r="AB176" s="65"/>
      <c r="AC176" s="72"/>
      <c r="AD176" s="88"/>
      <c r="AE176" s="65"/>
      <c r="AF176" s="87">
        <v>10</v>
      </c>
      <c r="AG176" s="70">
        <v>30</v>
      </c>
      <c r="AH176" s="87">
        <v>60</v>
      </c>
      <c r="AI176" s="87">
        <v>20</v>
      </c>
      <c r="AJ176" s="68"/>
      <c r="AK176" s="88">
        <f t="shared" si="28"/>
        <v>270</v>
      </c>
      <c r="AL176" s="72">
        <f>AK176</f>
        <v>270</v>
      </c>
      <c r="AM176" s="62"/>
      <c r="AN176" s="29">
        <f>AL176</f>
        <v>270</v>
      </c>
      <c r="AO176" s="3"/>
      <c r="AP176" s="3"/>
      <c r="AQ176" s="3"/>
      <c r="AR176" s="3"/>
      <c r="AS176" s="3"/>
    </row>
    <row r="177" spans="3:45" ht="12.75" x14ac:dyDescent="0.2">
      <c r="C177" s="580"/>
      <c r="D177" s="81" t="s">
        <v>43</v>
      </c>
      <c r="E177" s="61" t="s">
        <v>19</v>
      </c>
      <c r="F177" s="264"/>
      <c r="G177" s="62"/>
      <c r="H177" s="62"/>
      <c r="I177" s="61"/>
      <c r="J177" s="62"/>
      <c r="K177" s="62"/>
      <c r="L177" s="62"/>
      <c r="M177" s="62"/>
      <c r="N177" s="62"/>
      <c r="O177" s="62"/>
      <c r="P177" s="61"/>
      <c r="Q177" s="62"/>
      <c r="R177" s="62"/>
      <c r="S177" s="62"/>
      <c r="T177" s="62"/>
      <c r="U177" s="62"/>
      <c r="V177" s="62"/>
      <c r="W177" s="61"/>
      <c r="X177" s="62"/>
      <c r="Y177" s="62"/>
      <c r="Z177" s="62"/>
      <c r="AA177" s="62"/>
      <c r="AB177" s="62"/>
      <c r="AC177" s="62"/>
      <c r="AD177" s="61"/>
      <c r="AE177" s="62"/>
      <c r="AF177" s="62"/>
      <c r="AG177" s="62"/>
      <c r="AH177" s="62"/>
      <c r="AI177" s="62"/>
      <c r="AJ177" s="61"/>
      <c r="AK177" s="92">
        <f t="shared" si="28"/>
        <v>0</v>
      </c>
      <c r="AL177" s="65"/>
      <c r="AM177" s="66">
        <f>AK177</f>
        <v>0</v>
      </c>
      <c r="AN177" s="29">
        <f>AM177</f>
        <v>0</v>
      </c>
      <c r="AO177" s="3"/>
      <c r="AP177" s="3"/>
      <c r="AQ177" s="3"/>
      <c r="AR177" s="3"/>
      <c r="AS177" s="3"/>
    </row>
    <row r="178" spans="3:45" ht="12.75" x14ac:dyDescent="0.2">
      <c r="C178" s="580"/>
      <c r="D178" s="584" t="s">
        <v>44</v>
      </c>
      <c r="E178" s="68" t="s">
        <v>18</v>
      </c>
      <c r="F178" s="114"/>
      <c r="G178" s="65"/>
      <c r="H178" s="65"/>
      <c r="I178" s="68"/>
      <c r="J178" s="65"/>
      <c r="K178" s="65"/>
      <c r="L178" s="65"/>
      <c r="M178" s="65"/>
      <c r="N178" s="65"/>
      <c r="O178" s="65"/>
      <c r="P178" s="68"/>
      <c r="Q178" s="65"/>
      <c r="R178" s="65"/>
      <c r="S178" s="65"/>
      <c r="T178" s="65"/>
      <c r="U178" s="65"/>
      <c r="V178" s="65"/>
      <c r="W178" s="68"/>
      <c r="X178" s="65"/>
      <c r="Y178" s="65"/>
      <c r="Z178" s="65"/>
      <c r="AA178" s="65"/>
      <c r="AB178" s="65"/>
      <c r="AC178" s="65"/>
      <c r="AD178" s="68"/>
      <c r="AE178" s="65"/>
      <c r="AF178" s="65"/>
      <c r="AG178" s="65"/>
      <c r="AH178" s="65"/>
      <c r="AI178" s="65"/>
      <c r="AJ178" s="68"/>
      <c r="AK178" s="88">
        <f t="shared" si="28"/>
        <v>0</v>
      </c>
      <c r="AL178" s="96">
        <f>AK178</f>
        <v>0</v>
      </c>
      <c r="AM178" s="97"/>
      <c r="AN178" s="582">
        <f>SUM(AL178:AM179)</f>
        <v>0</v>
      </c>
      <c r="AO178" s="3"/>
      <c r="AP178" s="3"/>
      <c r="AQ178" s="3"/>
      <c r="AR178" s="3"/>
      <c r="AS178" s="3"/>
    </row>
    <row r="179" spans="3:45" ht="12.75" x14ac:dyDescent="0.2">
      <c r="C179" s="581"/>
      <c r="D179" s="585"/>
      <c r="E179" s="100" t="s">
        <v>19</v>
      </c>
      <c r="F179" s="265"/>
      <c r="G179" s="62"/>
      <c r="H179" s="62"/>
      <c r="I179" s="61"/>
      <c r="J179" s="62"/>
      <c r="K179" s="62"/>
      <c r="L179" s="62"/>
      <c r="M179" s="62"/>
      <c r="N179" s="62"/>
      <c r="O179" s="62"/>
      <c r="P179" s="61"/>
      <c r="Q179" s="62"/>
      <c r="R179" s="62"/>
      <c r="S179" s="62"/>
      <c r="T179" s="62"/>
      <c r="U179" s="62"/>
      <c r="V179" s="62"/>
      <c r="W179" s="61"/>
      <c r="X179" s="62"/>
      <c r="Y179" s="62"/>
      <c r="Z179" s="62"/>
      <c r="AA179" s="62"/>
      <c r="AB179" s="62"/>
      <c r="AC179" s="62"/>
      <c r="AD179" s="61"/>
      <c r="AE179" s="62"/>
      <c r="AF179" s="62"/>
      <c r="AG179" s="62"/>
      <c r="AH179" s="62"/>
      <c r="AI179" s="62"/>
      <c r="AJ179" s="100"/>
      <c r="AK179" s="102">
        <f t="shared" si="28"/>
        <v>0</v>
      </c>
      <c r="AL179" s="93"/>
      <c r="AM179" s="94">
        <f>AK179</f>
        <v>0</v>
      </c>
      <c r="AN179" s="583"/>
      <c r="AO179" s="3"/>
      <c r="AP179" s="3"/>
      <c r="AQ179" s="3"/>
      <c r="AR179" s="3"/>
      <c r="AS179" s="3"/>
    </row>
    <row r="180" spans="3:45" ht="12.75" x14ac:dyDescent="0.2">
      <c r="C180" s="594" t="s">
        <v>45</v>
      </c>
      <c r="D180" s="599" t="s">
        <v>46</v>
      </c>
      <c r="E180" s="103" t="s">
        <v>18</v>
      </c>
      <c r="F180" s="96"/>
      <c r="G180" s="105"/>
      <c r="H180" s="105">
        <f>2.06+22.99</f>
        <v>25.049999999999997</v>
      </c>
      <c r="I180" s="103">
        <f>2.69-0.01+5.39-0.03+7.18-0.09+0.74+3.69+5.57-0.04</f>
        <v>25.090000000000003</v>
      </c>
      <c r="J180" s="106"/>
      <c r="K180" s="105">
        <f>2.23+1.81</f>
        <v>4.04</v>
      </c>
      <c r="L180" s="105"/>
      <c r="M180" s="108"/>
      <c r="N180" s="108">
        <f>2.04+2.39+5.77+0.31+0.19+0.6</f>
        <v>11.299999999999999</v>
      </c>
      <c r="O180" s="105"/>
      <c r="P180" s="107">
        <f>1.1+4.6+6.23</f>
        <v>11.93</v>
      </c>
      <c r="Q180" s="106">
        <v>4.18</v>
      </c>
      <c r="R180" s="109">
        <v>24.65</v>
      </c>
      <c r="S180" s="109">
        <v>5.79</v>
      </c>
      <c r="T180" s="105">
        <f>1.43+2.99+5.69+3.72+2.03+0.36</f>
        <v>16.22</v>
      </c>
      <c r="U180" s="108"/>
      <c r="V180" s="105"/>
      <c r="W180" s="266">
        <v>2.1800000000000002</v>
      </c>
      <c r="X180" s="109">
        <v>7.59</v>
      </c>
      <c r="Y180" s="108">
        <f>3.81+2.62+10.79+11.36+1.69</f>
        <v>30.27</v>
      </c>
      <c r="Z180" s="108"/>
      <c r="AA180" s="108"/>
      <c r="AB180" s="105">
        <f>1.99+3.58+6.28+14.29</f>
        <v>26.14</v>
      </c>
      <c r="AC180" s="105">
        <f>4.55</f>
        <v>4.55</v>
      </c>
      <c r="AD180" s="103">
        <f>2.61+9.59+0.43+2.8</f>
        <v>15.43</v>
      </c>
      <c r="AE180" s="109">
        <v>3.47</v>
      </c>
      <c r="AF180" s="105"/>
      <c r="AG180" s="109">
        <v>1.97</v>
      </c>
      <c r="AH180" s="105">
        <f>5.35+2.62</f>
        <v>7.97</v>
      </c>
      <c r="AI180" s="109">
        <v>10.89</v>
      </c>
      <c r="AJ180" s="103"/>
      <c r="AK180" s="107">
        <f t="shared" si="28"/>
        <v>238.71000000000004</v>
      </c>
      <c r="AL180" s="96">
        <f>AK180</f>
        <v>238.71000000000004</v>
      </c>
      <c r="AM180" s="97"/>
      <c r="AN180" s="582">
        <f>SUM(AL180:AM181)</f>
        <v>238.71000000000004</v>
      </c>
      <c r="AO180" s="3"/>
      <c r="AP180" s="3"/>
      <c r="AQ180" s="3"/>
      <c r="AR180" s="3"/>
      <c r="AS180" s="3"/>
    </row>
    <row r="181" spans="3:45" ht="12.75" x14ac:dyDescent="0.2">
      <c r="C181" s="580"/>
      <c r="D181" s="577"/>
      <c r="E181" s="61" t="s">
        <v>19</v>
      </c>
      <c r="F181" s="264"/>
      <c r="G181" s="66"/>
      <c r="H181" s="91"/>
      <c r="I181" s="61"/>
      <c r="J181" s="62"/>
      <c r="K181" s="62"/>
      <c r="L181" s="62"/>
      <c r="M181" s="62"/>
      <c r="N181" s="62"/>
      <c r="O181" s="62"/>
      <c r="P181" s="61"/>
      <c r="Q181" s="62"/>
      <c r="R181" s="62"/>
      <c r="S181" s="62"/>
      <c r="T181" s="62"/>
      <c r="U181" s="62"/>
      <c r="V181" s="62"/>
      <c r="W181" s="61"/>
      <c r="X181" s="62"/>
      <c r="Y181" s="62"/>
      <c r="Z181" s="66"/>
      <c r="AA181" s="66"/>
      <c r="AB181" s="62"/>
      <c r="AC181" s="66"/>
      <c r="AD181" s="92"/>
      <c r="AE181" s="62"/>
      <c r="AF181" s="62"/>
      <c r="AG181" s="62"/>
      <c r="AH181" s="66"/>
      <c r="AI181" s="62"/>
      <c r="AJ181" s="61"/>
      <c r="AK181" s="92">
        <f t="shared" si="28"/>
        <v>0</v>
      </c>
      <c r="AL181" s="93"/>
      <c r="AM181" s="94">
        <f>AK181</f>
        <v>0</v>
      </c>
      <c r="AN181" s="583"/>
      <c r="AO181" s="3"/>
      <c r="AP181" s="3"/>
      <c r="AQ181" s="3"/>
      <c r="AR181" s="3"/>
      <c r="AS181" s="3"/>
    </row>
    <row r="182" spans="3:45" ht="12.75" x14ac:dyDescent="0.2">
      <c r="C182" s="580"/>
      <c r="D182" s="591" t="s">
        <v>47</v>
      </c>
      <c r="E182" s="68" t="s">
        <v>18</v>
      </c>
      <c r="F182" s="114"/>
      <c r="G182" s="65"/>
      <c r="H182" s="65">
        <f>7.69</f>
        <v>7.69</v>
      </c>
      <c r="I182" s="68">
        <f>4.29-0.03+6.78-0.04</f>
        <v>11</v>
      </c>
      <c r="J182" s="70"/>
      <c r="K182" s="72">
        <f>0.98*4</f>
        <v>3.92</v>
      </c>
      <c r="L182" s="87">
        <f>53.73+47.4</f>
        <v>101.13</v>
      </c>
      <c r="M182" s="72"/>
      <c r="N182" s="72">
        <f>3.59+(0.93*8)</f>
        <v>11.030000000000001</v>
      </c>
      <c r="O182" s="65"/>
      <c r="P182" s="99">
        <f>5.58</f>
        <v>5.58</v>
      </c>
      <c r="Q182" s="72"/>
      <c r="R182" s="70">
        <v>1.85</v>
      </c>
      <c r="S182" s="72">
        <f>15.39-5.79</f>
        <v>9.6000000000000014</v>
      </c>
      <c r="T182" s="65">
        <f>4.19+(0.93*4)</f>
        <v>7.91</v>
      </c>
      <c r="U182" s="72">
        <f>23.79-6.5</f>
        <v>17.29</v>
      </c>
      <c r="V182" s="72"/>
      <c r="W182" s="68">
        <f>8.69-2.18</f>
        <v>6.51</v>
      </c>
      <c r="X182" s="70">
        <v>10.99</v>
      </c>
      <c r="Y182" s="72">
        <f>3.72</f>
        <v>3.72</v>
      </c>
      <c r="Z182" s="65"/>
      <c r="AA182" s="65"/>
      <c r="AB182" s="65">
        <f>(0.93*4)+ 5.29+8.13-0.17-0.28</f>
        <v>16.689999999999998</v>
      </c>
      <c r="AC182" s="72"/>
      <c r="AD182" s="68">
        <f>2.89+1.85+(0.93*8)</f>
        <v>12.18</v>
      </c>
      <c r="AE182" s="87">
        <v>4.59</v>
      </c>
      <c r="AF182" s="65"/>
      <c r="AG182" s="65">
        <f>0.93*8</f>
        <v>7.44</v>
      </c>
      <c r="AH182" s="65"/>
      <c r="AI182" s="87">
        <v>3.85</v>
      </c>
      <c r="AJ182" s="68"/>
      <c r="AK182" s="88">
        <f t="shared" si="28"/>
        <v>242.96999999999997</v>
      </c>
      <c r="AL182" s="96">
        <f>AK182</f>
        <v>242.96999999999997</v>
      </c>
      <c r="AM182" s="97"/>
      <c r="AN182" s="593">
        <f>SUM(AL182:AM183)</f>
        <v>242.96999999999997</v>
      </c>
      <c r="AO182" s="3"/>
      <c r="AP182" s="3"/>
      <c r="AQ182" s="3"/>
      <c r="AR182" s="3"/>
      <c r="AS182" s="3"/>
    </row>
    <row r="183" spans="3:45" ht="12.75" x14ac:dyDescent="0.2">
      <c r="C183" s="580"/>
      <c r="D183" s="577"/>
      <c r="E183" s="61" t="s">
        <v>19</v>
      </c>
      <c r="F183" s="264"/>
      <c r="G183" s="66"/>
      <c r="H183" s="63"/>
      <c r="I183" s="61"/>
      <c r="J183" s="62"/>
      <c r="K183" s="62"/>
      <c r="L183" s="62"/>
      <c r="M183" s="66"/>
      <c r="N183" s="62"/>
      <c r="O183" s="62"/>
      <c r="P183" s="61"/>
      <c r="Q183" s="62"/>
      <c r="R183" s="62"/>
      <c r="S183" s="62"/>
      <c r="T183" s="62"/>
      <c r="U183" s="62"/>
      <c r="V183" s="62"/>
      <c r="W183" s="61"/>
      <c r="X183" s="62"/>
      <c r="Y183" s="66"/>
      <c r="Z183" s="66"/>
      <c r="AA183" s="66"/>
      <c r="AB183" s="66"/>
      <c r="AC183" s="66"/>
      <c r="AD183" s="92"/>
      <c r="AE183" s="62"/>
      <c r="AF183" s="62"/>
      <c r="AG183" s="62"/>
      <c r="AH183" s="66"/>
      <c r="AI183" s="66"/>
      <c r="AJ183" s="61"/>
      <c r="AK183" s="92">
        <f t="shared" si="28"/>
        <v>0</v>
      </c>
      <c r="AL183" s="93"/>
      <c r="AM183" s="94">
        <f>AK183</f>
        <v>0</v>
      </c>
      <c r="AN183" s="583"/>
      <c r="AO183" s="3"/>
      <c r="AP183" s="3"/>
      <c r="AQ183" s="3"/>
      <c r="AR183" s="3"/>
      <c r="AS183" s="3"/>
    </row>
    <row r="184" spans="3:45" ht="12.75" x14ac:dyDescent="0.2">
      <c r="C184" s="580"/>
      <c r="D184" s="591" t="s">
        <v>48</v>
      </c>
      <c r="E184" s="68" t="s">
        <v>18</v>
      </c>
      <c r="F184" s="267"/>
      <c r="G184" s="65"/>
      <c r="H184" s="65"/>
      <c r="I184" s="68"/>
      <c r="J184" s="65"/>
      <c r="K184" s="65"/>
      <c r="L184" s="65"/>
      <c r="M184" s="65"/>
      <c r="N184" s="65"/>
      <c r="O184" s="72"/>
      <c r="P184" s="68"/>
      <c r="Q184" s="87"/>
      <c r="R184" s="72"/>
      <c r="S184" s="65"/>
      <c r="T184" s="87"/>
      <c r="U184" s="65"/>
      <c r="V184" s="72"/>
      <c r="W184" s="68"/>
      <c r="X184" s="87">
        <v>7.19</v>
      </c>
      <c r="Y184" s="65"/>
      <c r="Z184" s="72"/>
      <c r="AA184" s="65"/>
      <c r="AB184" s="65"/>
      <c r="AC184" s="65"/>
      <c r="AD184" s="68"/>
      <c r="AE184" s="87">
        <v>4.97</v>
      </c>
      <c r="AF184" s="65"/>
      <c r="AG184" s="65"/>
      <c r="AH184" s="87"/>
      <c r="AI184" s="65"/>
      <c r="AJ184" s="68"/>
      <c r="AK184" s="88">
        <f t="shared" si="28"/>
        <v>12.16</v>
      </c>
      <c r="AL184" s="96">
        <f>AK184</f>
        <v>12.16</v>
      </c>
      <c r="AM184" s="97"/>
      <c r="AN184" s="582">
        <f>SUM(AL184:AM185)</f>
        <v>12.16</v>
      </c>
      <c r="AO184" s="3"/>
      <c r="AP184" s="3"/>
      <c r="AQ184" s="3"/>
      <c r="AR184" s="3"/>
      <c r="AS184" s="3"/>
    </row>
    <row r="185" spans="3:45" ht="12.75" x14ac:dyDescent="0.2">
      <c r="C185" s="580"/>
      <c r="D185" s="577"/>
      <c r="E185" s="61" t="s">
        <v>19</v>
      </c>
      <c r="F185" s="268"/>
      <c r="G185" s="62"/>
      <c r="H185" s="66"/>
      <c r="I185" s="61"/>
      <c r="J185" s="62"/>
      <c r="K185" s="62"/>
      <c r="L185" s="62"/>
      <c r="M185" s="62"/>
      <c r="N185" s="62"/>
      <c r="O185" s="62"/>
      <c r="P185" s="61"/>
      <c r="Q185" s="62"/>
      <c r="R185" s="62"/>
      <c r="S185" s="62"/>
      <c r="T185" s="62"/>
      <c r="U185" s="62"/>
      <c r="V185" s="62"/>
      <c r="W185" s="61"/>
      <c r="X185" s="62"/>
      <c r="Y185" s="62"/>
      <c r="Z185" s="62"/>
      <c r="AA185" s="62"/>
      <c r="AB185" s="62"/>
      <c r="AC185" s="62"/>
      <c r="AD185" s="61"/>
      <c r="AE185" s="62"/>
      <c r="AF185" s="62"/>
      <c r="AG185" s="66"/>
      <c r="AH185" s="62"/>
      <c r="AI185" s="62"/>
      <c r="AJ185" s="61"/>
      <c r="AK185" s="92">
        <f t="shared" si="28"/>
        <v>0</v>
      </c>
      <c r="AL185" s="93"/>
      <c r="AM185" s="94">
        <f>AK185</f>
        <v>0</v>
      </c>
      <c r="AN185" s="583"/>
      <c r="AO185" s="3"/>
      <c r="AP185" s="3"/>
      <c r="AQ185" s="3"/>
      <c r="AR185" s="3"/>
      <c r="AS185" s="3"/>
    </row>
    <row r="186" spans="3:45" ht="12.75" x14ac:dyDescent="0.2">
      <c r="C186" s="580"/>
      <c r="D186" s="591" t="s">
        <v>49</v>
      </c>
      <c r="E186" s="68" t="s">
        <v>18</v>
      </c>
      <c r="F186" s="114"/>
      <c r="G186" s="65"/>
      <c r="H186" s="87">
        <v>0.79</v>
      </c>
      <c r="I186" s="95">
        <v>3.7</v>
      </c>
      <c r="J186" s="70"/>
      <c r="K186" s="87">
        <v>4.5</v>
      </c>
      <c r="L186" s="87"/>
      <c r="M186" s="65"/>
      <c r="N186" s="72"/>
      <c r="O186" s="72"/>
      <c r="P186" s="99"/>
      <c r="Q186" s="72">
        <f>2.59+0.02</f>
        <v>2.61</v>
      </c>
      <c r="R186" s="65"/>
      <c r="S186" s="87">
        <v>2.59</v>
      </c>
      <c r="T186" s="65"/>
      <c r="U186" s="87">
        <v>9</v>
      </c>
      <c r="V186" s="65"/>
      <c r="W186" s="95">
        <v>9</v>
      </c>
      <c r="X186" s="65"/>
      <c r="Y186" s="65"/>
      <c r="Z186" s="72"/>
      <c r="AA186" s="65"/>
      <c r="AB186" s="65"/>
      <c r="AC186" s="70">
        <v>4.5</v>
      </c>
      <c r="AD186" s="68"/>
      <c r="AE186" s="87"/>
      <c r="AF186" s="65"/>
      <c r="AG186" s="87"/>
      <c r="AH186" s="87">
        <v>0.5</v>
      </c>
      <c r="AI186" s="65"/>
      <c r="AJ186" s="68"/>
      <c r="AK186" s="88">
        <f t="shared" si="28"/>
        <v>37.19</v>
      </c>
      <c r="AL186" s="96">
        <f>AK186</f>
        <v>37.19</v>
      </c>
      <c r="AM186" s="97"/>
      <c r="AN186" s="582">
        <f>SUM(AL186:AM187)</f>
        <v>50.19</v>
      </c>
      <c r="AO186" s="3"/>
      <c r="AP186" s="3"/>
      <c r="AQ186" s="3"/>
      <c r="AR186" s="3"/>
      <c r="AS186" s="3"/>
    </row>
    <row r="187" spans="3:45" ht="12.75" x14ac:dyDescent="0.2">
      <c r="C187" s="580"/>
      <c r="D187" s="577"/>
      <c r="E187" s="61" t="s">
        <v>19</v>
      </c>
      <c r="F187" s="269"/>
      <c r="G187" s="66"/>
      <c r="H187" s="62"/>
      <c r="I187" s="61"/>
      <c r="J187" s="62"/>
      <c r="K187" s="62"/>
      <c r="L187" s="62"/>
      <c r="M187" s="62"/>
      <c r="N187" s="62"/>
      <c r="O187" s="62"/>
      <c r="P187" s="112"/>
      <c r="Q187" s="62"/>
      <c r="R187" s="62"/>
      <c r="S187" s="62"/>
      <c r="T187" s="62"/>
      <c r="U187" s="62"/>
      <c r="V187" s="62"/>
      <c r="W187" s="61"/>
      <c r="X187" s="66"/>
      <c r="Y187" s="66"/>
      <c r="Z187" s="91"/>
      <c r="AA187" s="66"/>
      <c r="AB187" s="91">
        <v>4.5</v>
      </c>
      <c r="AC187" s="62"/>
      <c r="AD187" s="61"/>
      <c r="AE187" s="91">
        <v>4.5</v>
      </c>
      <c r="AF187" s="66"/>
      <c r="AG187" s="66"/>
      <c r="AH187" s="91">
        <v>4</v>
      </c>
      <c r="AI187" s="62"/>
      <c r="AJ187" s="61"/>
      <c r="AK187" s="92">
        <f t="shared" si="28"/>
        <v>13</v>
      </c>
      <c r="AL187" s="93"/>
      <c r="AM187" s="94">
        <f>AK187</f>
        <v>13</v>
      </c>
      <c r="AN187" s="583"/>
      <c r="AO187" s="3"/>
      <c r="AP187" s="3"/>
      <c r="AQ187" s="3"/>
      <c r="AR187" s="3"/>
      <c r="AS187" s="3"/>
    </row>
    <row r="188" spans="3:45" ht="12.75" x14ac:dyDescent="0.2">
      <c r="C188" s="580"/>
      <c r="D188" s="592" t="s">
        <v>50</v>
      </c>
      <c r="E188" s="68" t="s">
        <v>18</v>
      </c>
      <c r="F188" s="270"/>
      <c r="G188" s="65"/>
      <c r="H188" s="65"/>
      <c r="I188" s="68"/>
      <c r="J188" s="65"/>
      <c r="K188" s="70">
        <v>5.89</v>
      </c>
      <c r="L188" s="87"/>
      <c r="M188" s="65"/>
      <c r="N188" s="65"/>
      <c r="O188" s="65"/>
      <c r="P188" s="95">
        <v>19.5</v>
      </c>
      <c r="Q188" s="65"/>
      <c r="R188" s="70">
        <v>13</v>
      </c>
      <c r="S188" s="70"/>
      <c r="T188" s="87">
        <v>13</v>
      </c>
      <c r="U188" s="65">
        <f>6.5*3</f>
        <v>19.5</v>
      </c>
      <c r="V188" s="65"/>
      <c r="W188" s="95">
        <v>5.89</v>
      </c>
      <c r="X188" s="87"/>
      <c r="Y188" s="70">
        <v>65</v>
      </c>
      <c r="Z188" s="87"/>
      <c r="AA188" s="65"/>
      <c r="AB188" s="65"/>
      <c r="AC188" s="72"/>
      <c r="AD188" s="68"/>
      <c r="AE188" s="65"/>
      <c r="AF188" s="65"/>
      <c r="AG188" s="65"/>
      <c r="AH188" s="87"/>
      <c r="AI188" s="87">
        <v>13</v>
      </c>
      <c r="AJ188" s="68"/>
      <c r="AK188" s="88">
        <f t="shared" si="28"/>
        <v>154.78</v>
      </c>
      <c r="AL188" s="96">
        <f>AK188</f>
        <v>154.78</v>
      </c>
      <c r="AM188" s="97"/>
      <c r="AN188" s="582">
        <f>SUM(AL188:AM189)</f>
        <v>154.78</v>
      </c>
      <c r="AO188" s="3"/>
      <c r="AP188" s="3"/>
      <c r="AQ188" s="3"/>
      <c r="AR188" s="3"/>
      <c r="AS188" s="3"/>
    </row>
    <row r="189" spans="3:45" ht="12.75" x14ac:dyDescent="0.2">
      <c r="C189" s="580"/>
      <c r="D189" s="577"/>
      <c r="E189" s="61" t="s">
        <v>19</v>
      </c>
      <c r="F189" s="268"/>
      <c r="G189" s="66"/>
      <c r="H189" s="62"/>
      <c r="I189" s="61"/>
      <c r="J189" s="62"/>
      <c r="K189" s="62"/>
      <c r="L189" s="62"/>
      <c r="M189" s="62"/>
      <c r="N189" s="62"/>
      <c r="O189" s="66"/>
      <c r="P189" s="61"/>
      <c r="Q189" s="62"/>
      <c r="R189" s="62"/>
      <c r="S189" s="66"/>
      <c r="T189" s="62"/>
      <c r="U189" s="62"/>
      <c r="V189" s="62"/>
      <c r="W189" s="61"/>
      <c r="X189" s="66"/>
      <c r="Y189" s="62"/>
      <c r="Z189" s="62"/>
      <c r="AA189" s="62"/>
      <c r="AB189" s="62"/>
      <c r="AC189" s="66"/>
      <c r="AD189" s="61"/>
      <c r="AE189" s="62"/>
      <c r="AF189" s="62"/>
      <c r="AG189" s="62"/>
      <c r="AH189" s="62"/>
      <c r="AI189" s="62"/>
      <c r="AJ189" s="61"/>
      <c r="AK189" s="92">
        <f t="shared" si="28"/>
        <v>0</v>
      </c>
      <c r="AL189" s="93"/>
      <c r="AM189" s="94">
        <f>AK189</f>
        <v>0</v>
      </c>
      <c r="AN189" s="583"/>
      <c r="AO189" s="3"/>
      <c r="AP189" s="3"/>
      <c r="AQ189" s="3"/>
      <c r="AR189" s="3"/>
      <c r="AS189" s="3"/>
    </row>
    <row r="190" spans="3:45" ht="12.75" x14ac:dyDescent="0.2">
      <c r="C190" s="580"/>
      <c r="D190" s="592" t="s">
        <v>1</v>
      </c>
      <c r="E190" s="68" t="s">
        <v>18</v>
      </c>
      <c r="F190" s="114"/>
      <c r="G190" s="65"/>
      <c r="H190" s="65">
        <f>1.99*2</f>
        <v>3.98</v>
      </c>
      <c r="I190" s="68"/>
      <c r="J190" s="65"/>
      <c r="K190" s="65"/>
      <c r="L190" s="65"/>
      <c r="M190" s="65"/>
      <c r="N190" s="65">
        <f>2.59*2</f>
        <v>5.18</v>
      </c>
      <c r="O190" s="65"/>
      <c r="P190" s="95">
        <v>5.58</v>
      </c>
      <c r="Q190" s="65"/>
      <c r="R190" s="65"/>
      <c r="S190" s="65"/>
      <c r="T190" s="65"/>
      <c r="U190" s="65"/>
      <c r="V190" s="65"/>
      <c r="W190" s="68"/>
      <c r="X190" s="65"/>
      <c r="Y190" s="65"/>
      <c r="Z190" s="87"/>
      <c r="AA190" s="65"/>
      <c r="AB190" s="65">
        <f>2.59+2.59+4.49</f>
        <v>9.67</v>
      </c>
      <c r="AC190" s="65"/>
      <c r="AD190" s="68"/>
      <c r="AE190" s="65"/>
      <c r="AF190" s="65"/>
      <c r="AG190" s="65"/>
      <c r="AH190" s="87"/>
      <c r="AI190" s="65"/>
      <c r="AJ190" s="68"/>
      <c r="AK190" s="88">
        <f t="shared" si="28"/>
        <v>24.41</v>
      </c>
      <c r="AL190" s="89">
        <f>AK190</f>
        <v>24.41</v>
      </c>
      <c r="AM190" s="62"/>
      <c r="AN190" s="582">
        <f>SUM(AL190:AM191)</f>
        <v>24.41</v>
      </c>
      <c r="AO190" s="3"/>
      <c r="AP190" s="3"/>
      <c r="AQ190" s="3"/>
      <c r="AR190" s="3"/>
      <c r="AS190" s="3"/>
    </row>
    <row r="191" spans="3:45" ht="12.75" x14ac:dyDescent="0.2">
      <c r="C191" s="580"/>
      <c r="D191" s="577"/>
      <c r="E191" s="61" t="s">
        <v>19</v>
      </c>
      <c r="F191" s="264"/>
      <c r="G191" s="62"/>
      <c r="H191" s="62"/>
      <c r="I191" s="61"/>
      <c r="J191" s="62"/>
      <c r="K191" s="62"/>
      <c r="L191" s="62"/>
      <c r="M191" s="62"/>
      <c r="N191" s="62"/>
      <c r="O191" s="62"/>
      <c r="P191" s="61"/>
      <c r="Q191" s="62"/>
      <c r="R191" s="62"/>
      <c r="S191" s="62"/>
      <c r="T191" s="62"/>
      <c r="U191" s="62"/>
      <c r="V191" s="62"/>
      <c r="W191" s="61"/>
      <c r="X191" s="62"/>
      <c r="Y191" s="62"/>
      <c r="Z191" s="62"/>
      <c r="AA191" s="62"/>
      <c r="AB191" s="62"/>
      <c r="AC191" s="62"/>
      <c r="AD191" s="61"/>
      <c r="AE191" s="62"/>
      <c r="AF191" s="62"/>
      <c r="AG191" s="62"/>
      <c r="AH191" s="62"/>
      <c r="AI191" s="62"/>
      <c r="AJ191" s="61"/>
      <c r="AK191" s="92">
        <f t="shared" si="28"/>
        <v>0</v>
      </c>
      <c r="AL191" s="114"/>
      <c r="AM191" s="66">
        <f>AK191</f>
        <v>0</v>
      </c>
      <c r="AN191" s="583"/>
      <c r="AO191" s="3"/>
      <c r="AP191" s="3"/>
      <c r="AQ191" s="3"/>
      <c r="AR191" s="3"/>
      <c r="AS191" s="3"/>
    </row>
    <row r="192" spans="3:45" ht="12.75" x14ac:dyDescent="0.2">
      <c r="C192" s="580"/>
      <c r="D192" s="576" t="s">
        <v>51</v>
      </c>
      <c r="E192" s="68" t="s">
        <v>18</v>
      </c>
      <c r="F192" s="114"/>
      <c r="G192" s="65"/>
      <c r="H192" s="65"/>
      <c r="I192" s="68"/>
      <c r="J192" s="65"/>
      <c r="K192" s="65"/>
      <c r="L192" s="65"/>
      <c r="M192" s="87">
        <v>48.1</v>
      </c>
      <c r="N192" s="65"/>
      <c r="O192" s="65"/>
      <c r="P192" s="68"/>
      <c r="Q192" s="65"/>
      <c r="R192" s="65"/>
      <c r="S192" s="65"/>
      <c r="T192" s="65"/>
      <c r="U192" s="65"/>
      <c r="V192" s="65"/>
      <c r="W192" s="68"/>
      <c r="X192" s="65"/>
      <c r="Y192" s="87"/>
      <c r="Z192" s="65"/>
      <c r="AA192" s="65"/>
      <c r="AB192" s="65"/>
      <c r="AC192" s="65"/>
      <c r="AD192" s="95">
        <v>17.88</v>
      </c>
      <c r="AE192" s="65"/>
      <c r="AF192" s="65"/>
      <c r="AG192" s="65"/>
      <c r="AH192" s="65"/>
      <c r="AI192" s="65"/>
      <c r="AJ192" s="68"/>
      <c r="AK192" s="88">
        <f t="shared" si="28"/>
        <v>65.98</v>
      </c>
      <c r="AL192" s="96">
        <f>AK192</f>
        <v>65.98</v>
      </c>
      <c r="AM192" s="97"/>
      <c r="AN192" s="586">
        <f>SUM(AL192:AM193)</f>
        <v>65.98</v>
      </c>
      <c r="AO192" s="3"/>
      <c r="AP192" s="3"/>
      <c r="AQ192" s="3"/>
      <c r="AR192" s="3"/>
      <c r="AS192" s="3"/>
    </row>
    <row r="193" spans="3:45" ht="12.75" x14ac:dyDescent="0.2">
      <c r="C193" s="580"/>
      <c r="D193" s="577"/>
      <c r="E193" s="61" t="s">
        <v>19</v>
      </c>
      <c r="F193" s="264"/>
      <c r="G193" s="62"/>
      <c r="H193" s="62"/>
      <c r="I193" s="61"/>
      <c r="J193" s="62"/>
      <c r="K193" s="62"/>
      <c r="L193" s="62"/>
      <c r="M193" s="62"/>
      <c r="N193" s="62"/>
      <c r="O193" s="62"/>
      <c r="P193" s="61"/>
      <c r="Q193" s="62"/>
      <c r="R193" s="62"/>
      <c r="S193" s="62"/>
      <c r="T193" s="62"/>
      <c r="U193" s="62"/>
      <c r="V193" s="62"/>
      <c r="W193" s="61"/>
      <c r="X193" s="62"/>
      <c r="Y193" s="62"/>
      <c r="Z193" s="62"/>
      <c r="AA193" s="62"/>
      <c r="AB193" s="62"/>
      <c r="AC193" s="62"/>
      <c r="AD193" s="61"/>
      <c r="AE193" s="62"/>
      <c r="AF193" s="62"/>
      <c r="AG193" s="62"/>
      <c r="AH193" s="62"/>
      <c r="AI193" s="62"/>
      <c r="AJ193" s="61"/>
      <c r="AK193" s="92">
        <f t="shared" si="28"/>
        <v>0</v>
      </c>
      <c r="AL193" s="93"/>
      <c r="AM193" s="94">
        <f>AK193</f>
        <v>0</v>
      </c>
      <c r="AN193" s="583"/>
      <c r="AO193" s="3"/>
      <c r="AP193" s="3"/>
      <c r="AQ193" s="3"/>
      <c r="AR193" s="3"/>
      <c r="AS193" s="3"/>
    </row>
    <row r="194" spans="3:45" ht="12.75" x14ac:dyDescent="0.2">
      <c r="C194" s="580"/>
      <c r="D194" s="576" t="s">
        <v>52</v>
      </c>
      <c r="E194" s="68" t="s">
        <v>18</v>
      </c>
      <c r="F194" s="114"/>
      <c r="G194" s="65"/>
      <c r="H194" s="65"/>
      <c r="I194" s="68"/>
      <c r="J194" s="65"/>
      <c r="K194" s="65"/>
      <c r="L194" s="65"/>
      <c r="M194" s="65"/>
      <c r="N194" s="65"/>
      <c r="O194" s="65"/>
      <c r="P194" s="68"/>
      <c r="Q194" s="65"/>
      <c r="R194" s="65"/>
      <c r="S194" s="65"/>
      <c r="T194" s="65"/>
      <c r="U194" s="65"/>
      <c r="V194" s="65"/>
      <c r="W194" s="68"/>
      <c r="X194" s="65"/>
      <c r="Y194" s="65"/>
      <c r="Z194" s="65"/>
      <c r="AA194" s="72"/>
      <c r="AB194" s="87">
        <v>5.08</v>
      </c>
      <c r="AC194" s="65"/>
      <c r="AD194" s="68"/>
      <c r="AE194" s="65"/>
      <c r="AF194" s="65"/>
      <c r="AG194" s="65"/>
      <c r="AH194" s="65"/>
      <c r="AI194" s="65"/>
      <c r="AJ194" s="68"/>
      <c r="AK194" s="88">
        <f t="shared" si="28"/>
        <v>5.08</v>
      </c>
      <c r="AL194" s="96">
        <f>AK194</f>
        <v>5.08</v>
      </c>
      <c r="AM194" s="97"/>
      <c r="AN194" s="582">
        <f>SUM(AL194:AM195)</f>
        <v>5.08</v>
      </c>
      <c r="AO194" s="3"/>
      <c r="AP194" s="3"/>
      <c r="AQ194" s="3"/>
      <c r="AR194" s="3"/>
      <c r="AS194" s="3"/>
    </row>
    <row r="195" spans="3:45" ht="12.75" x14ac:dyDescent="0.2">
      <c r="C195" s="581"/>
      <c r="D195" s="585"/>
      <c r="E195" s="100" t="s">
        <v>19</v>
      </c>
      <c r="F195" s="265"/>
      <c r="G195" s="62"/>
      <c r="H195" s="62"/>
      <c r="I195" s="61"/>
      <c r="J195" s="62"/>
      <c r="K195" s="62"/>
      <c r="L195" s="62"/>
      <c r="M195" s="62"/>
      <c r="N195" s="62"/>
      <c r="O195" s="62"/>
      <c r="P195" s="61"/>
      <c r="Q195" s="62"/>
      <c r="R195" s="62"/>
      <c r="S195" s="62"/>
      <c r="T195" s="62"/>
      <c r="U195" s="62"/>
      <c r="V195" s="62"/>
      <c r="W195" s="61"/>
      <c r="X195" s="62"/>
      <c r="Y195" s="62"/>
      <c r="Z195" s="62"/>
      <c r="AA195" s="62"/>
      <c r="AB195" s="62"/>
      <c r="AC195" s="62"/>
      <c r="AD195" s="61"/>
      <c r="AE195" s="62"/>
      <c r="AF195" s="62"/>
      <c r="AG195" s="62"/>
      <c r="AH195" s="62"/>
      <c r="AI195" s="62"/>
      <c r="AJ195" s="100"/>
      <c r="AK195" s="102">
        <f t="shared" si="28"/>
        <v>0</v>
      </c>
      <c r="AL195" s="93"/>
      <c r="AM195" s="94">
        <f>AK195</f>
        <v>0</v>
      </c>
      <c r="AN195" s="583"/>
      <c r="AO195" s="3"/>
      <c r="AP195" s="3"/>
      <c r="AQ195" s="3"/>
      <c r="AR195" s="3"/>
      <c r="AS195" s="3"/>
    </row>
    <row r="196" spans="3:45" ht="12.75" x14ac:dyDescent="0.2">
      <c r="C196" s="594" t="s">
        <v>53</v>
      </c>
      <c r="D196" s="115" t="s">
        <v>54</v>
      </c>
      <c r="E196" s="103" t="s">
        <v>18</v>
      </c>
      <c r="F196" s="271"/>
      <c r="G196" s="105"/>
      <c r="H196" s="105"/>
      <c r="I196" s="103"/>
      <c r="J196" s="105"/>
      <c r="K196" s="105"/>
      <c r="L196" s="105"/>
      <c r="M196" s="105"/>
      <c r="N196" s="105"/>
      <c r="O196" s="105"/>
      <c r="P196" s="103"/>
      <c r="Q196" s="105"/>
      <c r="R196" s="105"/>
      <c r="S196" s="105"/>
      <c r="T196" s="105"/>
      <c r="U196" s="105"/>
      <c r="V196" s="105"/>
      <c r="W196" s="103"/>
      <c r="X196" s="105"/>
      <c r="Y196" s="105"/>
      <c r="Z196" s="105"/>
      <c r="AA196" s="105"/>
      <c r="AB196" s="105"/>
      <c r="AC196" s="105"/>
      <c r="AD196" s="103"/>
      <c r="AE196" s="105"/>
      <c r="AF196" s="109">
        <v>7</v>
      </c>
      <c r="AG196" s="105"/>
      <c r="AH196" s="105"/>
      <c r="AI196" s="105"/>
      <c r="AJ196" s="103"/>
      <c r="AK196" s="107">
        <f t="shared" si="28"/>
        <v>7</v>
      </c>
      <c r="AL196" s="72">
        <f t="shared" ref="AL196:AL197" si="31">AK196</f>
        <v>7</v>
      </c>
      <c r="AM196" s="62"/>
      <c r="AN196" s="29">
        <f>AL196</f>
        <v>7</v>
      </c>
      <c r="AO196" s="3"/>
      <c r="AP196" s="3"/>
      <c r="AQ196" s="3"/>
      <c r="AR196" s="3"/>
      <c r="AS196" s="3"/>
    </row>
    <row r="197" spans="3:45" ht="12.75" x14ac:dyDescent="0.2">
      <c r="C197" s="580"/>
      <c r="D197" s="584" t="s">
        <v>55</v>
      </c>
      <c r="E197" s="68" t="s">
        <v>18</v>
      </c>
      <c r="F197" s="114"/>
      <c r="G197" s="65"/>
      <c r="H197" s="87">
        <v>109.74</v>
      </c>
      <c r="I197" s="68"/>
      <c r="J197" s="65"/>
      <c r="K197" s="65"/>
      <c r="L197" s="65"/>
      <c r="M197" s="65"/>
      <c r="N197" s="65"/>
      <c r="O197" s="65"/>
      <c r="P197" s="68"/>
      <c r="Q197" s="65"/>
      <c r="R197" s="65"/>
      <c r="S197" s="87"/>
      <c r="T197" s="65"/>
      <c r="U197" s="65"/>
      <c r="V197" s="65"/>
      <c r="W197" s="95">
        <v>23.42</v>
      </c>
      <c r="X197" s="65"/>
      <c r="Y197" s="87">
        <v>77</v>
      </c>
      <c r="Z197" s="65"/>
      <c r="AA197" s="65"/>
      <c r="AB197" s="65"/>
      <c r="AC197" s="87">
        <v>113.35</v>
      </c>
      <c r="AD197" s="68"/>
      <c r="AE197" s="65"/>
      <c r="AF197" s="65"/>
      <c r="AG197" s="87"/>
      <c r="AH197" s="65"/>
      <c r="AI197" s="65"/>
      <c r="AJ197" s="68"/>
      <c r="AK197" s="88">
        <f t="shared" si="28"/>
        <v>323.51</v>
      </c>
      <c r="AL197" s="96">
        <f t="shared" si="31"/>
        <v>323.51</v>
      </c>
      <c r="AM197" s="97"/>
      <c r="AN197" s="582">
        <f>SUM(AL197:AM198)</f>
        <v>323.51</v>
      </c>
      <c r="AO197" s="3"/>
      <c r="AP197" s="3"/>
      <c r="AQ197" s="3"/>
      <c r="AR197" s="3"/>
      <c r="AS197" s="3"/>
    </row>
    <row r="198" spans="3:45" ht="12.75" x14ac:dyDescent="0.2">
      <c r="C198" s="580"/>
      <c r="D198" s="577"/>
      <c r="E198" s="61" t="s">
        <v>19</v>
      </c>
      <c r="F198" s="264"/>
      <c r="G198" s="62"/>
      <c r="H198" s="62"/>
      <c r="I198" s="61"/>
      <c r="J198" s="62"/>
      <c r="K198" s="62"/>
      <c r="L198" s="62"/>
      <c r="M198" s="62"/>
      <c r="N198" s="62"/>
      <c r="O198" s="62"/>
      <c r="P198" s="61"/>
      <c r="Q198" s="62"/>
      <c r="R198" s="62"/>
      <c r="S198" s="62"/>
      <c r="T198" s="62"/>
      <c r="U198" s="62"/>
      <c r="V198" s="62"/>
      <c r="W198" s="61"/>
      <c r="X198" s="62"/>
      <c r="Y198" s="62"/>
      <c r="Z198" s="62"/>
      <c r="AA198" s="62"/>
      <c r="AB198" s="62"/>
      <c r="AC198" s="62"/>
      <c r="AD198" s="61"/>
      <c r="AE198" s="62"/>
      <c r="AF198" s="62"/>
      <c r="AG198" s="62"/>
      <c r="AH198" s="62"/>
      <c r="AI198" s="62"/>
      <c r="AJ198" s="61"/>
      <c r="AK198" s="92">
        <f t="shared" si="28"/>
        <v>0</v>
      </c>
      <c r="AL198" s="93"/>
      <c r="AM198" s="94">
        <f>AK198</f>
        <v>0</v>
      </c>
      <c r="AN198" s="583"/>
      <c r="AO198" s="3"/>
      <c r="AP198" s="3"/>
      <c r="AQ198" s="3"/>
      <c r="AR198" s="3"/>
      <c r="AS198" s="3"/>
    </row>
    <row r="199" spans="3:45" ht="12.75" x14ac:dyDescent="0.2">
      <c r="C199" s="580"/>
      <c r="D199" s="584" t="s">
        <v>56</v>
      </c>
      <c r="E199" s="68" t="s">
        <v>18</v>
      </c>
      <c r="F199" s="114"/>
      <c r="G199" s="65"/>
      <c r="H199" s="65"/>
      <c r="I199" s="68"/>
      <c r="J199" s="65"/>
      <c r="K199" s="65"/>
      <c r="L199" s="65"/>
      <c r="M199" s="65"/>
      <c r="N199" s="65"/>
      <c r="O199" s="65"/>
      <c r="P199" s="68"/>
      <c r="Q199" s="65"/>
      <c r="R199" s="65"/>
      <c r="S199" s="65"/>
      <c r="T199" s="65"/>
      <c r="U199" s="65"/>
      <c r="V199" s="65"/>
      <c r="W199" s="68"/>
      <c r="X199" s="65"/>
      <c r="Y199" s="65"/>
      <c r="Z199" s="65"/>
      <c r="AA199" s="65"/>
      <c r="AB199" s="65"/>
      <c r="AC199" s="65"/>
      <c r="AD199" s="68"/>
      <c r="AE199" s="65"/>
      <c r="AF199" s="65"/>
      <c r="AG199" s="65"/>
      <c r="AH199" s="65"/>
      <c r="AI199" s="65"/>
      <c r="AJ199" s="68"/>
      <c r="AK199" s="88">
        <f t="shared" si="28"/>
        <v>0</v>
      </c>
      <c r="AL199" s="96">
        <f>AK199</f>
        <v>0</v>
      </c>
      <c r="AM199" s="97"/>
      <c r="AN199" s="582">
        <f>SUM(AL199:AM200)</f>
        <v>0</v>
      </c>
      <c r="AO199" s="3"/>
      <c r="AP199" s="3"/>
      <c r="AQ199" s="3"/>
      <c r="AR199" s="3"/>
      <c r="AS199" s="3"/>
    </row>
    <row r="200" spans="3:45" ht="12.75" x14ac:dyDescent="0.2">
      <c r="C200" s="580"/>
      <c r="D200" s="577"/>
      <c r="E200" s="61" t="s">
        <v>19</v>
      </c>
      <c r="F200" s="264"/>
      <c r="G200" s="62"/>
      <c r="H200" s="62"/>
      <c r="I200" s="61"/>
      <c r="J200" s="62"/>
      <c r="K200" s="62"/>
      <c r="L200" s="62"/>
      <c r="M200" s="62"/>
      <c r="N200" s="62"/>
      <c r="O200" s="62"/>
      <c r="P200" s="61"/>
      <c r="Q200" s="62"/>
      <c r="R200" s="62"/>
      <c r="S200" s="62"/>
      <c r="T200" s="62"/>
      <c r="U200" s="62"/>
      <c r="V200" s="62"/>
      <c r="W200" s="61"/>
      <c r="X200" s="62"/>
      <c r="Y200" s="62"/>
      <c r="Z200" s="62"/>
      <c r="AA200" s="62"/>
      <c r="AB200" s="62"/>
      <c r="AC200" s="62"/>
      <c r="AD200" s="61"/>
      <c r="AE200" s="62"/>
      <c r="AF200" s="62"/>
      <c r="AG200" s="62"/>
      <c r="AH200" s="62"/>
      <c r="AI200" s="62"/>
      <c r="AJ200" s="61"/>
      <c r="AK200" s="92">
        <f t="shared" si="28"/>
        <v>0</v>
      </c>
      <c r="AL200" s="93"/>
      <c r="AM200" s="94">
        <f>AK200</f>
        <v>0</v>
      </c>
      <c r="AN200" s="583"/>
      <c r="AO200" s="3"/>
      <c r="AP200" s="3"/>
      <c r="AQ200" s="3"/>
      <c r="AR200" s="3"/>
      <c r="AS200" s="3"/>
    </row>
    <row r="201" spans="3:45" ht="12.75" x14ac:dyDescent="0.2">
      <c r="C201" s="580"/>
      <c r="D201" s="584" t="s">
        <v>57</v>
      </c>
      <c r="E201" s="68" t="s">
        <v>18</v>
      </c>
      <c r="F201" s="114"/>
      <c r="G201" s="65"/>
      <c r="H201" s="65"/>
      <c r="I201" s="95">
        <v>18.05</v>
      </c>
      <c r="J201" s="65"/>
      <c r="K201" s="65"/>
      <c r="L201" s="65"/>
      <c r="M201" s="65"/>
      <c r="N201" s="65"/>
      <c r="O201" s="65"/>
      <c r="P201" s="68"/>
      <c r="Q201" s="65"/>
      <c r="R201" s="65"/>
      <c r="S201" s="65"/>
      <c r="T201" s="65"/>
      <c r="U201" s="65"/>
      <c r="V201" s="65"/>
      <c r="W201" s="68"/>
      <c r="X201" s="65"/>
      <c r="Y201" s="65"/>
      <c r="Z201" s="65"/>
      <c r="AA201" s="72"/>
      <c r="AB201" s="65"/>
      <c r="AC201" s="65"/>
      <c r="AD201" s="68"/>
      <c r="AE201" s="65"/>
      <c r="AF201" s="65"/>
      <c r="AG201" s="65"/>
      <c r="AH201" s="65"/>
      <c r="AI201" s="65"/>
      <c r="AJ201" s="68"/>
      <c r="AK201" s="88">
        <f t="shared" si="28"/>
        <v>18.05</v>
      </c>
      <c r="AL201" s="96">
        <f>AK201</f>
        <v>18.05</v>
      </c>
      <c r="AM201" s="97"/>
      <c r="AN201" s="582">
        <f>SUM(AL201:AM202)</f>
        <v>18.05</v>
      </c>
      <c r="AO201" s="3"/>
      <c r="AP201" s="3"/>
      <c r="AQ201" s="3"/>
      <c r="AR201" s="3"/>
      <c r="AS201" s="3"/>
    </row>
    <row r="202" spans="3:45" ht="12.75" x14ac:dyDescent="0.2">
      <c r="C202" s="581"/>
      <c r="D202" s="585"/>
      <c r="E202" s="100" t="s">
        <v>19</v>
      </c>
      <c r="F202" s="265"/>
      <c r="G202" s="62"/>
      <c r="H202" s="62"/>
      <c r="I202" s="61"/>
      <c r="J202" s="62"/>
      <c r="K202" s="62"/>
      <c r="L202" s="62"/>
      <c r="M202" s="62"/>
      <c r="N202" s="62"/>
      <c r="O202" s="62"/>
      <c r="P202" s="61"/>
      <c r="Q202" s="62"/>
      <c r="R202" s="62"/>
      <c r="S202" s="62"/>
      <c r="T202" s="62"/>
      <c r="U202" s="62"/>
      <c r="V202" s="62"/>
      <c r="W202" s="61"/>
      <c r="X202" s="62"/>
      <c r="Y202" s="62"/>
      <c r="Z202" s="62"/>
      <c r="AA202" s="62"/>
      <c r="AB202" s="62"/>
      <c r="AC202" s="62"/>
      <c r="AD202" s="61"/>
      <c r="AE202" s="62"/>
      <c r="AF202" s="62"/>
      <c r="AG202" s="62"/>
      <c r="AH202" s="62"/>
      <c r="AI202" s="62"/>
      <c r="AJ202" s="100"/>
      <c r="AK202" s="102">
        <f t="shared" si="28"/>
        <v>0</v>
      </c>
      <c r="AL202" s="93"/>
      <c r="AM202" s="94">
        <f>AK202</f>
        <v>0</v>
      </c>
      <c r="AN202" s="583"/>
      <c r="AO202" s="3"/>
      <c r="AP202" s="3"/>
      <c r="AQ202" s="3"/>
      <c r="AR202" s="3"/>
      <c r="AS202" s="3"/>
    </row>
    <row r="203" spans="3:45" ht="12.75" x14ac:dyDescent="0.2">
      <c r="C203" s="594" t="s">
        <v>58</v>
      </c>
      <c r="D203" s="604" t="s">
        <v>59</v>
      </c>
      <c r="E203" s="103" t="s">
        <v>18</v>
      </c>
      <c r="F203" s="271"/>
      <c r="G203" s="105"/>
      <c r="H203" s="105"/>
      <c r="I203" s="103"/>
      <c r="J203" s="105"/>
      <c r="K203" s="105"/>
      <c r="L203" s="105"/>
      <c r="M203" s="105"/>
      <c r="N203" s="105"/>
      <c r="O203" s="105"/>
      <c r="P203" s="103"/>
      <c r="Q203" s="105"/>
      <c r="R203" s="108"/>
      <c r="S203" s="106"/>
      <c r="T203" s="108"/>
      <c r="U203" s="105"/>
      <c r="V203" s="105"/>
      <c r="W203" s="103"/>
      <c r="X203" s="105"/>
      <c r="Y203" s="105"/>
      <c r="Z203" s="105"/>
      <c r="AA203" s="105"/>
      <c r="AB203" s="105"/>
      <c r="AC203" s="105"/>
      <c r="AD203" s="103"/>
      <c r="AE203" s="105"/>
      <c r="AF203" s="108">
        <f>25+3.35</f>
        <v>28.35</v>
      </c>
      <c r="AG203" s="109"/>
      <c r="AH203" s="105"/>
      <c r="AI203" s="105"/>
      <c r="AJ203" s="103"/>
      <c r="AK203" s="107">
        <f t="shared" si="28"/>
        <v>28.35</v>
      </c>
      <c r="AL203" s="96">
        <f>AK203</f>
        <v>28.35</v>
      </c>
      <c r="AM203" s="97"/>
      <c r="AN203" s="616">
        <f>SUM(AL203:AM204)</f>
        <v>28.35</v>
      </c>
      <c r="AO203" s="3"/>
      <c r="AP203" s="3"/>
      <c r="AQ203" s="3"/>
      <c r="AR203" s="3"/>
      <c r="AS203" s="3"/>
    </row>
    <row r="204" spans="3:45" ht="12.75" x14ac:dyDescent="0.2">
      <c r="C204" s="580"/>
      <c r="D204" s="577"/>
      <c r="E204" s="61" t="s">
        <v>19</v>
      </c>
      <c r="F204" s="264"/>
      <c r="G204" s="62"/>
      <c r="H204" s="62"/>
      <c r="I204" s="61"/>
      <c r="J204" s="62"/>
      <c r="K204" s="62"/>
      <c r="L204" s="62"/>
      <c r="M204" s="62"/>
      <c r="N204" s="62"/>
      <c r="O204" s="66"/>
      <c r="P204" s="61"/>
      <c r="Q204" s="62"/>
      <c r="R204" s="62"/>
      <c r="S204" s="62"/>
      <c r="T204" s="66"/>
      <c r="U204" s="62"/>
      <c r="V204" s="62"/>
      <c r="W204" s="61"/>
      <c r="X204" s="62"/>
      <c r="Y204" s="62"/>
      <c r="Z204" s="66"/>
      <c r="AA204" s="62"/>
      <c r="AB204" s="62"/>
      <c r="AC204" s="62"/>
      <c r="AD204" s="61"/>
      <c r="AE204" s="62"/>
      <c r="AF204" s="62"/>
      <c r="AG204" s="62"/>
      <c r="AH204" s="62"/>
      <c r="AI204" s="62"/>
      <c r="AJ204" s="61"/>
      <c r="AK204" s="92">
        <f t="shared" si="28"/>
        <v>0</v>
      </c>
      <c r="AL204" s="93"/>
      <c r="AM204" s="94">
        <f>AK204</f>
        <v>0</v>
      </c>
      <c r="AN204" s="585"/>
      <c r="AO204" s="3"/>
      <c r="AP204" s="3"/>
      <c r="AQ204" s="3"/>
      <c r="AR204" s="3"/>
      <c r="AS204" s="3"/>
    </row>
    <row r="205" spans="3:45" ht="12.75" x14ac:dyDescent="0.2">
      <c r="C205" s="580"/>
      <c r="D205" s="584" t="s">
        <v>60</v>
      </c>
      <c r="E205" s="68" t="s">
        <v>18</v>
      </c>
      <c r="F205" s="114"/>
      <c r="G205" s="65"/>
      <c r="H205" s="65"/>
      <c r="I205" s="68"/>
      <c r="J205" s="65"/>
      <c r="K205" s="65"/>
      <c r="L205" s="65"/>
      <c r="M205" s="65"/>
      <c r="N205" s="65"/>
      <c r="O205" s="65"/>
      <c r="P205" s="68"/>
      <c r="Q205" s="65"/>
      <c r="R205" s="65"/>
      <c r="S205" s="65"/>
      <c r="T205" s="65"/>
      <c r="U205" s="65"/>
      <c r="V205" s="65"/>
      <c r="W205" s="68"/>
      <c r="X205" s="65"/>
      <c r="Y205" s="65"/>
      <c r="Z205" s="87"/>
      <c r="AA205" s="72"/>
      <c r="AB205" s="65"/>
      <c r="AC205" s="65"/>
      <c r="AD205" s="68"/>
      <c r="AE205" s="65"/>
      <c r="AF205" s="65"/>
      <c r="AG205" s="65"/>
      <c r="AH205" s="65"/>
      <c r="AI205" s="65"/>
      <c r="AJ205" s="68"/>
      <c r="AK205" s="88">
        <f t="shared" si="28"/>
        <v>0</v>
      </c>
      <c r="AL205" s="89">
        <f>AK205</f>
        <v>0</v>
      </c>
      <c r="AM205" s="62"/>
      <c r="AN205" s="582">
        <f>SUM(AL205:AM206)</f>
        <v>0</v>
      </c>
      <c r="AO205" s="3"/>
      <c r="AP205" s="3"/>
      <c r="AQ205" s="3"/>
      <c r="AR205" s="3"/>
      <c r="AS205" s="3"/>
    </row>
    <row r="206" spans="3:45" ht="12.75" x14ac:dyDescent="0.2">
      <c r="C206" s="580"/>
      <c r="D206" s="577"/>
      <c r="E206" s="61" t="s">
        <v>19</v>
      </c>
      <c r="F206" s="264"/>
      <c r="G206" s="62"/>
      <c r="H206" s="62"/>
      <c r="I206" s="61"/>
      <c r="J206" s="62"/>
      <c r="K206" s="62"/>
      <c r="L206" s="62"/>
      <c r="M206" s="62"/>
      <c r="N206" s="62"/>
      <c r="O206" s="62"/>
      <c r="P206" s="61"/>
      <c r="Q206" s="62"/>
      <c r="R206" s="62"/>
      <c r="S206" s="62"/>
      <c r="T206" s="62"/>
      <c r="U206" s="62"/>
      <c r="V206" s="62"/>
      <c r="W206" s="61"/>
      <c r="X206" s="62"/>
      <c r="Y206" s="62"/>
      <c r="Z206" s="62"/>
      <c r="AA206" s="62"/>
      <c r="AB206" s="62"/>
      <c r="AC206" s="62"/>
      <c r="AD206" s="61"/>
      <c r="AE206" s="62"/>
      <c r="AF206" s="62"/>
      <c r="AG206" s="62"/>
      <c r="AH206" s="62"/>
      <c r="AI206" s="62"/>
      <c r="AJ206" s="61"/>
      <c r="AK206" s="92">
        <f t="shared" si="28"/>
        <v>0</v>
      </c>
      <c r="AL206" s="114"/>
      <c r="AM206" s="66">
        <f>AK206</f>
        <v>0</v>
      </c>
      <c r="AN206" s="583"/>
      <c r="AO206" s="3"/>
      <c r="AP206" s="3"/>
      <c r="AQ206" s="3"/>
      <c r="AR206" s="3"/>
      <c r="AS206" s="3"/>
    </row>
    <row r="207" spans="3:45" ht="12.75" x14ac:dyDescent="0.2">
      <c r="C207" s="580"/>
      <c r="D207" s="584" t="s">
        <v>61</v>
      </c>
      <c r="E207" s="68" t="s">
        <v>18</v>
      </c>
      <c r="F207" s="114"/>
      <c r="G207" s="65"/>
      <c r="H207" s="65"/>
      <c r="I207" s="68"/>
      <c r="J207" s="65"/>
      <c r="K207" s="65"/>
      <c r="L207" s="65"/>
      <c r="M207" s="65"/>
      <c r="N207" s="65"/>
      <c r="O207" s="65"/>
      <c r="P207" s="68"/>
      <c r="Q207" s="65"/>
      <c r="R207" s="65"/>
      <c r="S207" s="65"/>
      <c r="T207" s="65"/>
      <c r="U207" s="65"/>
      <c r="V207" s="65"/>
      <c r="W207" s="68"/>
      <c r="X207" s="65"/>
      <c r="Y207" s="65"/>
      <c r="Z207" s="65"/>
      <c r="AA207" s="65"/>
      <c r="AB207" s="65"/>
      <c r="AC207" s="65">
        <f>28.6+5.5</f>
        <v>34.1</v>
      </c>
      <c r="AD207" s="68"/>
      <c r="AE207" s="65"/>
      <c r="AF207" s="65"/>
      <c r="AG207" s="65"/>
      <c r="AH207" s="65"/>
      <c r="AI207" s="65"/>
      <c r="AJ207" s="68"/>
      <c r="AK207" s="88">
        <f t="shared" si="28"/>
        <v>34.1</v>
      </c>
      <c r="AL207" s="96">
        <f>AK207</f>
        <v>34.1</v>
      </c>
      <c r="AM207" s="97"/>
      <c r="AN207" s="616">
        <f>SUM(AL207:AM208)</f>
        <v>34.1</v>
      </c>
      <c r="AO207" s="3"/>
      <c r="AP207" s="3"/>
      <c r="AQ207" s="3"/>
      <c r="AR207" s="3"/>
      <c r="AS207" s="3"/>
    </row>
    <row r="208" spans="3:45" ht="12.75" x14ac:dyDescent="0.2">
      <c r="C208" s="580"/>
      <c r="D208" s="577"/>
      <c r="E208" s="61" t="s">
        <v>19</v>
      </c>
      <c r="F208" s="264"/>
      <c r="G208" s="62"/>
      <c r="H208" s="62"/>
      <c r="I208" s="61"/>
      <c r="J208" s="62"/>
      <c r="K208" s="62"/>
      <c r="L208" s="62"/>
      <c r="M208" s="62"/>
      <c r="N208" s="62"/>
      <c r="O208" s="62"/>
      <c r="P208" s="61"/>
      <c r="Q208" s="62"/>
      <c r="R208" s="91"/>
      <c r="S208" s="62"/>
      <c r="T208" s="62"/>
      <c r="U208" s="62"/>
      <c r="V208" s="62"/>
      <c r="W208" s="61"/>
      <c r="X208" s="62"/>
      <c r="Y208" s="62"/>
      <c r="Z208" s="62"/>
      <c r="AA208" s="62"/>
      <c r="AB208" s="62"/>
      <c r="AC208" s="62"/>
      <c r="AD208" s="61"/>
      <c r="AE208" s="62"/>
      <c r="AF208" s="62"/>
      <c r="AG208" s="62"/>
      <c r="AH208" s="62"/>
      <c r="AI208" s="62"/>
      <c r="AJ208" s="61"/>
      <c r="AK208" s="92">
        <f t="shared" si="28"/>
        <v>0</v>
      </c>
      <c r="AL208" s="93"/>
      <c r="AM208" s="94">
        <f>AK208</f>
        <v>0</v>
      </c>
      <c r="AN208" s="585"/>
      <c r="AO208" s="3"/>
      <c r="AP208" s="3"/>
      <c r="AQ208" s="3"/>
      <c r="AR208" s="3"/>
      <c r="AS208" s="3"/>
    </row>
    <row r="209" spans="3:45" ht="12.75" x14ac:dyDescent="0.2">
      <c r="C209" s="580"/>
      <c r="D209" s="584" t="s">
        <v>62</v>
      </c>
      <c r="E209" s="68" t="s">
        <v>18</v>
      </c>
      <c r="F209" s="114"/>
      <c r="G209" s="65"/>
      <c r="H209" s="65"/>
      <c r="I209" s="68"/>
      <c r="J209" s="65"/>
      <c r="K209" s="65"/>
      <c r="L209" s="65"/>
      <c r="M209" s="65"/>
      <c r="N209" s="65"/>
      <c r="O209" s="65"/>
      <c r="P209" s="68"/>
      <c r="Q209" s="65"/>
      <c r="R209" s="65"/>
      <c r="S209" s="65"/>
      <c r="T209" s="65"/>
      <c r="U209" s="65"/>
      <c r="V209" s="65"/>
      <c r="W209" s="68"/>
      <c r="X209" s="65"/>
      <c r="Y209" s="65"/>
      <c r="Z209" s="65"/>
      <c r="AA209" s="65"/>
      <c r="AB209" s="65"/>
      <c r="AC209" s="65"/>
      <c r="AD209" s="68"/>
      <c r="AE209" s="65"/>
      <c r="AF209" s="65"/>
      <c r="AG209" s="65"/>
      <c r="AH209" s="65"/>
      <c r="AI209" s="65"/>
      <c r="AJ209" s="68"/>
      <c r="AK209" s="88">
        <f t="shared" si="28"/>
        <v>0</v>
      </c>
      <c r="AL209" s="96">
        <f>AK209</f>
        <v>0</v>
      </c>
      <c r="AM209" s="97"/>
      <c r="AN209" s="582">
        <f>SUM(AL209:AM210)</f>
        <v>0</v>
      </c>
      <c r="AO209" s="3"/>
      <c r="AP209" s="3"/>
      <c r="AQ209" s="3"/>
      <c r="AR209" s="3"/>
      <c r="AS209" s="3"/>
    </row>
    <row r="210" spans="3:45" ht="12.75" x14ac:dyDescent="0.2">
      <c r="C210" s="581"/>
      <c r="D210" s="585"/>
      <c r="E210" s="100" t="s">
        <v>19</v>
      </c>
      <c r="F210" s="265"/>
      <c r="G210" s="62"/>
      <c r="H210" s="62"/>
      <c r="I210" s="61"/>
      <c r="J210" s="62"/>
      <c r="K210" s="62"/>
      <c r="L210" s="62"/>
      <c r="M210" s="62"/>
      <c r="N210" s="62"/>
      <c r="O210" s="62"/>
      <c r="P210" s="61"/>
      <c r="Q210" s="62"/>
      <c r="R210" s="62"/>
      <c r="S210" s="62"/>
      <c r="T210" s="62"/>
      <c r="U210" s="62"/>
      <c r="V210" s="62"/>
      <c r="W210" s="61"/>
      <c r="X210" s="62"/>
      <c r="Y210" s="62"/>
      <c r="Z210" s="62"/>
      <c r="AA210" s="62"/>
      <c r="AB210" s="62"/>
      <c r="AC210" s="62"/>
      <c r="AD210" s="61"/>
      <c r="AE210" s="62"/>
      <c r="AF210" s="62"/>
      <c r="AG210" s="62"/>
      <c r="AH210" s="62"/>
      <c r="AI210" s="62"/>
      <c r="AJ210" s="100"/>
      <c r="AK210" s="102">
        <f t="shared" si="28"/>
        <v>0</v>
      </c>
      <c r="AL210" s="93"/>
      <c r="AM210" s="94">
        <f>AK210</f>
        <v>0</v>
      </c>
      <c r="AN210" s="583"/>
      <c r="AO210" s="3"/>
      <c r="AP210" s="3"/>
      <c r="AQ210" s="3"/>
      <c r="AR210" s="3"/>
      <c r="AS210" s="3"/>
    </row>
    <row r="211" spans="3:45" ht="12.75" x14ac:dyDescent="0.2">
      <c r="C211" s="594" t="s">
        <v>63</v>
      </c>
      <c r="D211" s="604" t="s">
        <v>64</v>
      </c>
      <c r="E211" s="103" t="s">
        <v>18</v>
      </c>
      <c r="F211" s="271"/>
      <c r="G211" s="105"/>
      <c r="H211" s="105"/>
      <c r="I211" s="103"/>
      <c r="J211" s="105"/>
      <c r="K211" s="105"/>
      <c r="L211" s="105"/>
      <c r="M211" s="105"/>
      <c r="N211" s="105"/>
      <c r="O211" s="105"/>
      <c r="P211" s="103"/>
      <c r="Q211" s="105"/>
      <c r="R211" s="105"/>
      <c r="S211" s="105"/>
      <c r="T211" s="105"/>
      <c r="U211" s="105"/>
      <c r="V211" s="105"/>
      <c r="W211" s="103"/>
      <c r="X211" s="105"/>
      <c r="Y211" s="105"/>
      <c r="Z211" s="105"/>
      <c r="AA211" s="105"/>
      <c r="AB211" s="105"/>
      <c r="AC211" s="105"/>
      <c r="AD211" s="103"/>
      <c r="AE211" s="105"/>
      <c r="AF211" s="105"/>
      <c r="AG211" s="105"/>
      <c r="AH211" s="105"/>
      <c r="AI211" s="105"/>
      <c r="AJ211" s="103"/>
      <c r="AK211" s="107">
        <f t="shared" si="28"/>
        <v>0</v>
      </c>
      <c r="AL211" s="108">
        <f>AK211</f>
        <v>0</v>
      </c>
      <c r="AM211" s="97"/>
      <c r="AN211" s="582">
        <f>SUM(AL211:AM212)</f>
        <v>0</v>
      </c>
      <c r="AO211" s="3"/>
      <c r="AP211" s="3"/>
      <c r="AQ211" s="3"/>
      <c r="AR211" s="3"/>
      <c r="AS211" s="3"/>
    </row>
    <row r="212" spans="3:45" ht="12.75" x14ac:dyDescent="0.2">
      <c r="C212" s="580"/>
      <c r="D212" s="577"/>
      <c r="E212" s="61" t="s">
        <v>19</v>
      </c>
      <c r="F212" s="264"/>
      <c r="G212" s="62"/>
      <c r="H212" s="62"/>
      <c r="I212" s="61"/>
      <c r="J212" s="62"/>
      <c r="K212" s="62"/>
      <c r="L212" s="62"/>
      <c r="M212" s="62"/>
      <c r="N212" s="62"/>
      <c r="O212" s="62"/>
      <c r="P212" s="61"/>
      <c r="Q212" s="62"/>
      <c r="R212" s="62"/>
      <c r="S212" s="62"/>
      <c r="T212" s="62"/>
      <c r="U212" s="62"/>
      <c r="V212" s="62"/>
      <c r="W212" s="61"/>
      <c r="X212" s="62"/>
      <c r="Y212" s="62"/>
      <c r="Z212" s="62"/>
      <c r="AA212" s="62"/>
      <c r="AB212" s="62"/>
      <c r="AC212" s="62"/>
      <c r="AD212" s="61"/>
      <c r="AE212" s="62"/>
      <c r="AF212" s="62"/>
      <c r="AG212" s="62"/>
      <c r="AH212" s="62"/>
      <c r="AI212" s="62"/>
      <c r="AJ212" s="61"/>
      <c r="AK212" s="92">
        <f t="shared" si="28"/>
        <v>0</v>
      </c>
      <c r="AL212" s="93"/>
      <c r="AM212" s="94">
        <f>AK212</f>
        <v>0</v>
      </c>
      <c r="AN212" s="583"/>
      <c r="AO212" s="3"/>
      <c r="AP212" s="3"/>
      <c r="AQ212" s="3"/>
      <c r="AR212" s="3"/>
      <c r="AS212" s="3"/>
    </row>
    <row r="213" spans="3:45" ht="12.75" x14ac:dyDescent="0.2">
      <c r="C213" s="580"/>
      <c r="D213" s="584" t="s">
        <v>65</v>
      </c>
      <c r="E213" s="68" t="s">
        <v>18</v>
      </c>
      <c r="F213" s="114"/>
      <c r="G213" s="65"/>
      <c r="H213" s="65"/>
      <c r="I213" s="68"/>
      <c r="J213" s="65"/>
      <c r="K213" s="65"/>
      <c r="L213" s="65"/>
      <c r="M213" s="65"/>
      <c r="N213" s="65"/>
      <c r="O213" s="65"/>
      <c r="P213" s="68"/>
      <c r="Q213" s="65"/>
      <c r="R213" s="65"/>
      <c r="S213" s="65"/>
      <c r="T213" s="65"/>
      <c r="U213" s="65"/>
      <c r="V213" s="65"/>
      <c r="W213" s="68"/>
      <c r="X213" s="65"/>
      <c r="Y213" s="65"/>
      <c r="Z213" s="65"/>
      <c r="AA213" s="65"/>
      <c r="AB213" s="65"/>
      <c r="AC213" s="65"/>
      <c r="AD213" s="68"/>
      <c r="AE213" s="65"/>
      <c r="AF213" s="65"/>
      <c r="AG213" s="65"/>
      <c r="AH213" s="65"/>
      <c r="AI213" s="65"/>
      <c r="AJ213" s="68"/>
      <c r="AK213" s="88">
        <f t="shared" si="28"/>
        <v>0</v>
      </c>
      <c r="AL213" s="96">
        <f>AK213</f>
        <v>0</v>
      </c>
      <c r="AM213" s="97"/>
      <c r="AN213" s="582">
        <f>SUM(AL213:AM214)</f>
        <v>0</v>
      </c>
      <c r="AO213" s="3"/>
      <c r="AP213" s="3"/>
      <c r="AQ213" s="3"/>
      <c r="AR213" s="3"/>
      <c r="AS213" s="3"/>
    </row>
    <row r="214" spans="3:45" ht="12.75" x14ac:dyDescent="0.2">
      <c r="C214" s="581"/>
      <c r="D214" s="585"/>
      <c r="E214" s="100" t="s">
        <v>19</v>
      </c>
      <c r="F214" s="265"/>
      <c r="G214" s="62"/>
      <c r="H214" s="62"/>
      <c r="I214" s="61"/>
      <c r="J214" s="62"/>
      <c r="K214" s="66"/>
      <c r="L214" s="62"/>
      <c r="M214" s="62"/>
      <c r="N214" s="62"/>
      <c r="O214" s="62"/>
      <c r="P214" s="61"/>
      <c r="Q214" s="62"/>
      <c r="R214" s="62"/>
      <c r="S214" s="62"/>
      <c r="T214" s="62"/>
      <c r="U214" s="62"/>
      <c r="V214" s="62"/>
      <c r="W214" s="61"/>
      <c r="X214" s="62"/>
      <c r="Y214" s="62"/>
      <c r="Z214" s="62"/>
      <c r="AA214" s="62"/>
      <c r="AB214" s="62"/>
      <c r="AC214" s="62"/>
      <c r="AD214" s="61"/>
      <c r="AE214" s="62"/>
      <c r="AF214" s="62"/>
      <c r="AG214" s="62"/>
      <c r="AH214" s="62"/>
      <c r="AI214" s="91"/>
      <c r="AJ214" s="100"/>
      <c r="AK214" s="102">
        <f t="shared" si="28"/>
        <v>0</v>
      </c>
      <c r="AL214" s="93"/>
      <c r="AM214" s="94">
        <f>AK214</f>
        <v>0</v>
      </c>
      <c r="AN214" s="583"/>
      <c r="AO214" s="3"/>
      <c r="AP214" s="3"/>
      <c r="AQ214" s="3"/>
      <c r="AR214" s="3"/>
      <c r="AS214" s="3"/>
    </row>
    <row r="215" spans="3:45" ht="12.75" x14ac:dyDescent="0.2">
      <c r="C215" s="117" t="s">
        <v>66</v>
      </c>
      <c r="D215" s="118"/>
      <c r="E215" s="119"/>
      <c r="F215" s="126"/>
      <c r="G215" s="121"/>
      <c r="H215" s="121"/>
      <c r="I215" s="123"/>
      <c r="J215" s="122"/>
      <c r="K215" s="122"/>
      <c r="L215" s="122"/>
      <c r="M215" s="122"/>
      <c r="N215" s="122"/>
      <c r="O215" s="122"/>
      <c r="P215" s="124"/>
      <c r="Q215" s="122"/>
      <c r="R215" s="122"/>
      <c r="S215" s="121"/>
      <c r="T215" s="122"/>
      <c r="U215" s="121"/>
      <c r="V215" s="122"/>
      <c r="W215" s="123"/>
      <c r="X215" s="122"/>
      <c r="Y215" s="122"/>
      <c r="Z215" s="122"/>
      <c r="AA215" s="122"/>
      <c r="AB215" s="122"/>
      <c r="AC215" s="122"/>
      <c r="AD215" s="123"/>
      <c r="AE215" s="122"/>
      <c r="AF215" s="122"/>
      <c r="AG215" s="122"/>
      <c r="AH215" s="121"/>
      <c r="AI215" s="122"/>
      <c r="AJ215" s="119"/>
      <c r="AK215" s="125">
        <f t="shared" si="28"/>
        <v>0</v>
      </c>
      <c r="AL215" s="126"/>
      <c r="AM215" s="118"/>
      <c r="AN215" s="119"/>
      <c r="AO215" s="3"/>
      <c r="AP215" s="3"/>
      <c r="AQ215" s="3"/>
      <c r="AR215" s="3"/>
      <c r="AS215" s="3"/>
    </row>
    <row r="216" spans="3:45" ht="12.75" x14ac:dyDescent="0.2">
      <c r="C216" s="127" t="s">
        <v>32</v>
      </c>
      <c r="D216" s="62"/>
      <c r="E216" s="61"/>
      <c r="F216" s="272">
        <f t="shared" ref="F216:AM216" si="32">SUM(F163:F214)</f>
        <v>0</v>
      </c>
      <c r="G216" s="129">
        <f t="shared" si="32"/>
        <v>0</v>
      </c>
      <c r="H216" s="129">
        <f t="shared" si="32"/>
        <v>147.25</v>
      </c>
      <c r="I216" s="130">
        <f t="shared" si="32"/>
        <v>57.84</v>
      </c>
      <c r="J216" s="129">
        <f t="shared" si="32"/>
        <v>163</v>
      </c>
      <c r="K216" s="129">
        <f t="shared" si="32"/>
        <v>1637.3500000000001</v>
      </c>
      <c r="L216" s="129">
        <f t="shared" si="32"/>
        <v>101.13</v>
      </c>
      <c r="M216" s="129">
        <f t="shared" si="32"/>
        <v>82.9</v>
      </c>
      <c r="N216" s="129">
        <f t="shared" si="32"/>
        <v>97.509999999999991</v>
      </c>
      <c r="O216" s="129">
        <f t="shared" si="32"/>
        <v>0</v>
      </c>
      <c r="P216" s="130">
        <f t="shared" si="32"/>
        <v>52.589999999999996</v>
      </c>
      <c r="Q216" s="129">
        <f t="shared" si="32"/>
        <v>16.79</v>
      </c>
      <c r="R216" s="129">
        <f t="shared" si="32"/>
        <v>39.5</v>
      </c>
      <c r="S216" s="129">
        <f t="shared" si="32"/>
        <v>139.98000000000002</v>
      </c>
      <c r="T216" s="129">
        <f t="shared" si="32"/>
        <v>37.129999999999995</v>
      </c>
      <c r="U216" s="129">
        <f t="shared" si="32"/>
        <v>50.79</v>
      </c>
      <c r="V216" s="129">
        <f t="shared" si="32"/>
        <v>0</v>
      </c>
      <c r="W216" s="130">
        <f t="shared" si="32"/>
        <v>47</v>
      </c>
      <c r="X216" s="129">
        <f t="shared" si="32"/>
        <v>25.77</v>
      </c>
      <c r="Y216" s="129">
        <f t="shared" si="32"/>
        <v>175.99</v>
      </c>
      <c r="Z216" s="129">
        <f t="shared" si="32"/>
        <v>0</v>
      </c>
      <c r="AA216" s="129">
        <f t="shared" si="32"/>
        <v>0</v>
      </c>
      <c r="AB216" s="129">
        <f t="shared" si="32"/>
        <v>63.08</v>
      </c>
      <c r="AC216" s="129">
        <f t="shared" si="32"/>
        <v>156.5</v>
      </c>
      <c r="AD216" s="130">
        <f t="shared" si="32"/>
        <v>123.49000000000001</v>
      </c>
      <c r="AE216" s="129">
        <f t="shared" si="32"/>
        <v>17.53</v>
      </c>
      <c r="AF216" s="129">
        <f t="shared" si="32"/>
        <v>45.35</v>
      </c>
      <c r="AG216" s="129">
        <f t="shared" si="32"/>
        <v>42.41</v>
      </c>
      <c r="AH216" s="129">
        <f t="shared" si="32"/>
        <v>72.47</v>
      </c>
      <c r="AI216" s="129">
        <f t="shared" si="32"/>
        <v>47.74</v>
      </c>
      <c r="AJ216" s="92">
        <f t="shared" si="32"/>
        <v>0</v>
      </c>
      <c r="AK216" s="131">
        <f t="shared" si="32"/>
        <v>3441.09</v>
      </c>
      <c r="AL216" s="72">
        <f t="shared" si="32"/>
        <v>1878.09</v>
      </c>
      <c r="AM216" s="66">
        <f t="shared" si="32"/>
        <v>1563</v>
      </c>
      <c r="AN216" s="3"/>
      <c r="AO216" s="3"/>
      <c r="AP216" s="3"/>
      <c r="AQ216" s="3"/>
      <c r="AR216" s="3"/>
      <c r="AS216" s="3"/>
    </row>
    <row r="217" spans="3:45" ht="16.5" x14ac:dyDescent="0.25">
      <c r="C217" s="3"/>
      <c r="D217" s="3"/>
      <c r="E217" s="3"/>
      <c r="F217" s="595">
        <f>SUM(F216:I216)</f>
        <v>205.09</v>
      </c>
      <c r="G217" s="585"/>
      <c r="H217" s="585"/>
      <c r="I217" s="583"/>
      <c r="J217" s="605">
        <f>SUM(J216:P216)</f>
        <v>2134.4800000000005</v>
      </c>
      <c r="K217" s="585"/>
      <c r="L217" s="585"/>
      <c r="M217" s="585"/>
      <c r="N217" s="585"/>
      <c r="O217" s="585"/>
      <c r="P217" s="583"/>
      <c r="Q217" s="605">
        <f>SUM(Q216:W216)</f>
        <v>331.19</v>
      </c>
      <c r="R217" s="585"/>
      <c r="S217" s="585"/>
      <c r="T217" s="585"/>
      <c r="U217" s="585"/>
      <c r="V217" s="585"/>
      <c r="W217" s="583"/>
      <c r="X217" s="605">
        <f>SUM(X216:AD216)</f>
        <v>544.83000000000004</v>
      </c>
      <c r="Y217" s="585"/>
      <c r="Z217" s="585"/>
      <c r="AA217" s="585"/>
      <c r="AB217" s="585"/>
      <c r="AC217" s="585"/>
      <c r="AD217" s="583"/>
      <c r="AE217" s="605">
        <f>SUM(AE216:AJ216)</f>
        <v>225.5</v>
      </c>
      <c r="AF217" s="585"/>
      <c r="AG217" s="585"/>
      <c r="AH217" s="585"/>
      <c r="AI217" s="585"/>
      <c r="AJ217" s="583"/>
      <c r="AK217" s="3"/>
      <c r="AL217" s="3"/>
      <c r="AM217" s="3"/>
      <c r="AN217" s="3"/>
      <c r="AO217" s="3"/>
      <c r="AP217" s="3"/>
      <c r="AQ217" s="3"/>
      <c r="AR217" s="3"/>
      <c r="AS217" s="3"/>
    </row>
    <row r="219" spans="3:45" ht="16.5" x14ac:dyDescent="0.25">
      <c r="C219" s="624">
        <v>2025</v>
      </c>
      <c r="D219" s="625"/>
      <c r="E219" s="625"/>
      <c r="F219" s="625"/>
      <c r="G219" s="625"/>
      <c r="H219" s="625"/>
      <c r="I219" s="625"/>
      <c r="J219" s="625"/>
      <c r="K219" s="625"/>
      <c r="L219" s="625"/>
      <c r="M219" s="625"/>
      <c r="N219" s="625"/>
      <c r="O219" s="625"/>
      <c r="P219" s="625"/>
      <c r="Q219" s="625"/>
      <c r="R219" s="625"/>
      <c r="S219" s="625"/>
      <c r="T219" s="625"/>
      <c r="U219" s="625"/>
      <c r="V219" s="625"/>
      <c r="W219" s="625"/>
      <c r="X219" s="625"/>
      <c r="Y219" s="625"/>
      <c r="Z219" s="625"/>
      <c r="AA219" s="625"/>
      <c r="AB219" s="625"/>
      <c r="AC219" s="625"/>
      <c r="AD219" s="625"/>
      <c r="AE219" s="625"/>
      <c r="AF219" s="625"/>
      <c r="AG219" s="625"/>
      <c r="AH219" s="625"/>
      <c r="AI219" s="625"/>
      <c r="AJ219" s="625"/>
      <c r="AK219" s="625"/>
      <c r="AL219" s="625"/>
      <c r="AM219" s="625"/>
      <c r="AN219" s="625"/>
    </row>
    <row r="220" spans="3:45" ht="12.75" x14ac:dyDescent="0.2">
      <c r="C220" s="3"/>
      <c r="D220" s="3"/>
      <c r="E220" s="3"/>
      <c r="F220" s="578" t="s">
        <v>68</v>
      </c>
      <c r="G220" s="577"/>
      <c r="H220" s="577"/>
      <c r="I220" s="577"/>
      <c r="J220" s="577"/>
      <c r="K220" s="577"/>
      <c r="L220" s="577"/>
      <c r="M220" s="577"/>
      <c r="N220" s="577"/>
      <c r="O220" s="577"/>
      <c r="P220" s="577"/>
      <c r="Q220" s="577"/>
      <c r="R220" s="577"/>
      <c r="S220" s="577"/>
      <c r="T220" s="577"/>
      <c r="U220" s="577"/>
      <c r="V220" s="577"/>
      <c r="W220" s="577"/>
      <c r="X220" s="577"/>
      <c r="Y220" s="577"/>
      <c r="Z220" s="577"/>
      <c r="AA220" s="577"/>
      <c r="AB220" s="577"/>
      <c r="AC220" s="577"/>
      <c r="AD220" s="577"/>
      <c r="AE220" s="577"/>
      <c r="AF220" s="577"/>
      <c r="AG220" s="577"/>
      <c r="AH220" s="577"/>
      <c r="AI220" s="577"/>
      <c r="AJ220" s="577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3:45" ht="12.75" x14ac:dyDescent="0.2">
      <c r="C221" s="3"/>
      <c r="D221" s="3"/>
      <c r="E221" s="5" t="s">
        <v>9</v>
      </c>
      <c r="F221" s="255" t="s">
        <v>11</v>
      </c>
      <c r="G221" s="7" t="s">
        <v>12</v>
      </c>
      <c r="H221" s="7" t="s">
        <v>13</v>
      </c>
      <c r="I221" s="7" t="s">
        <v>14</v>
      </c>
      <c r="J221" s="7" t="s">
        <v>15</v>
      </c>
      <c r="K221" s="7" t="s">
        <v>16</v>
      </c>
      <c r="L221" s="8" t="s">
        <v>10</v>
      </c>
      <c r="M221" s="255" t="s">
        <v>11</v>
      </c>
      <c r="N221" s="7" t="s">
        <v>12</v>
      </c>
      <c r="O221" s="7" t="s">
        <v>13</v>
      </c>
      <c r="P221" s="7" t="s">
        <v>14</v>
      </c>
      <c r="Q221" s="7" t="s">
        <v>15</v>
      </c>
      <c r="R221" s="7" t="s">
        <v>16</v>
      </c>
      <c r="S221" s="8" t="s">
        <v>10</v>
      </c>
      <c r="T221" s="255" t="s">
        <v>11</v>
      </c>
      <c r="U221" s="7" t="s">
        <v>12</v>
      </c>
      <c r="V221" s="7" t="s">
        <v>13</v>
      </c>
      <c r="W221" s="7" t="s">
        <v>14</v>
      </c>
      <c r="X221" s="7" t="s">
        <v>15</v>
      </c>
      <c r="Y221" s="7" t="s">
        <v>16</v>
      </c>
      <c r="Z221" s="8" t="s">
        <v>10</v>
      </c>
      <c r="AA221" s="255" t="s">
        <v>11</v>
      </c>
      <c r="AB221" s="7" t="s">
        <v>12</v>
      </c>
      <c r="AC221" s="7" t="s">
        <v>13</v>
      </c>
      <c r="AD221" s="7" t="s">
        <v>14</v>
      </c>
      <c r="AE221" s="7" t="s">
        <v>15</v>
      </c>
      <c r="AF221" s="7" t="s">
        <v>16</v>
      </c>
      <c r="AG221" s="8" t="s">
        <v>10</v>
      </c>
      <c r="AH221" s="255" t="s">
        <v>11</v>
      </c>
      <c r="AI221" s="7" t="s">
        <v>12</v>
      </c>
      <c r="AJ221" s="8" t="s">
        <v>13</v>
      </c>
      <c r="AK221" s="9"/>
      <c r="AL221" s="10"/>
      <c r="AM221" s="9"/>
      <c r="AN221" s="11"/>
      <c r="AO221" s="3"/>
      <c r="AP221" s="10"/>
      <c r="AQ221" s="12" t="s">
        <v>17</v>
      </c>
      <c r="AR221" s="12" t="s">
        <v>18</v>
      </c>
      <c r="AS221" s="12" t="s">
        <v>19</v>
      </c>
    </row>
    <row r="222" spans="3:45" ht="12.75" x14ac:dyDescent="0.2">
      <c r="C222" s="3"/>
      <c r="D222" s="3"/>
      <c r="E222" s="5" t="s">
        <v>20</v>
      </c>
      <c r="F222" s="256">
        <v>1</v>
      </c>
      <c r="G222" s="4">
        <v>2</v>
      </c>
      <c r="H222" s="4">
        <v>3</v>
      </c>
      <c r="I222" s="4">
        <v>4</v>
      </c>
      <c r="J222" s="4">
        <v>5</v>
      </c>
      <c r="K222" s="4">
        <v>6</v>
      </c>
      <c r="L222" s="15">
        <v>7</v>
      </c>
      <c r="M222" s="256">
        <v>8</v>
      </c>
      <c r="N222" s="4">
        <v>9</v>
      </c>
      <c r="O222" s="4">
        <v>10</v>
      </c>
      <c r="P222" s="4">
        <v>11</v>
      </c>
      <c r="Q222" s="4">
        <v>12</v>
      </c>
      <c r="R222" s="4">
        <v>13</v>
      </c>
      <c r="S222" s="15">
        <v>14</v>
      </c>
      <c r="T222" s="256">
        <v>15</v>
      </c>
      <c r="U222" s="4">
        <v>16</v>
      </c>
      <c r="V222" s="4">
        <v>17</v>
      </c>
      <c r="W222" s="4">
        <v>18</v>
      </c>
      <c r="X222" s="4">
        <v>19</v>
      </c>
      <c r="Y222" s="4">
        <v>20</v>
      </c>
      <c r="Z222" s="15">
        <v>21</v>
      </c>
      <c r="AA222" s="256">
        <v>22</v>
      </c>
      <c r="AB222" s="4">
        <v>23</v>
      </c>
      <c r="AC222" s="4">
        <v>24</v>
      </c>
      <c r="AD222" s="4">
        <v>25</v>
      </c>
      <c r="AE222" s="4">
        <v>26</v>
      </c>
      <c r="AF222" s="4">
        <v>27</v>
      </c>
      <c r="AG222" s="15">
        <v>28</v>
      </c>
      <c r="AH222" s="256">
        <v>29</v>
      </c>
      <c r="AI222" s="273">
        <v>30</v>
      </c>
      <c r="AJ222" s="18">
        <v>31</v>
      </c>
      <c r="AK222" s="5" t="s">
        <v>21</v>
      </c>
      <c r="AL222" s="10" t="s">
        <v>18</v>
      </c>
      <c r="AM222" s="9" t="s">
        <v>19</v>
      </c>
      <c r="AN222" s="11" t="s">
        <v>22</v>
      </c>
      <c r="AO222" s="3"/>
      <c r="AP222" s="12" t="s">
        <v>23</v>
      </c>
      <c r="AQ222" s="19">
        <f>AK235-AK288</f>
        <v>1559.3699999999994</v>
      </c>
      <c r="AR222" s="19">
        <f t="shared" ref="AR222:AS222" si="33">(AL235-AL288)</f>
        <v>1642.6199999999994</v>
      </c>
      <c r="AS222" s="19">
        <f t="shared" si="33"/>
        <v>-110.25</v>
      </c>
    </row>
    <row r="223" spans="3:45" ht="12.75" x14ac:dyDescent="0.2">
      <c r="C223" s="579" t="s">
        <v>24</v>
      </c>
      <c r="D223" s="20" t="s">
        <v>25</v>
      </c>
      <c r="E223" s="21" t="s">
        <v>18</v>
      </c>
      <c r="F223" s="257"/>
      <c r="G223" s="23"/>
      <c r="H223" s="23"/>
      <c r="I223" s="23"/>
      <c r="J223" s="24">
        <v>1176</v>
      </c>
      <c r="K223" s="23"/>
      <c r="L223" s="21"/>
      <c r="M223" s="257"/>
      <c r="N223" s="23"/>
      <c r="O223" s="23"/>
      <c r="P223" s="23"/>
      <c r="Q223" s="23"/>
      <c r="R223" s="23"/>
      <c r="S223" s="21"/>
      <c r="T223" s="257"/>
      <c r="U223" s="23"/>
      <c r="V223" s="23"/>
      <c r="W223" s="23"/>
      <c r="X223" s="25">
        <v>1050</v>
      </c>
      <c r="Y223" s="274"/>
      <c r="Z223" s="21"/>
      <c r="AA223" s="257"/>
      <c r="AB223" s="23"/>
      <c r="AC223" s="23"/>
      <c r="AD223" s="23"/>
      <c r="AE223" s="23"/>
      <c r="AF223" s="23"/>
      <c r="AG223" s="21"/>
      <c r="AH223" s="275">
        <v>1700</v>
      </c>
      <c r="AI223" s="23"/>
      <c r="AJ223" s="21"/>
      <c r="AK223" s="27">
        <f t="shared" ref="AK223:AK234" si="34">SUM(F223:AJ223)</f>
        <v>3926</v>
      </c>
      <c r="AL223" s="28">
        <f t="shared" ref="AL223:AL224" si="35">AK223</f>
        <v>3926</v>
      </c>
      <c r="AM223" s="9"/>
      <c r="AN223" s="29">
        <f>AL223</f>
        <v>3926</v>
      </c>
      <c r="AO223" s="3"/>
      <c r="AP223" s="3"/>
      <c r="AQ223" s="3"/>
      <c r="AR223" s="3"/>
      <c r="AS223" s="3"/>
    </row>
    <row r="224" spans="3:45" ht="12.75" x14ac:dyDescent="0.2">
      <c r="C224" s="580"/>
      <c r="D224" s="576" t="s">
        <v>26</v>
      </c>
      <c r="E224" s="31" t="s">
        <v>18</v>
      </c>
      <c r="F224" s="45"/>
      <c r="G224" s="10"/>
      <c r="H224" s="10"/>
      <c r="I224" s="10"/>
      <c r="J224" s="10"/>
      <c r="K224" s="10"/>
      <c r="L224" s="31"/>
      <c r="M224" s="45"/>
      <c r="N224" s="10"/>
      <c r="O224" s="10"/>
      <c r="P224" s="10"/>
      <c r="Q224" s="10"/>
      <c r="R224" s="10"/>
      <c r="S224" s="31"/>
      <c r="T224" s="45"/>
      <c r="U224" s="10"/>
      <c r="V224" s="10"/>
      <c r="W224" s="10"/>
      <c r="X224" s="10"/>
      <c r="Y224" s="10"/>
      <c r="Z224" s="31"/>
      <c r="AA224" s="45"/>
      <c r="AB224" s="10"/>
      <c r="AC224" s="10"/>
      <c r="AD224" s="10"/>
      <c r="AE224" s="10"/>
      <c r="AF224" s="10"/>
      <c r="AG224" s="31"/>
      <c r="AH224" s="45"/>
      <c r="AI224" s="10"/>
      <c r="AJ224" s="31"/>
      <c r="AK224" s="33">
        <f t="shared" si="34"/>
        <v>0</v>
      </c>
      <c r="AL224" s="34">
        <f t="shared" si="35"/>
        <v>0</v>
      </c>
      <c r="AM224" s="35"/>
      <c r="AN224" s="582">
        <f>SUM(AL224:AM225)</f>
        <v>0</v>
      </c>
      <c r="AO224" s="3"/>
      <c r="AP224" s="3"/>
      <c r="AQ224" s="3"/>
      <c r="AR224" s="3"/>
      <c r="AS224" s="3"/>
    </row>
    <row r="225" spans="3:45" ht="12.75" x14ac:dyDescent="0.2">
      <c r="C225" s="580"/>
      <c r="D225" s="577"/>
      <c r="E225" s="36" t="s">
        <v>19</v>
      </c>
      <c r="F225" s="259"/>
      <c r="G225" s="9"/>
      <c r="H225" s="9"/>
      <c r="I225" s="9"/>
      <c r="J225" s="9"/>
      <c r="K225" s="9"/>
      <c r="L225" s="36"/>
      <c r="M225" s="259"/>
      <c r="N225" s="9"/>
      <c r="O225" s="9"/>
      <c r="P225" s="9"/>
      <c r="Q225" s="9"/>
      <c r="R225" s="9"/>
      <c r="S225" s="36"/>
      <c r="T225" s="259"/>
      <c r="U225" s="9"/>
      <c r="V225" s="9"/>
      <c r="W225" s="9"/>
      <c r="X225" s="9"/>
      <c r="Y225" s="9"/>
      <c r="Z225" s="36"/>
      <c r="AA225" s="259"/>
      <c r="AB225" s="9"/>
      <c r="AC225" s="9"/>
      <c r="AD225" s="9"/>
      <c r="AE225" s="9"/>
      <c r="AF225" s="9"/>
      <c r="AG225" s="36"/>
      <c r="AH225" s="259"/>
      <c r="AI225" s="9"/>
      <c r="AJ225" s="36"/>
      <c r="AK225" s="38">
        <f t="shared" si="34"/>
        <v>0</v>
      </c>
      <c r="AL225" s="39"/>
      <c r="AM225" s="40">
        <f t="shared" ref="AM225:AM226" si="36">AK225</f>
        <v>0</v>
      </c>
      <c r="AN225" s="583"/>
      <c r="AO225" s="3"/>
      <c r="AP225" s="3"/>
      <c r="AQ225" s="3"/>
      <c r="AR225" s="3"/>
      <c r="AS225" s="3"/>
    </row>
    <row r="226" spans="3:45" ht="12.75" x14ac:dyDescent="0.2">
      <c r="C226" s="580"/>
      <c r="D226" s="30" t="s">
        <v>27</v>
      </c>
      <c r="E226" s="36" t="s">
        <v>19</v>
      </c>
      <c r="F226" s="259"/>
      <c r="G226" s="9"/>
      <c r="H226" s="9"/>
      <c r="I226" s="9"/>
      <c r="J226" s="9"/>
      <c r="K226" s="9"/>
      <c r="L226" s="36"/>
      <c r="M226" s="259"/>
      <c r="N226" s="9"/>
      <c r="O226" s="9"/>
      <c r="P226" s="9"/>
      <c r="Q226" s="9"/>
      <c r="R226" s="9"/>
      <c r="S226" s="36"/>
      <c r="T226" s="259"/>
      <c r="U226" s="9"/>
      <c r="V226" s="9"/>
      <c r="W226" s="9"/>
      <c r="X226" s="9"/>
      <c r="Y226" s="9"/>
      <c r="Z226" s="36"/>
      <c r="AA226" s="259"/>
      <c r="AB226" s="9"/>
      <c r="AC226" s="9"/>
      <c r="AD226" s="9"/>
      <c r="AE226" s="9"/>
      <c r="AF226" s="9"/>
      <c r="AG226" s="36"/>
      <c r="AH226" s="259"/>
      <c r="AI226" s="9"/>
      <c r="AJ226" s="36"/>
      <c r="AK226" s="38">
        <f t="shared" si="34"/>
        <v>0</v>
      </c>
      <c r="AL226" s="10"/>
      <c r="AM226" s="19">
        <f t="shared" si="36"/>
        <v>0</v>
      </c>
      <c r="AN226" s="29">
        <f>AM226</f>
        <v>0</v>
      </c>
      <c r="AO226" s="3"/>
      <c r="AP226" s="3"/>
      <c r="AQ226" s="3"/>
      <c r="AR226" s="3"/>
      <c r="AS226" s="3"/>
    </row>
    <row r="227" spans="3:45" ht="12.75" x14ac:dyDescent="0.2">
      <c r="C227" s="580"/>
      <c r="D227" s="576" t="s">
        <v>28</v>
      </c>
      <c r="E227" s="31" t="s">
        <v>18</v>
      </c>
      <c r="F227" s="45"/>
      <c r="G227" s="10"/>
      <c r="H227" s="10"/>
      <c r="I227" s="10"/>
      <c r="J227" s="10"/>
      <c r="K227" s="10"/>
      <c r="L227" s="31"/>
      <c r="M227" s="45"/>
      <c r="N227" s="10"/>
      <c r="O227" s="10"/>
      <c r="P227" s="10"/>
      <c r="Q227" s="10"/>
      <c r="R227" s="10"/>
      <c r="S227" s="31"/>
      <c r="T227" s="45"/>
      <c r="U227" s="10"/>
      <c r="V227" s="10"/>
      <c r="W227" s="10"/>
      <c r="X227" s="10"/>
      <c r="Y227" s="10"/>
      <c r="Z227" s="31"/>
      <c r="AA227" s="45"/>
      <c r="AB227" s="10"/>
      <c r="AC227" s="10"/>
      <c r="AD227" s="28"/>
      <c r="AE227" s="10"/>
      <c r="AF227" s="41">
        <v>35</v>
      </c>
      <c r="AG227" s="31"/>
      <c r="AH227" s="45"/>
      <c r="AI227" s="10"/>
      <c r="AJ227" s="31"/>
      <c r="AK227" s="33">
        <f t="shared" si="34"/>
        <v>35</v>
      </c>
      <c r="AL227" s="34">
        <f>AK227</f>
        <v>35</v>
      </c>
      <c r="AM227" s="35"/>
      <c r="AN227" s="582">
        <f>SUM(AL227:AM228)</f>
        <v>35</v>
      </c>
      <c r="AO227" s="3"/>
      <c r="AP227" s="3"/>
      <c r="AQ227" s="3"/>
      <c r="AR227" s="3"/>
      <c r="AS227" s="3"/>
    </row>
    <row r="228" spans="3:45" ht="12.75" x14ac:dyDescent="0.2">
      <c r="C228" s="580"/>
      <c r="D228" s="577"/>
      <c r="E228" s="36" t="s">
        <v>19</v>
      </c>
      <c r="F228" s="259"/>
      <c r="G228" s="19"/>
      <c r="H228" s="9"/>
      <c r="I228" s="9"/>
      <c r="J228" s="9"/>
      <c r="K228" s="9"/>
      <c r="L228" s="36"/>
      <c r="M228" s="259"/>
      <c r="N228" s="9"/>
      <c r="O228" s="9"/>
      <c r="P228" s="9"/>
      <c r="Q228" s="9"/>
      <c r="R228" s="9"/>
      <c r="S228" s="36"/>
      <c r="T228" s="276"/>
      <c r="U228" s="9"/>
      <c r="V228" s="19"/>
      <c r="W228" s="9"/>
      <c r="X228" s="9"/>
      <c r="Y228" s="9"/>
      <c r="Z228" s="36"/>
      <c r="AA228" s="259"/>
      <c r="AB228" s="19"/>
      <c r="AC228" s="9"/>
      <c r="AD228" s="9"/>
      <c r="AE228" s="9"/>
      <c r="AF228" s="9"/>
      <c r="AG228" s="36"/>
      <c r="AH228" s="259"/>
      <c r="AI228" s="9"/>
      <c r="AJ228" s="36"/>
      <c r="AK228" s="38">
        <f t="shared" si="34"/>
        <v>0</v>
      </c>
      <c r="AL228" s="39"/>
      <c r="AM228" s="40">
        <f>AK228</f>
        <v>0</v>
      </c>
      <c r="AN228" s="583"/>
      <c r="AO228" s="3"/>
      <c r="AP228" s="3"/>
      <c r="AQ228" s="3"/>
      <c r="AR228" s="3"/>
      <c r="AS228" s="3"/>
    </row>
    <row r="229" spans="3:45" ht="12.75" x14ac:dyDescent="0.2">
      <c r="C229" s="580"/>
      <c r="D229" s="576" t="s">
        <v>29</v>
      </c>
      <c r="E229" s="31" t="s">
        <v>18</v>
      </c>
      <c r="F229" s="260"/>
      <c r="G229" s="10"/>
      <c r="H229" s="10"/>
      <c r="I229" s="10"/>
      <c r="J229" s="10"/>
      <c r="K229" s="10"/>
      <c r="L229" s="31"/>
      <c r="M229" s="45"/>
      <c r="N229" s="10"/>
      <c r="O229" s="10"/>
      <c r="P229" s="10"/>
      <c r="Q229" s="10"/>
      <c r="R229" s="10"/>
      <c r="S229" s="26">
        <v>45</v>
      </c>
      <c r="T229" s="45"/>
      <c r="U229" s="10"/>
      <c r="V229" s="10"/>
      <c r="W229" s="10"/>
      <c r="X229" s="10"/>
      <c r="Y229" s="10"/>
      <c r="Z229" s="31"/>
      <c r="AA229" s="45"/>
      <c r="AB229" s="10"/>
      <c r="AC229" s="10"/>
      <c r="AD229" s="28"/>
      <c r="AE229" s="10"/>
      <c r="AF229" s="10"/>
      <c r="AG229" s="31"/>
      <c r="AH229" s="45"/>
      <c r="AI229" s="10"/>
      <c r="AJ229" s="31"/>
      <c r="AK229" s="33">
        <f t="shared" si="34"/>
        <v>45</v>
      </c>
      <c r="AL229" s="34">
        <f>AK229</f>
        <v>45</v>
      </c>
      <c r="AM229" s="35"/>
      <c r="AN229" s="582">
        <f>SUM(AL229:AM230)</f>
        <v>45</v>
      </c>
      <c r="AO229" s="3"/>
      <c r="AP229" s="3"/>
      <c r="AQ229" s="3"/>
      <c r="AR229" s="3"/>
      <c r="AS229" s="3"/>
    </row>
    <row r="230" spans="3:45" ht="12.75" x14ac:dyDescent="0.2">
      <c r="C230" s="580"/>
      <c r="D230" s="577"/>
      <c r="E230" s="36" t="s">
        <v>19</v>
      </c>
      <c r="F230" s="259"/>
      <c r="G230" s="9"/>
      <c r="H230" s="9"/>
      <c r="I230" s="9"/>
      <c r="J230" s="9"/>
      <c r="K230" s="9"/>
      <c r="L230" s="36"/>
      <c r="M230" s="259"/>
      <c r="N230" s="9"/>
      <c r="O230" s="9"/>
      <c r="P230" s="9"/>
      <c r="Q230" s="9"/>
      <c r="R230" s="9"/>
      <c r="S230" s="36"/>
      <c r="T230" s="259"/>
      <c r="U230" s="9"/>
      <c r="V230" s="9"/>
      <c r="W230" s="9"/>
      <c r="X230" s="9"/>
      <c r="Y230" s="9"/>
      <c r="Z230" s="36"/>
      <c r="AA230" s="259"/>
      <c r="AB230" s="9"/>
      <c r="AC230" s="9"/>
      <c r="AD230" s="9"/>
      <c r="AE230" s="9"/>
      <c r="AF230" s="9"/>
      <c r="AG230" s="36"/>
      <c r="AH230" s="259"/>
      <c r="AI230" s="9"/>
      <c r="AJ230" s="36"/>
      <c r="AK230" s="38">
        <f t="shared" si="34"/>
        <v>0</v>
      </c>
      <c r="AL230" s="39"/>
      <c r="AM230" s="40">
        <f>AK230</f>
        <v>0</v>
      </c>
      <c r="AN230" s="583"/>
      <c r="AO230" s="3"/>
      <c r="AP230" s="3"/>
      <c r="AQ230" s="3"/>
      <c r="AR230" s="3"/>
      <c r="AS230" s="3"/>
    </row>
    <row r="231" spans="3:45" ht="12.75" x14ac:dyDescent="0.2">
      <c r="C231" s="580"/>
      <c r="D231" s="576" t="s">
        <v>30</v>
      </c>
      <c r="E231" s="31" t="s">
        <v>18</v>
      </c>
      <c r="F231" s="45"/>
      <c r="G231" s="10"/>
      <c r="H231" s="10"/>
      <c r="I231" s="10"/>
      <c r="J231" s="10"/>
      <c r="K231" s="10"/>
      <c r="L231" s="31"/>
      <c r="M231" s="45"/>
      <c r="N231" s="10"/>
      <c r="O231" s="10"/>
      <c r="P231" s="10"/>
      <c r="Q231" s="10"/>
      <c r="R231" s="10"/>
      <c r="S231" s="31"/>
      <c r="T231" s="45"/>
      <c r="U231" s="10"/>
      <c r="V231" s="10"/>
      <c r="W231" s="10"/>
      <c r="X231" s="10"/>
      <c r="Y231" s="10"/>
      <c r="Z231" s="31"/>
      <c r="AA231" s="45"/>
      <c r="AB231" s="10"/>
      <c r="AC231" s="10"/>
      <c r="AD231" s="10"/>
      <c r="AE231" s="10"/>
      <c r="AF231" s="10"/>
      <c r="AG231" s="31"/>
      <c r="AH231" s="45"/>
      <c r="AI231" s="10"/>
      <c r="AJ231" s="31"/>
      <c r="AK231" s="33">
        <f t="shared" si="34"/>
        <v>0</v>
      </c>
      <c r="AL231" s="34">
        <f>AK231</f>
        <v>0</v>
      </c>
      <c r="AM231" s="9"/>
      <c r="AN231" s="582">
        <f>SUM(AL231:AM232)</f>
        <v>0</v>
      </c>
      <c r="AO231" s="3"/>
      <c r="AP231" s="3"/>
      <c r="AQ231" s="3"/>
      <c r="AR231" s="3"/>
      <c r="AS231" s="3"/>
    </row>
    <row r="232" spans="3:45" ht="12.75" x14ac:dyDescent="0.2">
      <c r="C232" s="580"/>
      <c r="D232" s="577"/>
      <c r="E232" s="36" t="s">
        <v>19</v>
      </c>
      <c r="F232" s="259"/>
      <c r="G232" s="9"/>
      <c r="H232" s="9"/>
      <c r="I232" s="9"/>
      <c r="J232" s="9"/>
      <c r="K232" s="9"/>
      <c r="L232" s="36"/>
      <c r="M232" s="259"/>
      <c r="N232" s="9"/>
      <c r="O232" s="9"/>
      <c r="P232" s="9"/>
      <c r="Q232" s="9"/>
      <c r="R232" s="9"/>
      <c r="S232" s="36"/>
      <c r="T232" s="259"/>
      <c r="U232" s="9"/>
      <c r="V232" s="9"/>
      <c r="W232" s="9"/>
      <c r="X232" s="9"/>
      <c r="Y232" s="9"/>
      <c r="Z232" s="36"/>
      <c r="AA232" s="259"/>
      <c r="AB232" s="9"/>
      <c r="AC232" s="9"/>
      <c r="AD232" s="9"/>
      <c r="AE232" s="9"/>
      <c r="AF232" s="9"/>
      <c r="AG232" s="36"/>
      <c r="AH232" s="259"/>
      <c r="AI232" s="9"/>
      <c r="AJ232" s="36"/>
      <c r="AK232" s="38">
        <f t="shared" si="34"/>
        <v>0</v>
      </c>
      <c r="AL232" s="45"/>
      <c r="AM232" s="40">
        <f>AK232</f>
        <v>0</v>
      </c>
      <c r="AN232" s="583"/>
      <c r="AO232" s="3"/>
      <c r="AP232" s="3"/>
      <c r="AQ232" s="3"/>
      <c r="AR232" s="3"/>
      <c r="AS232" s="3"/>
    </row>
    <row r="233" spans="3:45" ht="12.75" x14ac:dyDescent="0.2">
      <c r="C233" s="580"/>
      <c r="D233" s="576" t="s">
        <v>31</v>
      </c>
      <c r="E233" s="31" t="s">
        <v>18</v>
      </c>
      <c r="F233" s="45"/>
      <c r="G233" s="10"/>
      <c r="H233" s="10"/>
      <c r="I233" s="10"/>
      <c r="J233" s="10"/>
      <c r="K233" s="10"/>
      <c r="L233" s="31"/>
      <c r="M233" s="45"/>
      <c r="N233" s="10"/>
      <c r="O233" s="10"/>
      <c r="P233" s="10"/>
      <c r="Q233" s="10"/>
      <c r="R233" s="10"/>
      <c r="S233" s="31"/>
      <c r="T233" s="260"/>
      <c r="U233" s="10"/>
      <c r="V233" s="10"/>
      <c r="W233" s="10"/>
      <c r="X233" s="10"/>
      <c r="Y233" s="10"/>
      <c r="Z233" s="31"/>
      <c r="AA233" s="45"/>
      <c r="AB233" s="10"/>
      <c r="AC233" s="10"/>
      <c r="AD233" s="10"/>
      <c r="AE233" s="10"/>
      <c r="AF233" s="10"/>
      <c r="AG233" s="31"/>
      <c r="AH233" s="45"/>
      <c r="AI233" s="10"/>
      <c r="AJ233" s="31"/>
      <c r="AK233" s="33">
        <f t="shared" si="34"/>
        <v>0</v>
      </c>
      <c r="AL233" s="34">
        <f>AK233</f>
        <v>0</v>
      </c>
      <c r="AM233" s="35"/>
      <c r="AN233" s="586">
        <f>SUM(AL233:AM234)</f>
        <v>0</v>
      </c>
      <c r="AO233" s="3"/>
      <c r="AP233" s="3"/>
      <c r="AQ233" s="3"/>
      <c r="AR233" s="3"/>
      <c r="AS233" s="3"/>
    </row>
    <row r="234" spans="3:45" ht="12.75" x14ac:dyDescent="0.2">
      <c r="C234" s="581"/>
      <c r="D234" s="585"/>
      <c r="E234" s="46" t="s">
        <v>19</v>
      </c>
      <c r="F234" s="261"/>
      <c r="G234" s="277"/>
      <c r="H234" s="277"/>
      <c r="I234" s="277"/>
      <c r="J234" s="40"/>
      <c r="K234" s="277"/>
      <c r="L234" s="46"/>
      <c r="M234" s="261"/>
      <c r="N234" s="277"/>
      <c r="O234" s="277"/>
      <c r="P234" s="277"/>
      <c r="Q234" s="277"/>
      <c r="R234" s="277"/>
      <c r="S234" s="48"/>
      <c r="T234" s="278"/>
      <c r="U234" s="277"/>
      <c r="V234" s="277"/>
      <c r="W234" s="277"/>
      <c r="X234" s="277"/>
      <c r="Y234" s="40"/>
      <c r="Z234" s="48"/>
      <c r="AA234" s="278"/>
      <c r="AB234" s="277"/>
      <c r="AC234" s="277"/>
      <c r="AD234" s="277"/>
      <c r="AE234" s="277"/>
      <c r="AF234" s="277"/>
      <c r="AG234" s="46"/>
      <c r="AH234" s="261"/>
      <c r="AI234" s="277"/>
      <c r="AJ234" s="46"/>
      <c r="AK234" s="48">
        <f t="shared" si="34"/>
        <v>0</v>
      </c>
      <c r="AL234" s="39"/>
      <c r="AM234" s="40">
        <f>AK234</f>
        <v>0</v>
      </c>
      <c r="AN234" s="583"/>
      <c r="AO234" s="3"/>
      <c r="AP234" s="3"/>
      <c r="AQ234" s="3"/>
      <c r="AR234" s="3"/>
      <c r="AS234" s="3"/>
    </row>
    <row r="235" spans="3:45" ht="12.75" x14ac:dyDescent="0.2">
      <c r="C235" s="49" t="s">
        <v>32</v>
      </c>
      <c r="D235" s="9"/>
      <c r="E235" s="36"/>
      <c r="F235" s="259"/>
      <c r="G235" s="9"/>
      <c r="H235" s="9"/>
      <c r="I235" s="9"/>
      <c r="J235" s="9"/>
      <c r="K235" s="9"/>
      <c r="L235" s="36"/>
      <c r="M235" s="259"/>
      <c r="N235" s="9"/>
      <c r="O235" s="9"/>
      <c r="P235" s="9"/>
      <c r="Q235" s="9"/>
      <c r="R235" s="9"/>
      <c r="S235" s="36"/>
      <c r="T235" s="259"/>
      <c r="U235" s="9"/>
      <c r="V235" s="9"/>
      <c r="W235" s="9"/>
      <c r="X235" s="9"/>
      <c r="Y235" s="9"/>
      <c r="Z235" s="36"/>
      <c r="AA235" s="259"/>
      <c r="AB235" s="9"/>
      <c r="AC235" s="9"/>
      <c r="AD235" s="9"/>
      <c r="AE235" s="9"/>
      <c r="AF235" s="9"/>
      <c r="AG235" s="36"/>
      <c r="AH235" s="259"/>
      <c r="AI235" s="9"/>
      <c r="AJ235" s="36"/>
      <c r="AK235" s="51">
        <f t="shared" ref="AK235:AM235" si="37">SUM(AK223:AK234)</f>
        <v>4006</v>
      </c>
      <c r="AL235" s="28">
        <f t="shared" si="37"/>
        <v>4006</v>
      </c>
      <c r="AM235" s="19">
        <f t="shared" si="37"/>
        <v>0</v>
      </c>
      <c r="AN235" s="11"/>
      <c r="AO235" s="3"/>
      <c r="AP235" s="3"/>
      <c r="AQ235" s="3"/>
      <c r="AR235" s="3"/>
      <c r="AS235" s="3"/>
    </row>
    <row r="236" spans="3:45" ht="12.75" x14ac:dyDescent="0.2">
      <c r="C236" s="594" t="s">
        <v>33</v>
      </c>
      <c r="D236" s="52" t="s">
        <v>34</v>
      </c>
      <c r="E236" s="279" t="s">
        <v>19</v>
      </c>
      <c r="F236" s="280"/>
      <c r="G236" s="281"/>
      <c r="H236" s="281"/>
      <c r="I236" s="281"/>
      <c r="J236" s="282"/>
      <c r="K236" s="281"/>
      <c r="L236" s="279"/>
      <c r="M236" s="280"/>
      <c r="N236" s="281"/>
      <c r="O236" s="281"/>
      <c r="P236" s="281"/>
      <c r="Q236" s="281"/>
      <c r="R236" s="281"/>
      <c r="S236" s="279"/>
      <c r="T236" s="280"/>
      <c r="U236" s="281"/>
      <c r="V236" s="281"/>
      <c r="W236" s="281"/>
      <c r="X236" s="281"/>
      <c r="Y236" s="281"/>
      <c r="Z236" s="279"/>
      <c r="AA236" s="280"/>
      <c r="AB236" s="281"/>
      <c r="AC236" s="281"/>
      <c r="AD236" s="281"/>
      <c r="AE236" s="281"/>
      <c r="AF236" s="281"/>
      <c r="AG236" s="279"/>
      <c r="AH236" s="280"/>
      <c r="AI236" s="281"/>
      <c r="AJ236" s="279"/>
      <c r="AK236" s="283">
        <f t="shared" ref="AK236:AK237" si="38">SUM(F236:AJ236)</f>
        <v>0</v>
      </c>
      <c r="AL236" s="58"/>
      <c r="AM236" s="59">
        <f>AK236</f>
        <v>0</v>
      </c>
      <c r="AN236" s="60">
        <f>AM236</f>
        <v>0</v>
      </c>
      <c r="AO236" s="3"/>
      <c r="AP236" s="3"/>
      <c r="AQ236" s="3"/>
      <c r="AR236" s="3"/>
      <c r="AS236" s="3"/>
    </row>
    <row r="237" spans="3:45" ht="12.75" x14ac:dyDescent="0.2">
      <c r="C237" s="580"/>
      <c r="D237" s="67" t="s">
        <v>35</v>
      </c>
      <c r="E237" s="68" t="s">
        <v>18</v>
      </c>
      <c r="F237" s="114"/>
      <c r="G237" s="65"/>
      <c r="H237" s="65"/>
      <c r="I237" s="65"/>
      <c r="J237" s="70">
        <v>10</v>
      </c>
      <c r="K237" s="65"/>
      <c r="L237" s="68"/>
      <c r="M237" s="114"/>
      <c r="N237" s="65"/>
      <c r="O237" s="65"/>
      <c r="P237" s="65"/>
      <c r="Q237" s="65"/>
      <c r="R237" s="65"/>
      <c r="S237" s="68"/>
      <c r="T237" s="114"/>
      <c r="U237" s="65"/>
      <c r="V237" s="65"/>
      <c r="W237" s="65"/>
      <c r="X237" s="65"/>
      <c r="Y237" s="65"/>
      <c r="Z237" s="68"/>
      <c r="AA237" s="114"/>
      <c r="AB237" s="65"/>
      <c r="AC237" s="65"/>
      <c r="AD237" s="65"/>
      <c r="AE237" s="65"/>
      <c r="AF237" s="65"/>
      <c r="AG237" s="68"/>
      <c r="AH237" s="114"/>
      <c r="AI237" s="65"/>
      <c r="AJ237" s="68"/>
      <c r="AK237" s="71">
        <f t="shared" si="38"/>
        <v>10</v>
      </c>
      <c r="AL237" s="72">
        <f>AK237</f>
        <v>10</v>
      </c>
      <c r="AM237" s="62"/>
      <c r="AN237" s="73">
        <f>AL237</f>
        <v>10</v>
      </c>
      <c r="AO237" s="3"/>
      <c r="AP237" s="3"/>
      <c r="AQ237" s="3"/>
      <c r="AR237" s="3"/>
      <c r="AS237" s="3"/>
    </row>
    <row r="238" spans="3:45" ht="12.75" x14ac:dyDescent="0.2">
      <c r="C238" s="580"/>
      <c r="D238" s="602" t="s">
        <v>36</v>
      </c>
      <c r="E238" s="68" t="s">
        <v>18</v>
      </c>
      <c r="F238" s="114"/>
      <c r="G238" s="65"/>
      <c r="H238" s="65"/>
      <c r="I238" s="65"/>
      <c r="J238" s="70">
        <v>27</v>
      </c>
      <c r="K238" s="65"/>
      <c r="L238" s="68"/>
      <c r="M238" s="114"/>
      <c r="N238" s="65"/>
      <c r="O238" s="65"/>
      <c r="P238" s="65"/>
      <c r="Q238" s="65"/>
      <c r="R238" s="65"/>
      <c r="S238" s="68"/>
      <c r="T238" s="114"/>
      <c r="U238" s="65"/>
      <c r="V238" s="65"/>
      <c r="W238" s="65"/>
      <c r="X238" s="65"/>
      <c r="Y238" s="65"/>
      <c r="Z238" s="68"/>
      <c r="AA238" s="114"/>
      <c r="AB238" s="65"/>
      <c r="AC238" s="65"/>
      <c r="AD238" s="65"/>
      <c r="AE238" s="65"/>
      <c r="AF238" s="65"/>
      <c r="AG238" s="68"/>
      <c r="AH238" s="114"/>
      <c r="AI238" s="65"/>
      <c r="AJ238" s="68"/>
      <c r="AK238" s="74"/>
      <c r="AL238" s="72">
        <f>SUM(F238:AJ238)</f>
        <v>27</v>
      </c>
      <c r="AM238" s="62"/>
      <c r="AN238" s="589">
        <f>SUM(AL238:AM239)</f>
        <v>27</v>
      </c>
      <c r="AO238" s="3"/>
      <c r="AP238" s="3"/>
      <c r="AQ238" s="3"/>
      <c r="AR238" s="3"/>
      <c r="AS238" s="3"/>
    </row>
    <row r="239" spans="3:45" ht="12.75" x14ac:dyDescent="0.2">
      <c r="C239" s="580"/>
      <c r="D239" s="603"/>
      <c r="E239" s="75" t="s">
        <v>19</v>
      </c>
      <c r="F239" s="263"/>
      <c r="G239" s="77"/>
      <c r="H239" s="77"/>
      <c r="I239" s="77"/>
      <c r="J239" s="77"/>
      <c r="K239" s="77"/>
      <c r="L239" s="75"/>
      <c r="M239" s="263"/>
      <c r="N239" s="77"/>
      <c r="O239" s="77"/>
      <c r="P239" s="77"/>
      <c r="Q239" s="77"/>
      <c r="R239" s="77"/>
      <c r="S239" s="75"/>
      <c r="T239" s="263"/>
      <c r="U239" s="77"/>
      <c r="V239" s="77"/>
      <c r="W239" s="77"/>
      <c r="X239" s="77"/>
      <c r="Y239" s="77"/>
      <c r="Z239" s="75"/>
      <c r="AA239" s="263"/>
      <c r="AB239" s="77"/>
      <c r="AC239" s="77"/>
      <c r="AD239" s="77"/>
      <c r="AE239" s="77"/>
      <c r="AF239" s="77"/>
      <c r="AG239" s="75"/>
      <c r="AH239" s="263"/>
      <c r="AI239" s="77"/>
      <c r="AJ239" s="75"/>
      <c r="AK239" s="78">
        <f t="shared" ref="AK239:AK287" si="39">SUM(F239:AJ239)</f>
        <v>0</v>
      </c>
      <c r="AL239" s="79"/>
      <c r="AM239" s="80">
        <f>AK239</f>
        <v>0</v>
      </c>
      <c r="AN239" s="590"/>
      <c r="AO239" s="3"/>
      <c r="AP239" s="3"/>
      <c r="AQ239" s="3"/>
      <c r="AR239" s="3"/>
      <c r="AS239" s="3"/>
    </row>
    <row r="240" spans="3:45" ht="12.75" x14ac:dyDescent="0.2">
      <c r="C240" s="580"/>
      <c r="D240" s="584" t="s">
        <v>37</v>
      </c>
      <c r="E240" s="68" t="s">
        <v>18</v>
      </c>
      <c r="F240" s="114"/>
      <c r="G240" s="65"/>
      <c r="H240" s="65"/>
      <c r="I240" s="65"/>
      <c r="J240" s="87">
        <v>5</v>
      </c>
      <c r="K240" s="65"/>
      <c r="L240" s="68"/>
      <c r="M240" s="114"/>
      <c r="N240" s="65"/>
      <c r="O240" s="65"/>
      <c r="P240" s="65"/>
      <c r="Q240" s="72"/>
      <c r="R240" s="87">
        <v>11.5</v>
      </c>
      <c r="S240" s="68"/>
      <c r="T240" s="89"/>
      <c r="U240" s="65"/>
      <c r="V240" s="65"/>
      <c r="W240" s="65"/>
      <c r="X240" s="65"/>
      <c r="Y240" s="65"/>
      <c r="Z240" s="68"/>
      <c r="AA240" s="114"/>
      <c r="AB240" s="65"/>
      <c r="AC240" s="65"/>
      <c r="AD240" s="65"/>
      <c r="AE240" s="65"/>
      <c r="AF240" s="87">
        <v>27.7</v>
      </c>
      <c r="AG240" s="95">
        <v>5</v>
      </c>
      <c r="AH240" s="114"/>
      <c r="AI240" s="65"/>
      <c r="AJ240" s="68"/>
      <c r="AK240" s="88">
        <f t="shared" si="39"/>
        <v>49.2</v>
      </c>
      <c r="AL240" s="89">
        <f>AK240</f>
        <v>49.2</v>
      </c>
      <c r="AM240" s="62"/>
      <c r="AN240" s="586">
        <f>SUM(AL240:AM241)</f>
        <v>55.2</v>
      </c>
      <c r="AO240" s="3"/>
      <c r="AP240" s="3"/>
      <c r="AQ240" s="3"/>
      <c r="AR240" s="3"/>
      <c r="AS240" s="3"/>
    </row>
    <row r="241" spans="3:45" ht="12.75" x14ac:dyDescent="0.2">
      <c r="C241" s="580"/>
      <c r="D241" s="577"/>
      <c r="E241" s="61" t="s">
        <v>19</v>
      </c>
      <c r="F241" s="264"/>
      <c r="G241" s="62"/>
      <c r="H241" s="62"/>
      <c r="I241" s="62"/>
      <c r="J241" s="62"/>
      <c r="K241" s="62"/>
      <c r="L241" s="61"/>
      <c r="M241" s="264"/>
      <c r="N241" s="62"/>
      <c r="O241" s="62"/>
      <c r="P241" s="62"/>
      <c r="Q241" s="62"/>
      <c r="R241" s="91">
        <v>6</v>
      </c>
      <c r="S241" s="61"/>
      <c r="T241" s="264"/>
      <c r="U241" s="62"/>
      <c r="V241" s="62"/>
      <c r="W241" s="62"/>
      <c r="X241" s="62"/>
      <c r="Y241" s="62"/>
      <c r="Z241" s="61"/>
      <c r="AA241" s="264"/>
      <c r="AB241" s="62"/>
      <c r="AC241" s="62"/>
      <c r="AD241" s="62"/>
      <c r="AE241" s="62"/>
      <c r="AF241" s="62"/>
      <c r="AG241" s="61"/>
      <c r="AH241" s="264"/>
      <c r="AI241" s="62"/>
      <c r="AJ241" s="61"/>
      <c r="AK241" s="92">
        <f t="shared" si="39"/>
        <v>6</v>
      </c>
      <c r="AL241" s="93"/>
      <c r="AM241" s="94">
        <f>AK241</f>
        <v>6</v>
      </c>
      <c r="AN241" s="583"/>
      <c r="AO241" s="3"/>
      <c r="AP241" s="3"/>
      <c r="AQ241" s="3"/>
      <c r="AR241" s="3"/>
      <c r="AS241" s="3"/>
    </row>
    <row r="242" spans="3:45" ht="12.75" x14ac:dyDescent="0.2">
      <c r="C242" s="580"/>
      <c r="D242" s="81" t="s">
        <v>38</v>
      </c>
      <c r="E242" s="68" t="s">
        <v>18</v>
      </c>
      <c r="F242" s="114"/>
      <c r="G242" s="65"/>
      <c r="H242" s="65"/>
      <c r="I242" s="65"/>
      <c r="J242" s="65"/>
      <c r="K242" s="65"/>
      <c r="L242" s="68"/>
      <c r="M242" s="114"/>
      <c r="N242" s="65"/>
      <c r="O242" s="65"/>
      <c r="P242" s="65"/>
      <c r="Q242" s="65"/>
      <c r="R242" s="65"/>
      <c r="S242" s="68"/>
      <c r="T242" s="114"/>
      <c r="U242" s="65"/>
      <c r="V242" s="65"/>
      <c r="W242" s="65"/>
      <c r="X242" s="65"/>
      <c r="Y242" s="65"/>
      <c r="Z242" s="68"/>
      <c r="AA242" s="267">
        <v>89.74</v>
      </c>
      <c r="AB242" s="65"/>
      <c r="AC242" s="72"/>
      <c r="AD242" s="65"/>
      <c r="AE242" s="65"/>
      <c r="AF242" s="65"/>
      <c r="AG242" s="68"/>
      <c r="AH242" s="114"/>
      <c r="AI242" s="65"/>
      <c r="AJ242" s="68"/>
      <c r="AK242" s="88">
        <f t="shared" si="39"/>
        <v>89.74</v>
      </c>
      <c r="AL242" s="72">
        <f t="shared" ref="AL242:AL244" si="40">AK242</f>
        <v>89.74</v>
      </c>
      <c r="AM242" s="62"/>
      <c r="AN242" s="29">
        <f t="shared" ref="AN242:AN243" si="41">AL242</f>
        <v>89.74</v>
      </c>
      <c r="AO242" s="3"/>
      <c r="AP242" s="3"/>
      <c r="AQ242" s="3"/>
      <c r="AR242" s="3"/>
      <c r="AS242" s="3"/>
    </row>
    <row r="243" spans="3:45" ht="12.75" x14ac:dyDescent="0.2">
      <c r="C243" s="580"/>
      <c r="D243" s="81" t="s">
        <v>39</v>
      </c>
      <c r="E243" s="68" t="s">
        <v>18</v>
      </c>
      <c r="F243" s="114"/>
      <c r="G243" s="65"/>
      <c r="H243" s="65"/>
      <c r="I243" s="65"/>
      <c r="J243" s="65"/>
      <c r="K243" s="65"/>
      <c r="L243" s="68"/>
      <c r="M243" s="114"/>
      <c r="N243" s="65"/>
      <c r="O243" s="65"/>
      <c r="P243" s="65"/>
      <c r="Q243" s="65"/>
      <c r="R243" s="65"/>
      <c r="S243" s="68"/>
      <c r="T243" s="114"/>
      <c r="U243" s="65"/>
      <c r="V243" s="65"/>
      <c r="W243" s="65"/>
      <c r="X243" s="65"/>
      <c r="Y243" s="65"/>
      <c r="Z243" s="68"/>
      <c r="AA243" s="114"/>
      <c r="AB243" s="65"/>
      <c r="AC243" s="65"/>
      <c r="AD243" s="65"/>
      <c r="AE243" s="65"/>
      <c r="AF243" s="65"/>
      <c r="AG243" s="68"/>
      <c r="AH243" s="114"/>
      <c r="AI243" s="65"/>
      <c r="AJ243" s="68"/>
      <c r="AK243" s="88">
        <f t="shared" si="39"/>
        <v>0</v>
      </c>
      <c r="AL243" s="72">
        <f t="shared" si="40"/>
        <v>0</v>
      </c>
      <c r="AM243" s="62"/>
      <c r="AN243" s="29">
        <f t="shared" si="41"/>
        <v>0</v>
      </c>
      <c r="AO243" s="3"/>
      <c r="AP243" s="3"/>
      <c r="AQ243" s="3"/>
      <c r="AR243" s="3"/>
      <c r="AS243" s="3"/>
    </row>
    <row r="244" spans="3:45" ht="12.75" x14ac:dyDescent="0.2">
      <c r="C244" s="580"/>
      <c r="D244" s="584" t="s">
        <v>40</v>
      </c>
      <c r="E244" s="68" t="s">
        <v>18</v>
      </c>
      <c r="F244" s="114"/>
      <c r="G244" s="65"/>
      <c r="H244" s="65"/>
      <c r="I244" s="65"/>
      <c r="J244" s="65"/>
      <c r="K244" s="65"/>
      <c r="L244" s="68"/>
      <c r="M244" s="114"/>
      <c r="N244" s="65"/>
      <c r="O244" s="65"/>
      <c r="P244" s="65"/>
      <c r="Q244" s="65"/>
      <c r="R244" s="65"/>
      <c r="S244" s="68"/>
      <c r="T244" s="114"/>
      <c r="U244" s="65"/>
      <c r="V244" s="65"/>
      <c r="W244" s="65"/>
      <c r="X244" s="65"/>
      <c r="Y244" s="65"/>
      <c r="Z244" s="68"/>
      <c r="AA244" s="114"/>
      <c r="AB244" s="65"/>
      <c r="AC244" s="65"/>
      <c r="AD244" s="65"/>
      <c r="AE244" s="65"/>
      <c r="AF244" s="65"/>
      <c r="AG244" s="68"/>
      <c r="AH244" s="114"/>
      <c r="AI244" s="65"/>
      <c r="AJ244" s="68"/>
      <c r="AK244" s="88">
        <f t="shared" si="39"/>
        <v>0</v>
      </c>
      <c r="AL244" s="96">
        <f t="shared" si="40"/>
        <v>0</v>
      </c>
      <c r="AM244" s="97"/>
      <c r="AN244" s="582">
        <f>SUM(AL244:AM245)</f>
        <v>0</v>
      </c>
      <c r="AO244" s="3"/>
      <c r="AP244" s="3"/>
      <c r="AQ244" s="3"/>
      <c r="AR244" s="3"/>
      <c r="AS244" s="3"/>
    </row>
    <row r="245" spans="3:45" ht="12.75" x14ac:dyDescent="0.2">
      <c r="C245" s="580"/>
      <c r="D245" s="577"/>
      <c r="E245" s="61" t="s">
        <v>19</v>
      </c>
      <c r="F245" s="264"/>
      <c r="G245" s="62"/>
      <c r="H245" s="62"/>
      <c r="I245" s="62"/>
      <c r="J245" s="62"/>
      <c r="K245" s="62"/>
      <c r="L245" s="61"/>
      <c r="M245" s="264"/>
      <c r="N245" s="62"/>
      <c r="O245" s="62"/>
      <c r="P245" s="62"/>
      <c r="Q245" s="62"/>
      <c r="R245" s="62"/>
      <c r="S245" s="61"/>
      <c r="T245" s="264"/>
      <c r="U245" s="62"/>
      <c r="V245" s="62"/>
      <c r="W245" s="62"/>
      <c r="X245" s="62"/>
      <c r="Y245" s="62"/>
      <c r="Z245" s="61"/>
      <c r="AA245" s="264"/>
      <c r="AB245" s="62"/>
      <c r="AC245" s="62"/>
      <c r="AD245" s="62"/>
      <c r="AE245" s="62"/>
      <c r="AF245" s="62"/>
      <c r="AG245" s="61"/>
      <c r="AH245" s="264"/>
      <c r="AI245" s="62"/>
      <c r="AJ245" s="61"/>
      <c r="AK245" s="92">
        <f t="shared" si="39"/>
        <v>0</v>
      </c>
      <c r="AL245" s="93"/>
      <c r="AM245" s="94">
        <f>AK245</f>
        <v>0</v>
      </c>
      <c r="AN245" s="583"/>
      <c r="AO245" s="3"/>
      <c r="AP245" s="3"/>
      <c r="AQ245" s="3"/>
      <c r="AR245" s="3"/>
      <c r="AS245" s="3"/>
    </row>
    <row r="246" spans="3:45" ht="12.75" x14ac:dyDescent="0.2">
      <c r="C246" s="580"/>
      <c r="D246" s="584" t="s">
        <v>41</v>
      </c>
      <c r="E246" s="68" t="s">
        <v>18</v>
      </c>
      <c r="F246" s="114"/>
      <c r="G246" s="65"/>
      <c r="H246" s="65"/>
      <c r="I246" s="65"/>
      <c r="J246" s="72"/>
      <c r="K246" s="70">
        <v>100</v>
      </c>
      <c r="L246" s="68"/>
      <c r="M246" s="114"/>
      <c r="N246" s="65"/>
      <c r="O246" s="65"/>
      <c r="P246" s="65"/>
      <c r="Q246" s="65"/>
      <c r="R246" s="65"/>
      <c r="S246" s="68"/>
      <c r="T246" s="114"/>
      <c r="U246" s="65"/>
      <c r="V246" s="65"/>
      <c r="W246" s="65"/>
      <c r="X246" s="65"/>
      <c r="Y246" s="65"/>
      <c r="Z246" s="68"/>
      <c r="AA246" s="114"/>
      <c r="AB246" s="65"/>
      <c r="AC246" s="87">
        <f>78.6+7.5</f>
        <v>86.1</v>
      </c>
      <c r="AD246" s="65"/>
      <c r="AE246" s="65"/>
      <c r="AF246" s="87">
        <v>30</v>
      </c>
      <c r="AG246" s="68"/>
      <c r="AH246" s="114">
        <f>50+50</f>
        <v>100</v>
      </c>
      <c r="AI246" s="65"/>
      <c r="AJ246" s="68"/>
      <c r="AK246" s="88">
        <f t="shared" si="39"/>
        <v>316.10000000000002</v>
      </c>
      <c r="AL246" s="96">
        <f>AK246</f>
        <v>316.10000000000002</v>
      </c>
      <c r="AM246" s="97"/>
      <c r="AN246" s="582">
        <f>SUM(AL246:AM247)</f>
        <v>316.10000000000002</v>
      </c>
      <c r="AO246" s="3"/>
      <c r="AP246" s="3"/>
      <c r="AQ246" s="3"/>
      <c r="AR246" s="3"/>
      <c r="AS246" s="3"/>
    </row>
    <row r="247" spans="3:45" ht="12.75" x14ac:dyDescent="0.2">
      <c r="C247" s="580"/>
      <c r="D247" s="577"/>
      <c r="E247" s="61" t="s">
        <v>19</v>
      </c>
      <c r="F247" s="264"/>
      <c r="G247" s="66"/>
      <c r="H247" s="62"/>
      <c r="I247" s="62"/>
      <c r="J247" s="62"/>
      <c r="K247" s="62"/>
      <c r="L247" s="61"/>
      <c r="M247" s="264"/>
      <c r="N247" s="62"/>
      <c r="O247" s="62"/>
      <c r="P247" s="62"/>
      <c r="Q247" s="62"/>
      <c r="R247" s="62"/>
      <c r="S247" s="61"/>
      <c r="T247" s="264"/>
      <c r="U247" s="62"/>
      <c r="V247" s="62"/>
      <c r="W247" s="62"/>
      <c r="X247" s="62"/>
      <c r="Y247" s="62"/>
      <c r="Z247" s="92"/>
      <c r="AA247" s="264"/>
      <c r="AB247" s="62"/>
      <c r="AC247" s="62"/>
      <c r="AD247" s="62"/>
      <c r="AE247" s="62"/>
      <c r="AF247" s="62"/>
      <c r="AG247" s="61"/>
      <c r="AH247" s="264"/>
      <c r="AI247" s="62"/>
      <c r="AJ247" s="61"/>
      <c r="AK247" s="92">
        <f t="shared" si="39"/>
        <v>0</v>
      </c>
      <c r="AL247" s="93"/>
      <c r="AM247" s="94">
        <f>AK247</f>
        <v>0</v>
      </c>
      <c r="AN247" s="583"/>
      <c r="AO247" s="3"/>
      <c r="AP247" s="3"/>
      <c r="AQ247" s="3"/>
      <c r="AR247" s="3"/>
      <c r="AS247" s="3"/>
    </row>
    <row r="248" spans="3:45" ht="12.75" x14ac:dyDescent="0.2">
      <c r="C248" s="580"/>
      <c r="D248" s="81" t="s">
        <v>42</v>
      </c>
      <c r="E248" s="68" t="s">
        <v>18</v>
      </c>
      <c r="F248" s="89"/>
      <c r="G248" s="70">
        <v>50</v>
      </c>
      <c r="H248" s="65"/>
      <c r="I248" s="65"/>
      <c r="J248" s="87">
        <v>250</v>
      </c>
      <c r="K248" s="87">
        <v>50</v>
      </c>
      <c r="L248" s="99">
        <v>80</v>
      </c>
      <c r="M248" s="270">
        <v>87</v>
      </c>
      <c r="N248" s="87">
        <v>20</v>
      </c>
      <c r="O248" s="87">
        <v>30</v>
      </c>
      <c r="P248" s="65"/>
      <c r="Q248" s="65"/>
      <c r="R248" s="65"/>
      <c r="S248" s="95">
        <v>20</v>
      </c>
      <c r="T248" s="267">
        <v>55</v>
      </c>
      <c r="U248" s="72"/>
      <c r="V248" s="70">
        <v>20</v>
      </c>
      <c r="W248" s="87">
        <v>20</v>
      </c>
      <c r="X248" s="65"/>
      <c r="Y248" s="72"/>
      <c r="Z248" s="99">
        <v>50</v>
      </c>
      <c r="AA248" s="89"/>
      <c r="AB248" s="65"/>
      <c r="AC248" s="72"/>
      <c r="AD248" s="72"/>
      <c r="AE248" s="65"/>
      <c r="AF248" s="65"/>
      <c r="AG248" s="99">
        <v>10</v>
      </c>
      <c r="AH248" s="114"/>
      <c r="AI248" s="65"/>
      <c r="AJ248" s="68"/>
      <c r="AK248" s="88">
        <f t="shared" si="39"/>
        <v>742</v>
      </c>
      <c r="AL248" s="72">
        <f>AK248</f>
        <v>742</v>
      </c>
      <c r="AM248" s="62"/>
      <c r="AN248" s="29">
        <f>AL248</f>
        <v>742</v>
      </c>
      <c r="AO248" s="3"/>
      <c r="AP248" s="3"/>
      <c r="AQ248" s="3"/>
      <c r="AR248" s="3"/>
      <c r="AS248" s="3"/>
    </row>
    <row r="249" spans="3:45" ht="12.75" x14ac:dyDescent="0.2">
      <c r="C249" s="580"/>
      <c r="D249" s="81" t="s">
        <v>43</v>
      </c>
      <c r="E249" s="61" t="s">
        <v>19</v>
      </c>
      <c r="F249" s="264"/>
      <c r="G249" s="62"/>
      <c r="H249" s="62"/>
      <c r="I249" s="62"/>
      <c r="J249" s="62"/>
      <c r="K249" s="62"/>
      <c r="L249" s="61"/>
      <c r="M249" s="264"/>
      <c r="N249" s="62"/>
      <c r="O249" s="62"/>
      <c r="P249" s="62"/>
      <c r="Q249" s="62"/>
      <c r="R249" s="62"/>
      <c r="S249" s="61"/>
      <c r="T249" s="264"/>
      <c r="U249" s="62"/>
      <c r="V249" s="62"/>
      <c r="W249" s="62"/>
      <c r="X249" s="62"/>
      <c r="Y249" s="62"/>
      <c r="Z249" s="61"/>
      <c r="AA249" s="264"/>
      <c r="AB249" s="62"/>
      <c r="AC249" s="62"/>
      <c r="AD249" s="62"/>
      <c r="AE249" s="62"/>
      <c r="AF249" s="62"/>
      <c r="AG249" s="61"/>
      <c r="AH249" s="264"/>
      <c r="AI249" s="62"/>
      <c r="AJ249" s="61"/>
      <c r="AK249" s="92">
        <f t="shared" si="39"/>
        <v>0</v>
      </c>
      <c r="AL249" s="65"/>
      <c r="AM249" s="66">
        <f>AK249</f>
        <v>0</v>
      </c>
      <c r="AN249" s="29">
        <f>AM249</f>
        <v>0</v>
      </c>
      <c r="AO249" s="3"/>
      <c r="AP249" s="3"/>
      <c r="AQ249" s="3"/>
      <c r="AR249" s="3"/>
      <c r="AS249" s="3"/>
    </row>
    <row r="250" spans="3:45" ht="12.75" x14ac:dyDescent="0.2">
      <c r="C250" s="580"/>
      <c r="D250" s="584" t="s">
        <v>44</v>
      </c>
      <c r="E250" s="68" t="s">
        <v>18</v>
      </c>
      <c r="F250" s="114"/>
      <c r="G250" s="65"/>
      <c r="H250" s="65"/>
      <c r="I250" s="65"/>
      <c r="J250" s="65"/>
      <c r="K250" s="65"/>
      <c r="L250" s="68"/>
      <c r="M250" s="114"/>
      <c r="N250" s="65"/>
      <c r="O250" s="65"/>
      <c r="P250" s="65"/>
      <c r="Q250" s="65"/>
      <c r="R250" s="65"/>
      <c r="S250" s="68"/>
      <c r="T250" s="114"/>
      <c r="U250" s="65"/>
      <c r="V250" s="65"/>
      <c r="W250" s="65"/>
      <c r="X250" s="65"/>
      <c r="Y250" s="65"/>
      <c r="Z250" s="68"/>
      <c r="AA250" s="114"/>
      <c r="AB250" s="65"/>
      <c r="AC250" s="65"/>
      <c r="AD250" s="65"/>
      <c r="AE250" s="65"/>
      <c r="AF250" s="65"/>
      <c r="AG250" s="68"/>
      <c r="AH250" s="114"/>
      <c r="AI250" s="65"/>
      <c r="AJ250" s="68"/>
      <c r="AK250" s="88">
        <f t="shared" si="39"/>
        <v>0</v>
      </c>
      <c r="AL250" s="96">
        <f>AK250</f>
        <v>0</v>
      </c>
      <c r="AM250" s="97"/>
      <c r="AN250" s="582">
        <f>SUM(AL250:AM251)</f>
        <v>0</v>
      </c>
      <c r="AO250" s="3"/>
      <c r="AP250" s="3"/>
      <c r="AQ250" s="3"/>
      <c r="AR250" s="3"/>
      <c r="AS250" s="3"/>
    </row>
    <row r="251" spans="3:45" ht="12.75" x14ac:dyDescent="0.2">
      <c r="C251" s="581"/>
      <c r="D251" s="585"/>
      <c r="E251" s="100" t="s">
        <v>19</v>
      </c>
      <c r="F251" s="265"/>
      <c r="G251" s="284"/>
      <c r="H251" s="284"/>
      <c r="I251" s="284"/>
      <c r="J251" s="284"/>
      <c r="K251" s="284"/>
      <c r="L251" s="100"/>
      <c r="M251" s="265"/>
      <c r="N251" s="284"/>
      <c r="O251" s="284"/>
      <c r="P251" s="284"/>
      <c r="Q251" s="284"/>
      <c r="R251" s="284"/>
      <c r="S251" s="100"/>
      <c r="T251" s="265"/>
      <c r="U251" s="284"/>
      <c r="V251" s="284"/>
      <c r="W251" s="284"/>
      <c r="X251" s="284"/>
      <c r="Y251" s="284"/>
      <c r="Z251" s="100"/>
      <c r="AA251" s="265"/>
      <c r="AB251" s="284"/>
      <c r="AC251" s="284"/>
      <c r="AD251" s="284"/>
      <c r="AE251" s="284"/>
      <c r="AF251" s="284"/>
      <c r="AG251" s="100"/>
      <c r="AH251" s="265"/>
      <c r="AI251" s="284"/>
      <c r="AJ251" s="100"/>
      <c r="AK251" s="102">
        <f t="shared" si="39"/>
        <v>0</v>
      </c>
      <c r="AL251" s="93"/>
      <c r="AM251" s="94">
        <f>AK251</f>
        <v>0</v>
      </c>
      <c r="AN251" s="583"/>
      <c r="AO251" s="3"/>
      <c r="AP251" s="3"/>
      <c r="AQ251" s="3"/>
      <c r="AR251" s="3"/>
      <c r="AS251" s="3"/>
    </row>
    <row r="252" spans="3:45" ht="12.75" x14ac:dyDescent="0.2">
      <c r="C252" s="594" t="s">
        <v>45</v>
      </c>
      <c r="D252" s="599" t="s">
        <v>46</v>
      </c>
      <c r="E252" s="103" t="s">
        <v>18</v>
      </c>
      <c r="F252" s="96">
        <f>2.69+26.49</f>
        <v>29.18</v>
      </c>
      <c r="G252" s="105"/>
      <c r="H252" s="105"/>
      <c r="I252" s="105"/>
      <c r="J252" s="106">
        <v>18.45</v>
      </c>
      <c r="K252" s="105"/>
      <c r="L252" s="103"/>
      <c r="M252" s="96"/>
      <c r="N252" s="108"/>
      <c r="O252" s="105"/>
      <c r="P252" s="108"/>
      <c r="Q252" s="108"/>
      <c r="R252" s="105"/>
      <c r="S252" s="103">
        <f>5.73+9.28+7.72+15.49</f>
        <v>38.22</v>
      </c>
      <c r="T252" s="271">
        <f>40.13-6.06</f>
        <v>34.07</v>
      </c>
      <c r="U252" s="108"/>
      <c r="V252" s="105"/>
      <c r="W252" s="105"/>
      <c r="X252" s="105">
        <f>3.9+21.49+4.57+5.29+1.83+6.89</f>
        <v>43.97</v>
      </c>
      <c r="Y252" s="108"/>
      <c r="Z252" s="107"/>
      <c r="AA252" s="96"/>
      <c r="AB252" s="105"/>
      <c r="AC252" s="105">
        <f>5.82</f>
        <v>5.82</v>
      </c>
      <c r="AD252" s="105">
        <f>33.28-7.44</f>
        <v>25.84</v>
      </c>
      <c r="AE252" s="105"/>
      <c r="AF252" s="105"/>
      <c r="AG252" s="103"/>
      <c r="AH252" s="271"/>
      <c r="AI252" s="105">
        <f>0.59+5.82</f>
        <v>6.41</v>
      </c>
      <c r="AJ252" s="103"/>
      <c r="AK252" s="107">
        <f t="shared" si="39"/>
        <v>201.95999999999998</v>
      </c>
      <c r="AL252" s="96">
        <f>AK252</f>
        <v>201.95999999999998</v>
      </c>
      <c r="AM252" s="97"/>
      <c r="AN252" s="582">
        <f>SUM(AL252:AM253)</f>
        <v>218.15999999999997</v>
      </c>
      <c r="AO252" s="3"/>
      <c r="AP252" s="3"/>
      <c r="AQ252" s="3"/>
      <c r="AR252" s="3"/>
      <c r="AS252" s="3"/>
    </row>
    <row r="253" spans="3:45" ht="12.75" x14ac:dyDescent="0.2">
      <c r="C253" s="580"/>
      <c r="D253" s="577"/>
      <c r="E253" s="61" t="s">
        <v>19</v>
      </c>
      <c r="F253" s="264"/>
      <c r="G253" s="66"/>
      <c r="H253" s="91">
        <v>16.2</v>
      </c>
      <c r="I253" s="62"/>
      <c r="J253" s="62"/>
      <c r="K253" s="62"/>
      <c r="L253" s="61"/>
      <c r="M253" s="264"/>
      <c r="N253" s="62"/>
      <c r="O253" s="62"/>
      <c r="P253" s="62"/>
      <c r="Q253" s="62"/>
      <c r="R253" s="62"/>
      <c r="S253" s="61"/>
      <c r="T253" s="264"/>
      <c r="U253" s="62"/>
      <c r="V253" s="62"/>
      <c r="W253" s="62"/>
      <c r="X253" s="62"/>
      <c r="Y253" s="62"/>
      <c r="Z253" s="92"/>
      <c r="AA253" s="272"/>
      <c r="AB253" s="62"/>
      <c r="AC253" s="66"/>
      <c r="AD253" s="66"/>
      <c r="AE253" s="62"/>
      <c r="AF253" s="62"/>
      <c r="AG253" s="61"/>
      <c r="AH253" s="272"/>
      <c r="AI253" s="62"/>
      <c r="AJ253" s="61"/>
      <c r="AK253" s="92">
        <f t="shared" si="39"/>
        <v>16.2</v>
      </c>
      <c r="AL253" s="93"/>
      <c r="AM253" s="94">
        <f>AK253</f>
        <v>16.2</v>
      </c>
      <c r="AN253" s="583"/>
      <c r="AO253" s="3"/>
      <c r="AP253" s="3"/>
      <c r="AQ253" s="3"/>
      <c r="AR253" s="3"/>
      <c r="AS253" s="3"/>
    </row>
    <row r="254" spans="3:45" ht="12.75" x14ac:dyDescent="0.2">
      <c r="C254" s="580"/>
      <c r="D254" s="591" t="s">
        <v>47</v>
      </c>
      <c r="E254" s="68" t="s">
        <v>18</v>
      </c>
      <c r="F254" s="114">
        <f>(0.93*8)-0.9</f>
        <v>6.54</v>
      </c>
      <c r="G254" s="65"/>
      <c r="H254" s="65"/>
      <c r="I254" s="65"/>
      <c r="J254" s="70">
        <v>3.92</v>
      </c>
      <c r="K254" s="72"/>
      <c r="L254" s="68">
        <f>10.03</f>
        <v>10.029999999999999</v>
      </c>
      <c r="M254" s="89"/>
      <c r="N254" s="72"/>
      <c r="O254" s="65"/>
      <c r="P254" s="70">
        <v>7.57</v>
      </c>
      <c r="Q254" s="72"/>
      <c r="R254" s="72"/>
      <c r="S254" s="88">
        <f>0.89+(3.5*2)+(0.93*6)+4.95</f>
        <v>18.419999999999998</v>
      </c>
      <c r="T254" s="114">
        <f>(0.93*4)+(1.17*2)</f>
        <v>6.0600000000000005</v>
      </c>
      <c r="U254" s="72"/>
      <c r="V254" s="72"/>
      <c r="W254" s="65"/>
      <c r="X254" s="72">
        <f>1.89+(0.93*6)+(1.17*2)</f>
        <v>9.8099999999999987</v>
      </c>
      <c r="Y254" s="72"/>
      <c r="Z254" s="68">
        <f>3.49+(0.93*4)+4.99</f>
        <v>12.200000000000001</v>
      </c>
      <c r="AA254" s="114"/>
      <c r="AB254" s="65"/>
      <c r="AC254" s="72">
        <f>17.4-5.82</f>
        <v>11.579999999999998</v>
      </c>
      <c r="AD254" s="65">
        <f>0.93*8</f>
        <v>7.44</v>
      </c>
      <c r="AE254" s="87">
        <v>31.75</v>
      </c>
      <c r="AF254" s="65"/>
      <c r="AG254" s="68"/>
      <c r="AH254" s="114"/>
      <c r="AI254" s="65">
        <f>20.09-6.41</f>
        <v>13.68</v>
      </c>
      <c r="AJ254" s="68"/>
      <c r="AK254" s="88">
        <f t="shared" si="39"/>
        <v>139</v>
      </c>
      <c r="AL254" s="96">
        <f>AK254</f>
        <v>139</v>
      </c>
      <c r="AM254" s="97"/>
      <c r="AN254" s="593">
        <f>SUM(AL254:AM255)</f>
        <v>147.71</v>
      </c>
      <c r="AO254" s="3"/>
      <c r="AP254" s="3"/>
      <c r="AQ254" s="3"/>
      <c r="AR254" s="3"/>
      <c r="AS254" s="3"/>
    </row>
    <row r="255" spans="3:45" ht="12.75" x14ac:dyDescent="0.2">
      <c r="C255" s="580"/>
      <c r="D255" s="577"/>
      <c r="E255" s="61" t="s">
        <v>19</v>
      </c>
      <c r="F255" s="264"/>
      <c r="G255" s="66"/>
      <c r="H255" s="63">
        <v>8.7100000000000009</v>
      </c>
      <c r="I255" s="62"/>
      <c r="J255" s="62"/>
      <c r="K255" s="62"/>
      <c r="L255" s="61"/>
      <c r="M255" s="272"/>
      <c r="N255" s="62"/>
      <c r="O255" s="62"/>
      <c r="P255" s="62"/>
      <c r="Q255" s="62"/>
      <c r="R255" s="62"/>
      <c r="S255" s="61"/>
      <c r="T255" s="264"/>
      <c r="U255" s="62"/>
      <c r="V255" s="62"/>
      <c r="W255" s="62"/>
      <c r="X255" s="62"/>
      <c r="Y255" s="66"/>
      <c r="Z255" s="92"/>
      <c r="AA255" s="272"/>
      <c r="AB255" s="66"/>
      <c r="AC255" s="66"/>
      <c r="AD255" s="66"/>
      <c r="AE255" s="62"/>
      <c r="AF255" s="62"/>
      <c r="AG255" s="61"/>
      <c r="AH255" s="272"/>
      <c r="AI255" s="66"/>
      <c r="AJ255" s="61"/>
      <c r="AK255" s="92">
        <f t="shared" si="39"/>
        <v>8.7100000000000009</v>
      </c>
      <c r="AL255" s="93"/>
      <c r="AM255" s="94">
        <f>AK255</f>
        <v>8.7100000000000009</v>
      </c>
      <c r="AN255" s="583"/>
      <c r="AO255" s="3"/>
      <c r="AP255" s="3"/>
      <c r="AQ255" s="3"/>
      <c r="AR255" s="3"/>
      <c r="AS255" s="3"/>
    </row>
    <row r="256" spans="3:45" ht="12.75" x14ac:dyDescent="0.2">
      <c r="C256" s="580"/>
      <c r="D256" s="591" t="s">
        <v>48</v>
      </c>
      <c r="E256" s="68" t="s">
        <v>18</v>
      </c>
      <c r="F256" s="267">
        <v>0.22</v>
      </c>
      <c r="G256" s="65"/>
      <c r="H256" s="65"/>
      <c r="I256" s="65"/>
      <c r="J256" s="65"/>
      <c r="K256" s="65"/>
      <c r="L256" s="68"/>
      <c r="M256" s="114"/>
      <c r="N256" s="65"/>
      <c r="O256" s="72"/>
      <c r="P256" s="65">
        <f>4.84+3.37</f>
        <v>8.2100000000000009</v>
      </c>
      <c r="Q256" s="87">
        <v>4.84</v>
      </c>
      <c r="R256" s="72"/>
      <c r="S256" s="68"/>
      <c r="T256" s="267">
        <v>7.06</v>
      </c>
      <c r="U256" s="65"/>
      <c r="V256" s="72"/>
      <c r="W256" s="65"/>
      <c r="X256" s="65"/>
      <c r="Y256" s="65"/>
      <c r="Z256" s="88"/>
      <c r="AA256" s="114"/>
      <c r="AB256" s="65"/>
      <c r="AC256" s="65"/>
      <c r="AD256" s="65"/>
      <c r="AE256" s="65"/>
      <c r="AF256" s="65"/>
      <c r="AG256" s="68"/>
      <c r="AH256" s="267">
        <v>7.19</v>
      </c>
      <c r="AI256" s="65"/>
      <c r="AJ256" s="68"/>
      <c r="AK256" s="88">
        <f t="shared" si="39"/>
        <v>27.520000000000003</v>
      </c>
      <c r="AL256" s="96">
        <f>AK256</f>
        <v>27.520000000000003</v>
      </c>
      <c r="AM256" s="97"/>
      <c r="AN256" s="582">
        <f>SUM(AL256:AM257)</f>
        <v>34.36</v>
      </c>
      <c r="AO256" s="3"/>
      <c r="AP256" s="3"/>
      <c r="AQ256" s="3"/>
      <c r="AR256" s="3"/>
      <c r="AS256" s="3"/>
    </row>
    <row r="257" spans="3:45" ht="12.75" x14ac:dyDescent="0.2">
      <c r="C257" s="580"/>
      <c r="D257" s="577"/>
      <c r="E257" s="61" t="s">
        <v>19</v>
      </c>
      <c r="F257" s="268">
        <f>4.84+2</f>
        <v>6.84</v>
      </c>
      <c r="G257" s="62"/>
      <c r="H257" s="66"/>
      <c r="I257" s="62"/>
      <c r="J257" s="62"/>
      <c r="K257" s="62"/>
      <c r="L257" s="61"/>
      <c r="M257" s="264"/>
      <c r="N257" s="62"/>
      <c r="O257" s="62"/>
      <c r="P257" s="62"/>
      <c r="Q257" s="62"/>
      <c r="R257" s="62"/>
      <c r="S257" s="61"/>
      <c r="T257" s="264"/>
      <c r="U257" s="62"/>
      <c r="V257" s="62"/>
      <c r="W257" s="62"/>
      <c r="X257" s="62"/>
      <c r="Y257" s="62"/>
      <c r="Z257" s="61"/>
      <c r="AA257" s="264"/>
      <c r="AB257" s="62"/>
      <c r="AC257" s="62"/>
      <c r="AD257" s="62"/>
      <c r="AE257" s="62"/>
      <c r="AF257" s="62"/>
      <c r="AG257" s="92"/>
      <c r="AH257" s="264"/>
      <c r="AI257" s="62"/>
      <c r="AJ257" s="61"/>
      <c r="AK257" s="92">
        <f t="shared" si="39"/>
        <v>6.84</v>
      </c>
      <c r="AL257" s="93"/>
      <c r="AM257" s="94">
        <f>AK257</f>
        <v>6.84</v>
      </c>
      <c r="AN257" s="583"/>
      <c r="AO257" s="3"/>
      <c r="AP257" s="3"/>
      <c r="AQ257" s="3"/>
      <c r="AR257" s="3"/>
      <c r="AS257" s="3"/>
    </row>
    <row r="258" spans="3:45" ht="12.75" x14ac:dyDescent="0.2">
      <c r="C258" s="580"/>
      <c r="D258" s="591" t="s">
        <v>49</v>
      </c>
      <c r="E258" s="68" t="s">
        <v>18</v>
      </c>
      <c r="F258" s="114"/>
      <c r="G258" s="65"/>
      <c r="H258" s="65"/>
      <c r="I258" s="65"/>
      <c r="J258" s="70">
        <v>4.5</v>
      </c>
      <c r="K258" s="87"/>
      <c r="L258" s="95">
        <v>4.5</v>
      </c>
      <c r="M258" s="114"/>
      <c r="N258" s="72"/>
      <c r="O258" s="72"/>
      <c r="P258" s="70">
        <v>0.5</v>
      </c>
      <c r="Q258" s="72"/>
      <c r="R258" s="65">
        <f>11.49-6.5+9</f>
        <v>13.99</v>
      </c>
      <c r="S258" s="68"/>
      <c r="T258" s="114"/>
      <c r="U258" s="65"/>
      <c r="V258" s="65"/>
      <c r="W258" s="65"/>
      <c r="X258" s="65"/>
      <c r="Y258" s="65"/>
      <c r="Z258" s="88">
        <f>2.59+0.02</f>
        <v>2.61</v>
      </c>
      <c r="AA258" s="114"/>
      <c r="AB258" s="65"/>
      <c r="AC258" s="70">
        <v>9</v>
      </c>
      <c r="AD258" s="65"/>
      <c r="AE258" s="87">
        <v>0.56999999999999995</v>
      </c>
      <c r="AF258" s="65"/>
      <c r="AG258" s="95">
        <v>4.5</v>
      </c>
      <c r="AH258" s="114"/>
      <c r="AI258" s="65"/>
      <c r="AJ258" s="68"/>
      <c r="AK258" s="88">
        <f t="shared" si="39"/>
        <v>40.17</v>
      </c>
      <c r="AL258" s="96">
        <f>AK258</f>
        <v>40.17</v>
      </c>
      <c r="AM258" s="97"/>
      <c r="AN258" s="582">
        <f>SUM(AL258:AM259)</f>
        <v>53.67</v>
      </c>
      <c r="AO258" s="3"/>
      <c r="AP258" s="3"/>
      <c r="AQ258" s="3"/>
      <c r="AR258" s="3"/>
      <c r="AS258" s="3"/>
    </row>
    <row r="259" spans="3:45" ht="12.75" x14ac:dyDescent="0.2">
      <c r="C259" s="580"/>
      <c r="D259" s="577"/>
      <c r="E259" s="61" t="s">
        <v>19</v>
      </c>
      <c r="F259" s="269">
        <v>4.5</v>
      </c>
      <c r="G259" s="66"/>
      <c r="H259" s="62"/>
      <c r="I259" s="62"/>
      <c r="J259" s="62"/>
      <c r="K259" s="62"/>
      <c r="L259" s="61"/>
      <c r="M259" s="264"/>
      <c r="N259" s="62"/>
      <c r="O259" s="62"/>
      <c r="P259" s="91">
        <v>4</v>
      </c>
      <c r="Q259" s="62"/>
      <c r="R259" s="62"/>
      <c r="S259" s="61"/>
      <c r="T259" s="264"/>
      <c r="U259" s="62"/>
      <c r="V259" s="62"/>
      <c r="W259" s="62"/>
      <c r="X259" s="66"/>
      <c r="Y259" s="66"/>
      <c r="Z259" s="112">
        <v>5</v>
      </c>
      <c r="AA259" s="272"/>
      <c r="AB259" s="62"/>
      <c r="AC259" s="62"/>
      <c r="AD259" s="62"/>
      <c r="AE259" s="62"/>
      <c r="AF259" s="66"/>
      <c r="AG259" s="92"/>
      <c r="AH259" s="264"/>
      <c r="AI259" s="62"/>
      <c r="AJ259" s="61"/>
      <c r="AK259" s="92">
        <f t="shared" si="39"/>
        <v>13.5</v>
      </c>
      <c r="AL259" s="93"/>
      <c r="AM259" s="94">
        <f>AK259</f>
        <v>13.5</v>
      </c>
      <c r="AN259" s="583"/>
      <c r="AO259" s="3"/>
      <c r="AP259" s="3"/>
      <c r="AQ259" s="3"/>
      <c r="AR259" s="3"/>
      <c r="AS259" s="3"/>
    </row>
    <row r="260" spans="3:45" ht="12.75" x14ac:dyDescent="0.2">
      <c r="C260" s="580"/>
      <c r="D260" s="592" t="s">
        <v>50</v>
      </c>
      <c r="E260" s="68" t="s">
        <v>18</v>
      </c>
      <c r="F260" s="270">
        <v>6</v>
      </c>
      <c r="G260" s="65"/>
      <c r="H260" s="65"/>
      <c r="I260" s="65"/>
      <c r="J260" s="65"/>
      <c r="K260" s="72"/>
      <c r="L260" s="95">
        <v>26</v>
      </c>
      <c r="M260" s="114"/>
      <c r="N260" s="65"/>
      <c r="O260" s="65"/>
      <c r="P260" s="65"/>
      <c r="Q260" s="65"/>
      <c r="R260" s="70">
        <v>6.5</v>
      </c>
      <c r="S260" s="99">
        <v>26</v>
      </c>
      <c r="T260" s="114"/>
      <c r="U260" s="65"/>
      <c r="V260" s="65"/>
      <c r="W260" s="65"/>
      <c r="X260" s="87">
        <v>65</v>
      </c>
      <c r="Y260" s="72"/>
      <c r="Z260" s="95">
        <v>3.49</v>
      </c>
      <c r="AA260" s="114"/>
      <c r="AB260" s="65"/>
      <c r="AC260" s="72"/>
      <c r="AD260" s="65"/>
      <c r="AE260" s="65"/>
      <c r="AF260" s="65"/>
      <c r="AG260" s="68"/>
      <c r="AH260" s="267">
        <v>65</v>
      </c>
      <c r="AI260" s="65"/>
      <c r="AJ260" s="68"/>
      <c r="AK260" s="88">
        <f t="shared" si="39"/>
        <v>197.99</v>
      </c>
      <c r="AL260" s="96">
        <f>AK260</f>
        <v>197.99</v>
      </c>
      <c r="AM260" s="97"/>
      <c r="AN260" s="582">
        <f>SUM(AL260:AM261)</f>
        <v>217.99</v>
      </c>
      <c r="AO260" s="3"/>
      <c r="AP260" s="3"/>
      <c r="AQ260" s="3"/>
      <c r="AR260" s="3"/>
      <c r="AS260" s="3"/>
    </row>
    <row r="261" spans="3:45" ht="12.75" x14ac:dyDescent="0.2">
      <c r="C261" s="580"/>
      <c r="D261" s="577"/>
      <c r="E261" s="61" t="s">
        <v>19</v>
      </c>
      <c r="F261" s="268">
        <v>20</v>
      </c>
      <c r="G261" s="66"/>
      <c r="H261" s="62"/>
      <c r="I261" s="62"/>
      <c r="J261" s="62"/>
      <c r="K261" s="62"/>
      <c r="L261" s="61"/>
      <c r="M261" s="264"/>
      <c r="N261" s="62"/>
      <c r="O261" s="66"/>
      <c r="P261" s="62"/>
      <c r="Q261" s="62"/>
      <c r="R261" s="62"/>
      <c r="S261" s="92"/>
      <c r="T261" s="264"/>
      <c r="U261" s="62"/>
      <c r="V261" s="62"/>
      <c r="W261" s="62"/>
      <c r="X261" s="66"/>
      <c r="Y261" s="62"/>
      <c r="Z261" s="61"/>
      <c r="AA261" s="264"/>
      <c r="AB261" s="62"/>
      <c r="AC261" s="66"/>
      <c r="AD261" s="62"/>
      <c r="AE261" s="62"/>
      <c r="AF261" s="62"/>
      <c r="AG261" s="61"/>
      <c r="AH261" s="264"/>
      <c r="AI261" s="62"/>
      <c r="AJ261" s="61"/>
      <c r="AK261" s="92">
        <f t="shared" si="39"/>
        <v>20</v>
      </c>
      <c r="AL261" s="93"/>
      <c r="AM261" s="94">
        <f>AK261</f>
        <v>20</v>
      </c>
      <c r="AN261" s="583"/>
      <c r="AO261" s="3"/>
      <c r="AP261" s="3"/>
      <c r="AQ261" s="3"/>
      <c r="AR261" s="3"/>
      <c r="AS261" s="3"/>
    </row>
    <row r="262" spans="3:45" ht="12.75" x14ac:dyDescent="0.2">
      <c r="C262" s="580"/>
      <c r="D262" s="592" t="s">
        <v>1</v>
      </c>
      <c r="E262" s="68" t="s">
        <v>18</v>
      </c>
      <c r="F262" s="114"/>
      <c r="G262" s="65"/>
      <c r="H262" s="65"/>
      <c r="I262" s="65"/>
      <c r="J262" s="65"/>
      <c r="K262" s="65"/>
      <c r="L262" s="68"/>
      <c r="M262" s="114"/>
      <c r="N262" s="65"/>
      <c r="O262" s="65"/>
      <c r="P262" s="65"/>
      <c r="Q262" s="65"/>
      <c r="R262" s="65"/>
      <c r="S262" s="68"/>
      <c r="T262" s="114"/>
      <c r="U262" s="65"/>
      <c r="V262" s="65"/>
      <c r="W262" s="65"/>
      <c r="X262" s="65"/>
      <c r="Y262" s="65"/>
      <c r="Z262" s="95">
        <v>2.59</v>
      </c>
      <c r="AA262" s="114"/>
      <c r="AB262" s="65"/>
      <c r="AC262" s="65"/>
      <c r="AD262" s="65"/>
      <c r="AE262" s="65"/>
      <c r="AF262" s="65"/>
      <c r="AG262" s="68"/>
      <c r="AH262" s="267">
        <v>6.4</v>
      </c>
      <c r="AI262" s="65"/>
      <c r="AJ262" s="95">
        <v>53.51</v>
      </c>
      <c r="AK262" s="88">
        <f t="shared" si="39"/>
        <v>62.5</v>
      </c>
      <c r="AL262" s="89">
        <f>AK262</f>
        <v>62.5</v>
      </c>
      <c r="AM262" s="62"/>
      <c r="AN262" s="582">
        <f>SUM(AL262:AM263)</f>
        <v>62.5</v>
      </c>
      <c r="AO262" s="3"/>
      <c r="AP262" s="3"/>
      <c r="AQ262" s="3"/>
      <c r="AR262" s="3"/>
      <c r="AS262" s="3"/>
    </row>
    <row r="263" spans="3:45" ht="12.75" x14ac:dyDescent="0.2">
      <c r="C263" s="580"/>
      <c r="D263" s="577"/>
      <c r="E263" s="61" t="s">
        <v>19</v>
      </c>
      <c r="F263" s="264"/>
      <c r="G263" s="62"/>
      <c r="H263" s="62"/>
      <c r="I263" s="62"/>
      <c r="J263" s="62"/>
      <c r="K263" s="62"/>
      <c r="L263" s="61"/>
      <c r="M263" s="264"/>
      <c r="N263" s="62"/>
      <c r="O263" s="62"/>
      <c r="P263" s="62"/>
      <c r="Q263" s="62"/>
      <c r="R263" s="62"/>
      <c r="S263" s="61"/>
      <c r="T263" s="264"/>
      <c r="U263" s="62"/>
      <c r="V263" s="62"/>
      <c r="W263" s="62"/>
      <c r="X263" s="62"/>
      <c r="Y263" s="62"/>
      <c r="Z263" s="61"/>
      <c r="AA263" s="264"/>
      <c r="AB263" s="62"/>
      <c r="AC263" s="62"/>
      <c r="AD263" s="62"/>
      <c r="AE263" s="62"/>
      <c r="AF263" s="62"/>
      <c r="AG263" s="61"/>
      <c r="AH263" s="264"/>
      <c r="AI263" s="62"/>
      <c r="AJ263" s="61"/>
      <c r="AK263" s="92">
        <f t="shared" si="39"/>
        <v>0</v>
      </c>
      <c r="AL263" s="114"/>
      <c r="AM263" s="66">
        <f>AK263</f>
        <v>0</v>
      </c>
      <c r="AN263" s="583"/>
      <c r="AO263" s="3"/>
      <c r="AP263" s="3"/>
      <c r="AQ263" s="3"/>
      <c r="AR263" s="3"/>
      <c r="AS263" s="3"/>
    </row>
    <row r="264" spans="3:45" ht="12.75" x14ac:dyDescent="0.2">
      <c r="C264" s="580"/>
      <c r="D264" s="576" t="s">
        <v>51</v>
      </c>
      <c r="E264" s="68" t="s">
        <v>18</v>
      </c>
      <c r="F264" s="114"/>
      <c r="G264" s="65"/>
      <c r="H264" s="65"/>
      <c r="I264" s="65"/>
      <c r="J264" s="65"/>
      <c r="K264" s="65"/>
      <c r="L264" s="68"/>
      <c r="M264" s="114"/>
      <c r="N264" s="65"/>
      <c r="O264" s="65"/>
      <c r="P264" s="65"/>
      <c r="Q264" s="65"/>
      <c r="R264" s="65"/>
      <c r="S264" s="68"/>
      <c r="T264" s="114"/>
      <c r="U264" s="65"/>
      <c r="V264" s="65"/>
      <c r="W264" s="65"/>
      <c r="X264" s="65"/>
      <c r="Y264" s="87">
        <v>10.95</v>
      </c>
      <c r="Z264" s="68"/>
      <c r="AA264" s="114"/>
      <c r="AB264" s="65"/>
      <c r="AC264" s="65"/>
      <c r="AD264" s="65"/>
      <c r="AE264" s="65"/>
      <c r="AF264" s="65"/>
      <c r="AG264" s="68"/>
      <c r="AH264" s="114"/>
      <c r="AI264" s="65"/>
      <c r="AJ264" s="68"/>
      <c r="AK264" s="88">
        <f t="shared" si="39"/>
        <v>10.95</v>
      </c>
      <c r="AL264" s="96">
        <f>AK264</f>
        <v>10.95</v>
      </c>
      <c r="AM264" s="97"/>
      <c r="AN264" s="586">
        <f>SUM(AL264:AM265)</f>
        <v>10.95</v>
      </c>
      <c r="AO264" s="3"/>
      <c r="AP264" s="3"/>
      <c r="AQ264" s="3"/>
      <c r="AR264" s="3"/>
      <c r="AS264" s="3"/>
    </row>
    <row r="265" spans="3:45" ht="12.75" x14ac:dyDescent="0.2">
      <c r="C265" s="580"/>
      <c r="D265" s="577"/>
      <c r="E265" s="61" t="s">
        <v>19</v>
      </c>
      <c r="F265" s="264"/>
      <c r="G265" s="62"/>
      <c r="H265" s="62"/>
      <c r="I265" s="62"/>
      <c r="J265" s="62"/>
      <c r="K265" s="62"/>
      <c r="L265" s="61"/>
      <c r="M265" s="264"/>
      <c r="N265" s="62"/>
      <c r="O265" s="62"/>
      <c r="P265" s="62"/>
      <c r="Q265" s="62"/>
      <c r="R265" s="62"/>
      <c r="S265" s="61"/>
      <c r="T265" s="264"/>
      <c r="U265" s="62"/>
      <c r="V265" s="62"/>
      <c r="W265" s="62"/>
      <c r="X265" s="62"/>
      <c r="Y265" s="62"/>
      <c r="Z265" s="61"/>
      <c r="AA265" s="264"/>
      <c r="AB265" s="62"/>
      <c r="AC265" s="62"/>
      <c r="AD265" s="62"/>
      <c r="AE265" s="62"/>
      <c r="AF265" s="62"/>
      <c r="AG265" s="61"/>
      <c r="AH265" s="264"/>
      <c r="AI265" s="62"/>
      <c r="AJ265" s="61"/>
      <c r="AK265" s="92">
        <f t="shared" si="39"/>
        <v>0</v>
      </c>
      <c r="AL265" s="93"/>
      <c r="AM265" s="94">
        <f>AK265</f>
        <v>0</v>
      </c>
      <c r="AN265" s="583"/>
      <c r="AO265" s="3"/>
      <c r="AP265" s="3"/>
      <c r="AQ265" s="3"/>
      <c r="AR265" s="3"/>
      <c r="AS265" s="3"/>
    </row>
    <row r="266" spans="3:45" ht="12.75" x14ac:dyDescent="0.2">
      <c r="C266" s="580"/>
      <c r="D266" s="576" t="s">
        <v>52</v>
      </c>
      <c r="E266" s="68" t="s">
        <v>18</v>
      </c>
      <c r="F266" s="114"/>
      <c r="G266" s="65"/>
      <c r="H266" s="65"/>
      <c r="I266" s="65"/>
      <c r="J266" s="65"/>
      <c r="K266" s="65"/>
      <c r="L266" s="68"/>
      <c r="M266" s="114"/>
      <c r="N266" s="65"/>
      <c r="O266" s="65"/>
      <c r="P266" s="65"/>
      <c r="Q266" s="65"/>
      <c r="R266" s="65"/>
      <c r="S266" s="68"/>
      <c r="T266" s="114"/>
      <c r="U266" s="65"/>
      <c r="V266" s="65"/>
      <c r="W266" s="65"/>
      <c r="X266" s="65"/>
      <c r="Y266" s="65">
        <f>0.74+0.74+0.65+7.02</f>
        <v>9.1499999999999986</v>
      </c>
      <c r="Z266" s="68"/>
      <c r="AA266" s="89"/>
      <c r="AB266" s="65"/>
      <c r="AC266" s="65"/>
      <c r="AD266" s="65"/>
      <c r="AE266" s="65"/>
      <c r="AF266" s="65"/>
      <c r="AG266" s="68"/>
      <c r="AH266" s="114"/>
      <c r="AI266" s="65"/>
      <c r="AJ266" s="68"/>
      <c r="AK266" s="88">
        <f t="shared" si="39"/>
        <v>9.1499999999999986</v>
      </c>
      <c r="AL266" s="96">
        <f>AK266</f>
        <v>9.1499999999999986</v>
      </c>
      <c r="AM266" s="97"/>
      <c r="AN266" s="582">
        <f>SUM(AL266:AM267)</f>
        <v>9.1499999999999986</v>
      </c>
      <c r="AO266" s="3"/>
      <c r="AP266" s="3"/>
      <c r="AQ266" s="3"/>
      <c r="AR266" s="3"/>
      <c r="AS266" s="3"/>
    </row>
    <row r="267" spans="3:45" ht="12.75" x14ac:dyDescent="0.2">
      <c r="C267" s="581"/>
      <c r="D267" s="585"/>
      <c r="E267" s="100" t="s">
        <v>19</v>
      </c>
      <c r="F267" s="265"/>
      <c r="G267" s="284"/>
      <c r="H267" s="284"/>
      <c r="I267" s="284"/>
      <c r="J267" s="284"/>
      <c r="K267" s="284"/>
      <c r="L267" s="100"/>
      <c r="M267" s="265"/>
      <c r="N267" s="284"/>
      <c r="O267" s="284"/>
      <c r="P267" s="284"/>
      <c r="Q267" s="284"/>
      <c r="R267" s="284"/>
      <c r="S267" s="100"/>
      <c r="T267" s="265"/>
      <c r="U267" s="284"/>
      <c r="V267" s="284"/>
      <c r="W267" s="284"/>
      <c r="X267" s="284"/>
      <c r="Y267" s="284"/>
      <c r="Z267" s="100"/>
      <c r="AA267" s="265"/>
      <c r="AB267" s="284"/>
      <c r="AC267" s="284"/>
      <c r="AD267" s="284"/>
      <c r="AE267" s="284"/>
      <c r="AF267" s="284"/>
      <c r="AG267" s="100"/>
      <c r="AH267" s="265"/>
      <c r="AI267" s="284"/>
      <c r="AJ267" s="100"/>
      <c r="AK267" s="102">
        <f t="shared" si="39"/>
        <v>0</v>
      </c>
      <c r="AL267" s="93"/>
      <c r="AM267" s="94">
        <f>AK267</f>
        <v>0</v>
      </c>
      <c r="AN267" s="583"/>
      <c r="AO267" s="3"/>
      <c r="AP267" s="3"/>
      <c r="AQ267" s="3"/>
      <c r="AR267" s="3"/>
      <c r="AS267" s="3"/>
    </row>
    <row r="268" spans="3:45" ht="12.75" x14ac:dyDescent="0.2">
      <c r="C268" s="594" t="s">
        <v>53</v>
      </c>
      <c r="D268" s="115" t="s">
        <v>54</v>
      </c>
      <c r="E268" s="103" t="s">
        <v>18</v>
      </c>
      <c r="F268" s="271"/>
      <c r="G268" s="105"/>
      <c r="H268" s="105"/>
      <c r="I268" s="105"/>
      <c r="J268" s="105"/>
      <c r="K268" s="105"/>
      <c r="L268" s="103"/>
      <c r="M268" s="271"/>
      <c r="N268" s="105"/>
      <c r="O268" s="105"/>
      <c r="P268" s="105"/>
      <c r="Q268" s="105"/>
      <c r="R268" s="105"/>
      <c r="S268" s="103"/>
      <c r="T268" s="271"/>
      <c r="U268" s="105"/>
      <c r="V268" s="105"/>
      <c r="W268" s="105"/>
      <c r="X268" s="105"/>
      <c r="Y268" s="105"/>
      <c r="Z268" s="103"/>
      <c r="AA268" s="271"/>
      <c r="AB268" s="105"/>
      <c r="AC268" s="105"/>
      <c r="AD268" s="105"/>
      <c r="AE268" s="105"/>
      <c r="AF268" s="105"/>
      <c r="AG268" s="103"/>
      <c r="AH268" s="271"/>
      <c r="AI268" s="105"/>
      <c r="AJ268" s="103"/>
      <c r="AK268" s="107">
        <f t="shared" si="39"/>
        <v>0</v>
      </c>
      <c r="AL268" s="72">
        <f t="shared" ref="AL268:AL269" si="42">AK268</f>
        <v>0</v>
      </c>
      <c r="AM268" s="62"/>
      <c r="AN268" s="29">
        <f>AL268</f>
        <v>0</v>
      </c>
      <c r="AO268" s="3"/>
      <c r="AP268" s="3"/>
      <c r="AQ268" s="3"/>
      <c r="AR268" s="3"/>
      <c r="AS268" s="3"/>
    </row>
    <row r="269" spans="3:45" ht="12.75" x14ac:dyDescent="0.2">
      <c r="C269" s="580"/>
      <c r="D269" s="584" t="s">
        <v>55</v>
      </c>
      <c r="E269" s="68" t="s">
        <v>18</v>
      </c>
      <c r="F269" s="114"/>
      <c r="G269" s="65"/>
      <c r="H269" s="65"/>
      <c r="I269" s="65"/>
      <c r="J269" s="65"/>
      <c r="K269" s="65"/>
      <c r="L269" s="68"/>
      <c r="M269" s="114"/>
      <c r="N269" s="65"/>
      <c r="O269" s="65"/>
      <c r="P269" s="65"/>
      <c r="Q269" s="65"/>
      <c r="R269" s="65"/>
      <c r="S269" s="95"/>
      <c r="T269" s="114"/>
      <c r="U269" s="65"/>
      <c r="V269" s="65"/>
      <c r="W269" s="65"/>
      <c r="X269" s="65"/>
      <c r="Y269" s="65"/>
      <c r="Z269" s="68"/>
      <c r="AA269" s="114"/>
      <c r="AB269" s="65"/>
      <c r="AC269" s="65"/>
      <c r="AD269" s="65"/>
      <c r="AE269" s="65"/>
      <c r="AF269" s="65"/>
      <c r="AG269" s="95">
        <v>236.21</v>
      </c>
      <c r="AH269" s="114"/>
      <c r="AI269" s="65"/>
      <c r="AJ269" s="68"/>
      <c r="AK269" s="88">
        <f t="shared" si="39"/>
        <v>236.21</v>
      </c>
      <c r="AL269" s="96">
        <f t="shared" si="42"/>
        <v>236.21</v>
      </c>
      <c r="AM269" s="97"/>
      <c r="AN269" s="582">
        <f>SUM(AL269:AM270)</f>
        <v>236.21</v>
      </c>
      <c r="AO269" s="3"/>
      <c r="AP269" s="3"/>
      <c r="AQ269" s="3"/>
      <c r="AR269" s="3"/>
      <c r="AS269" s="3"/>
    </row>
    <row r="270" spans="3:45" ht="12.75" x14ac:dyDescent="0.2">
      <c r="C270" s="580"/>
      <c r="D270" s="577"/>
      <c r="E270" s="61" t="s">
        <v>19</v>
      </c>
      <c r="F270" s="264"/>
      <c r="G270" s="62"/>
      <c r="H270" s="62"/>
      <c r="I270" s="62"/>
      <c r="J270" s="62"/>
      <c r="K270" s="62"/>
      <c r="L270" s="61"/>
      <c r="M270" s="264"/>
      <c r="N270" s="62"/>
      <c r="O270" s="62"/>
      <c r="P270" s="62"/>
      <c r="Q270" s="62"/>
      <c r="R270" s="62"/>
      <c r="S270" s="61"/>
      <c r="T270" s="264"/>
      <c r="U270" s="62"/>
      <c r="V270" s="62"/>
      <c r="W270" s="62"/>
      <c r="X270" s="62"/>
      <c r="Y270" s="62"/>
      <c r="Z270" s="61"/>
      <c r="AA270" s="264"/>
      <c r="AB270" s="62"/>
      <c r="AC270" s="62"/>
      <c r="AD270" s="62"/>
      <c r="AE270" s="62"/>
      <c r="AF270" s="62"/>
      <c r="AG270" s="61"/>
      <c r="AH270" s="264"/>
      <c r="AI270" s="62"/>
      <c r="AJ270" s="61"/>
      <c r="AK270" s="92">
        <f t="shared" si="39"/>
        <v>0</v>
      </c>
      <c r="AL270" s="93"/>
      <c r="AM270" s="94">
        <f>AK270</f>
        <v>0</v>
      </c>
      <c r="AN270" s="583"/>
      <c r="AO270" s="3"/>
      <c r="AP270" s="3"/>
      <c r="AQ270" s="3"/>
      <c r="AR270" s="3"/>
      <c r="AS270" s="3"/>
    </row>
    <row r="271" spans="3:45" ht="12.75" x14ac:dyDescent="0.2">
      <c r="C271" s="580"/>
      <c r="D271" s="584" t="s">
        <v>56</v>
      </c>
      <c r="E271" s="68" t="s">
        <v>18</v>
      </c>
      <c r="F271" s="114"/>
      <c r="G271" s="65"/>
      <c r="H271" s="65"/>
      <c r="I271" s="65"/>
      <c r="J271" s="65"/>
      <c r="K271" s="65"/>
      <c r="L271" s="68"/>
      <c r="M271" s="114"/>
      <c r="N271" s="65"/>
      <c r="O271" s="65"/>
      <c r="P271" s="65"/>
      <c r="Q271" s="65"/>
      <c r="R271" s="65"/>
      <c r="S271" s="68"/>
      <c r="T271" s="114"/>
      <c r="U271" s="65"/>
      <c r="V271" s="65"/>
      <c r="W271" s="65"/>
      <c r="X271" s="65"/>
      <c r="Y271" s="65"/>
      <c r="Z271" s="68"/>
      <c r="AA271" s="114"/>
      <c r="AB271" s="65"/>
      <c r="AC271" s="65"/>
      <c r="AD271" s="65"/>
      <c r="AE271" s="65"/>
      <c r="AF271" s="65"/>
      <c r="AG271" s="68"/>
      <c r="AH271" s="114"/>
      <c r="AI271" s="65"/>
      <c r="AJ271" s="68"/>
      <c r="AK271" s="88">
        <f t="shared" si="39"/>
        <v>0</v>
      </c>
      <c r="AL271" s="96">
        <f>AK271</f>
        <v>0</v>
      </c>
      <c r="AM271" s="97"/>
      <c r="AN271" s="582">
        <f>SUM(AL271:AM272)</f>
        <v>0</v>
      </c>
      <c r="AO271" s="3"/>
      <c r="AP271" s="3"/>
      <c r="AQ271" s="3"/>
      <c r="AR271" s="3"/>
      <c r="AS271" s="3"/>
    </row>
    <row r="272" spans="3:45" ht="12.75" x14ac:dyDescent="0.2">
      <c r="C272" s="580"/>
      <c r="D272" s="577"/>
      <c r="E272" s="61" t="s">
        <v>19</v>
      </c>
      <c r="F272" s="264"/>
      <c r="G272" s="62"/>
      <c r="H272" s="62"/>
      <c r="I272" s="62"/>
      <c r="J272" s="62"/>
      <c r="K272" s="62"/>
      <c r="L272" s="61"/>
      <c r="M272" s="264"/>
      <c r="N272" s="62"/>
      <c r="O272" s="62"/>
      <c r="P272" s="62"/>
      <c r="Q272" s="62"/>
      <c r="R272" s="62"/>
      <c r="S272" s="61"/>
      <c r="T272" s="264"/>
      <c r="U272" s="62"/>
      <c r="V272" s="62"/>
      <c r="W272" s="62"/>
      <c r="X272" s="62"/>
      <c r="Y272" s="62"/>
      <c r="Z272" s="61"/>
      <c r="AA272" s="264"/>
      <c r="AB272" s="62"/>
      <c r="AC272" s="62"/>
      <c r="AD272" s="62"/>
      <c r="AE272" s="62"/>
      <c r="AF272" s="62"/>
      <c r="AG272" s="61"/>
      <c r="AH272" s="264"/>
      <c r="AI272" s="62"/>
      <c r="AJ272" s="61"/>
      <c r="AK272" s="92">
        <f t="shared" si="39"/>
        <v>0</v>
      </c>
      <c r="AL272" s="93"/>
      <c r="AM272" s="94">
        <f>AK272</f>
        <v>0</v>
      </c>
      <c r="AN272" s="583"/>
      <c r="AO272" s="3"/>
      <c r="AP272" s="3"/>
      <c r="AQ272" s="3"/>
      <c r="AR272" s="3"/>
      <c r="AS272" s="3"/>
    </row>
    <row r="273" spans="3:45" ht="12.75" x14ac:dyDescent="0.2">
      <c r="C273" s="580"/>
      <c r="D273" s="584" t="s">
        <v>57</v>
      </c>
      <c r="E273" s="68" t="s">
        <v>18</v>
      </c>
      <c r="F273" s="114"/>
      <c r="G273" s="65"/>
      <c r="H273" s="65"/>
      <c r="I273" s="65"/>
      <c r="J273" s="65"/>
      <c r="K273" s="65"/>
      <c r="L273" s="68"/>
      <c r="M273" s="114"/>
      <c r="N273" s="65"/>
      <c r="O273" s="65"/>
      <c r="P273" s="65"/>
      <c r="Q273" s="65"/>
      <c r="R273" s="65"/>
      <c r="S273" s="68"/>
      <c r="T273" s="114"/>
      <c r="U273" s="65"/>
      <c r="V273" s="65"/>
      <c r="W273" s="65"/>
      <c r="X273" s="65"/>
      <c r="Y273" s="65"/>
      <c r="Z273" s="68"/>
      <c r="AA273" s="89"/>
      <c r="AB273" s="65"/>
      <c r="AC273" s="65"/>
      <c r="AD273" s="65"/>
      <c r="AE273" s="65"/>
      <c r="AF273" s="65"/>
      <c r="AG273" s="68"/>
      <c r="AH273" s="114"/>
      <c r="AI273" s="65"/>
      <c r="AJ273" s="68"/>
      <c r="AK273" s="88">
        <f t="shared" si="39"/>
        <v>0</v>
      </c>
      <c r="AL273" s="96">
        <f>AK273</f>
        <v>0</v>
      </c>
      <c r="AM273" s="97"/>
      <c r="AN273" s="582">
        <f>SUM(AL273:AM274)</f>
        <v>0</v>
      </c>
      <c r="AO273" s="3"/>
      <c r="AP273" s="3"/>
      <c r="AQ273" s="3"/>
      <c r="AR273" s="3"/>
      <c r="AS273" s="3"/>
    </row>
    <row r="274" spans="3:45" ht="12.75" x14ac:dyDescent="0.2">
      <c r="C274" s="581"/>
      <c r="D274" s="585"/>
      <c r="E274" s="100" t="s">
        <v>19</v>
      </c>
      <c r="F274" s="265"/>
      <c r="G274" s="284"/>
      <c r="H274" s="284"/>
      <c r="I274" s="284"/>
      <c r="J274" s="284"/>
      <c r="K274" s="284"/>
      <c r="L274" s="100"/>
      <c r="M274" s="265"/>
      <c r="N274" s="284"/>
      <c r="O274" s="284"/>
      <c r="P274" s="284"/>
      <c r="Q274" s="284"/>
      <c r="R274" s="284"/>
      <c r="S274" s="100"/>
      <c r="T274" s="265"/>
      <c r="U274" s="284"/>
      <c r="V274" s="284"/>
      <c r="W274" s="284"/>
      <c r="X274" s="284"/>
      <c r="Y274" s="284"/>
      <c r="Z274" s="100"/>
      <c r="AA274" s="265"/>
      <c r="AB274" s="284"/>
      <c r="AC274" s="284"/>
      <c r="AD274" s="284"/>
      <c r="AE274" s="284"/>
      <c r="AF274" s="284"/>
      <c r="AG274" s="100"/>
      <c r="AH274" s="265"/>
      <c r="AI274" s="284"/>
      <c r="AJ274" s="100"/>
      <c r="AK274" s="102">
        <f t="shared" si="39"/>
        <v>0</v>
      </c>
      <c r="AL274" s="93"/>
      <c r="AM274" s="94">
        <f>AK274</f>
        <v>0</v>
      </c>
      <c r="AN274" s="583"/>
      <c r="AO274" s="3"/>
      <c r="AP274" s="3"/>
      <c r="AQ274" s="3"/>
      <c r="AR274" s="3"/>
      <c r="AS274" s="3"/>
    </row>
    <row r="275" spans="3:45" ht="12.75" x14ac:dyDescent="0.2">
      <c r="C275" s="594" t="s">
        <v>58</v>
      </c>
      <c r="D275" s="604" t="s">
        <v>59</v>
      </c>
      <c r="E275" s="103" t="s">
        <v>18</v>
      </c>
      <c r="F275" s="271"/>
      <c r="G275" s="105"/>
      <c r="H275" s="105"/>
      <c r="I275" s="105"/>
      <c r="J275" s="105"/>
      <c r="K275" s="105"/>
      <c r="L275" s="103"/>
      <c r="M275" s="271"/>
      <c r="N275" s="105"/>
      <c r="O275" s="105"/>
      <c r="P275" s="105"/>
      <c r="Q275" s="105"/>
      <c r="R275" s="108"/>
      <c r="S275" s="285">
        <v>60.75</v>
      </c>
      <c r="T275" s="96"/>
      <c r="U275" s="105"/>
      <c r="V275" s="105"/>
      <c r="W275" s="105"/>
      <c r="X275" s="105"/>
      <c r="Y275" s="105"/>
      <c r="Z275" s="103"/>
      <c r="AA275" s="271"/>
      <c r="AB275" s="105"/>
      <c r="AC275" s="105"/>
      <c r="AD275" s="105"/>
      <c r="AE275" s="105"/>
      <c r="AF275" s="108"/>
      <c r="AG275" s="266">
        <v>16.3</v>
      </c>
      <c r="AH275" s="271"/>
      <c r="AI275" s="105"/>
      <c r="AJ275" s="103"/>
      <c r="AK275" s="107">
        <f t="shared" si="39"/>
        <v>77.05</v>
      </c>
      <c r="AL275" s="96">
        <f>AK275</f>
        <v>77.05</v>
      </c>
      <c r="AM275" s="97"/>
      <c r="AN275" s="616">
        <f>SUM(AL275:AM276)</f>
        <v>77.05</v>
      </c>
      <c r="AO275" s="3"/>
      <c r="AP275" s="3"/>
      <c r="AQ275" s="3"/>
      <c r="AR275" s="3"/>
      <c r="AS275" s="3"/>
    </row>
    <row r="276" spans="3:45" ht="12.75" x14ac:dyDescent="0.2">
      <c r="C276" s="580"/>
      <c r="D276" s="577"/>
      <c r="E276" s="61" t="s">
        <v>19</v>
      </c>
      <c r="F276" s="264"/>
      <c r="G276" s="62"/>
      <c r="H276" s="62"/>
      <c r="I276" s="62"/>
      <c r="J276" s="62"/>
      <c r="K276" s="62"/>
      <c r="L276" s="61"/>
      <c r="M276" s="264"/>
      <c r="N276" s="62"/>
      <c r="O276" s="66"/>
      <c r="P276" s="62"/>
      <c r="Q276" s="62"/>
      <c r="R276" s="62"/>
      <c r="S276" s="61"/>
      <c r="T276" s="272"/>
      <c r="U276" s="62"/>
      <c r="V276" s="62"/>
      <c r="W276" s="62"/>
      <c r="X276" s="62"/>
      <c r="Y276" s="62"/>
      <c r="Z276" s="92"/>
      <c r="AA276" s="264"/>
      <c r="AB276" s="62"/>
      <c r="AC276" s="62"/>
      <c r="AD276" s="62"/>
      <c r="AE276" s="62"/>
      <c r="AF276" s="62"/>
      <c r="AG276" s="61"/>
      <c r="AH276" s="264"/>
      <c r="AI276" s="62"/>
      <c r="AJ276" s="61"/>
      <c r="AK276" s="92">
        <f t="shared" si="39"/>
        <v>0</v>
      </c>
      <c r="AL276" s="93"/>
      <c r="AM276" s="94">
        <f>AK276</f>
        <v>0</v>
      </c>
      <c r="AN276" s="585"/>
      <c r="AO276" s="3"/>
      <c r="AP276" s="3"/>
      <c r="AQ276" s="3"/>
      <c r="AR276" s="3"/>
      <c r="AS276" s="3"/>
    </row>
    <row r="277" spans="3:45" ht="12.75" x14ac:dyDescent="0.2">
      <c r="C277" s="580"/>
      <c r="D277" s="584" t="s">
        <v>60</v>
      </c>
      <c r="E277" s="68" t="s">
        <v>18</v>
      </c>
      <c r="F277" s="114"/>
      <c r="G277" s="65"/>
      <c r="H277" s="65"/>
      <c r="I277" s="65"/>
      <c r="J277" s="65"/>
      <c r="K277" s="65"/>
      <c r="L277" s="68"/>
      <c r="M277" s="114"/>
      <c r="N277" s="65"/>
      <c r="O277" s="65"/>
      <c r="P277" s="65"/>
      <c r="Q277" s="65"/>
      <c r="R277" s="65"/>
      <c r="S277" s="68"/>
      <c r="T277" s="114"/>
      <c r="U277" s="65"/>
      <c r="V277" s="65"/>
      <c r="W277" s="65"/>
      <c r="X277" s="65"/>
      <c r="Y277" s="65"/>
      <c r="Z277" s="95">
        <f>60.05</f>
        <v>60.05</v>
      </c>
      <c r="AA277" s="89"/>
      <c r="AB277" s="65"/>
      <c r="AC277" s="65"/>
      <c r="AD277" s="65"/>
      <c r="AE277" s="65"/>
      <c r="AF277" s="65"/>
      <c r="AG277" s="68"/>
      <c r="AH277" s="114"/>
      <c r="AI277" s="65"/>
      <c r="AJ277" s="68"/>
      <c r="AK277" s="88">
        <f t="shared" si="39"/>
        <v>60.05</v>
      </c>
      <c r="AL277" s="89">
        <f>AK277</f>
        <v>60.05</v>
      </c>
      <c r="AM277" s="62"/>
      <c r="AN277" s="582">
        <f>SUM(AL277:AM278)</f>
        <v>60.05</v>
      </c>
      <c r="AO277" s="3"/>
      <c r="AP277" s="3"/>
      <c r="AQ277" s="3"/>
      <c r="AR277" s="3"/>
      <c r="AS277" s="3"/>
    </row>
    <row r="278" spans="3:45" ht="12.75" x14ac:dyDescent="0.2">
      <c r="C278" s="580"/>
      <c r="D278" s="577"/>
      <c r="E278" s="61" t="s">
        <v>19</v>
      </c>
      <c r="F278" s="264"/>
      <c r="G278" s="62"/>
      <c r="H278" s="62"/>
      <c r="I278" s="62"/>
      <c r="J278" s="62"/>
      <c r="K278" s="62"/>
      <c r="L278" s="61"/>
      <c r="M278" s="264"/>
      <c r="N278" s="62"/>
      <c r="O278" s="62"/>
      <c r="P278" s="62"/>
      <c r="Q278" s="62"/>
      <c r="R278" s="62"/>
      <c r="S278" s="61"/>
      <c r="T278" s="264"/>
      <c r="U278" s="62"/>
      <c r="V278" s="62"/>
      <c r="W278" s="62"/>
      <c r="X278" s="62"/>
      <c r="Y278" s="62"/>
      <c r="Z278" s="61"/>
      <c r="AA278" s="264"/>
      <c r="AB278" s="62"/>
      <c r="AC278" s="62"/>
      <c r="AD278" s="62"/>
      <c r="AE278" s="62"/>
      <c r="AF278" s="62"/>
      <c r="AG278" s="61"/>
      <c r="AH278" s="264"/>
      <c r="AI278" s="62"/>
      <c r="AJ278" s="61"/>
      <c r="AK278" s="92">
        <f t="shared" si="39"/>
        <v>0</v>
      </c>
      <c r="AL278" s="114"/>
      <c r="AM278" s="66">
        <f>AK278</f>
        <v>0</v>
      </c>
      <c r="AN278" s="583"/>
      <c r="AO278" s="3"/>
      <c r="AP278" s="3"/>
      <c r="AQ278" s="3"/>
      <c r="AR278" s="3"/>
      <c r="AS278" s="3"/>
    </row>
    <row r="279" spans="3:45" ht="12.75" x14ac:dyDescent="0.2">
      <c r="C279" s="580"/>
      <c r="D279" s="584" t="s">
        <v>61</v>
      </c>
      <c r="E279" s="68" t="s">
        <v>18</v>
      </c>
      <c r="F279" s="114"/>
      <c r="G279" s="65"/>
      <c r="H279" s="65"/>
      <c r="I279" s="65"/>
      <c r="J279" s="65"/>
      <c r="K279" s="65"/>
      <c r="L279" s="68"/>
      <c r="M279" s="114"/>
      <c r="N279" s="65"/>
      <c r="O279" s="65"/>
      <c r="P279" s="65"/>
      <c r="Q279" s="65"/>
      <c r="R279" s="65">
        <f>42+11.99+12.8</f>
        <v>66.790000000000006</v>
      </c>
      <c r="S279" s="68"/>
      <c r="T279" s="114"/>
      <c r="U279" s="65"/>
      <c r="V279" s="65"/>
      <c r="W279" s="65"/>
      <c r="X279" s="65"/>
      <c r="Y279" s="65"/>
      <c r="Z279" s="68"/>
      <c r="AA279" s="114"/>
      <c r="AB279" s="65"/>
      <c r="AC279" s="65"/>
      <c r="AD279" s="65"/>
      <c r="AE279" s="65"/>
      <c r="AF279" s="65"/>
      <c r="AG279" s="68"/>
      <c r="AH279" s="114"/>
      <c r="AI279" s="65"/>
      <c r="AJ279" s="68"/>
      <c r="AK279" s="88">
        <f t="shared" si="39"/>
        <v>66.790000000000006</v>
      </c>
      <c r="AL279" s="96">
        <f>AK279</f>
        <v>66.790000000000006</v>
      </c>
      <c r="AM279" s="97"/>
      <c r="AN279" s="616">
        <f>SUM(AL279:AM280)</f>
        <v>70.790000000000006</v>
      </c>
      <c r="AO279" s="3"/>
      <c r="AP279" s="3"/>
      <c r="AQ279" s="3"/>
      <c r="AR279" s="3"/>
      <c r="AS279" s="3"/>
    </row>
    <row r="280" spans="3:45" ht="12.75" x14ac:dyDescent="0.2">
      <c r="C280" s="580"/>
      <c r="D280" s="577"/>
      <c r="E280" s="61" t="s">
        <v>19</v>
      </c>
      <c r="F280" s="264"/>
      <c r="G280" s="62"/>
      <c r="H280" s="62"/>
      <c r="I280" s="62"/>
      <c r="J280" s="62"/>
      <c r="K280" s="62"/>
      <c r="L280" s="61"/>
      <c r="M280" s="264"/>
      <c r="N280" s="62"/>
      <c r="O280" s="62"/>
      <c r="P280" s="62"/>
      <c r="Q280" s="62"/>
      <c r="R280" s="91">
        <v>4</v>
      </c>
      <c r="S280" s="61"/>
      <c r="T280" s="264"/>
      <c r="U280" s="62"/>
      <c r="V280" s="62"/>
      <c r="W280" s="62"/>
      <c r="X280" s="62"/>
      <c r="Y280" s="62"/>
      <c r="Z280" s="61"/>
      <c r="AA280" s="264"/>
      <c r="AB280" s="62"/>
      <c r="AC280" s="62"/>
      <c r="AD280" s="62"/>
      <c r="AE280" s="62"/>
      <c r="AF280" s="62"/>
      <c r="AG280" s="61"/>
      <c r="AH280" s="264"/>
      <c r="AI280" s="62"/>
      <c r="AJ280" s="61"/>
      <c r="AK280" s="92">
        <f t="shared" si="39"/>
        <v>4</v>
      </c>
      <c r="AL280" s="93"/>
      <c r="AM280" s="94">
        <f>AK280</f>
        <v>4</v>
      </c>
      <c r="AN280" s="585"/>
      <c r="AO280" s="3"/>
      <c r="AP280" s="3"/>
      <c r="AQ280" s="3"/>
      <c r="AR280" s="3"/>
      <c r="AS280" s="3"/>
    </row>
    <row r="281" spans="3:45" ht="12.75" x14ac:dyDescent="0.2">
      <c r="C281" s="580"/>
      <c r="D281" s="584" t="s">
        <v>62</v>
      </c>
      <c r="E281" s="68" t="s">
        <v>18</v>
      </c>
      <c r="F281" s="114"/>
      <c r="G281" s="65"/>
      <c r="H281" s="65"/>
      <c r="I281" s="65"/>
      <c r="J281" s="65"/>
      <c r="K281" s="65"/>
      <c r="L281" s="68"/>
      <c r="M281" s="114"/>
      <c r="N281" s="65"/>
      <c r="O281" s="65"/>
      <c r="P281" s="65"/>
      <c r="Q281" s="65"/>
      <c r="R281" s="65"/>
      <c r="S281" s="68"/>
      <c r="T281" s="114"/>
      <c r="U281" s="65"/>
      <c r="V281" s="65"/>
      <c r="W281" s="65"/>
      <c r="X281" s="65"/>
      <c r="Y281" s="65"/>
      <c r="Z281" s="68"/>
      <c r="AA281" s="114"/>
      <c r="AB281" s="65"/>
      <c r="AC281" s="65"/>
      <c r="AD281" s="65"/>
      <c r="AE281" s="65"/>
      <c r="AF281" s="65"/>
      <c r="AG281" s="68"/>
      <c r="AH281" s="114"/>
      <c r="AI281" s="65"/>
      <c r="AJ281" s="68"/>
      <c r="AK281" s="88">
        <f t="shared" si="39"/>
        <v>0</v>
      </c>
      <c r="AL281" s="96">
        <f>AK281</f>
        <v>0</v>
      </c>
      <c r="AM281" s="97"/>
      <c r="AN281" s="582">
        <f>SUM(AL281:AM282)</f>
        <v>0</v>
      </c>
      <c r="AO281" s="3"/>
      <c r="AP281" s="3"/>
      <c r="AQ281" s="3"/>
      <c r="AR281" s="3"/>
      <c r="AS281" s="3"/>
    </row>
    <row r="282" spans="3:45" ht="12.75" x14ac:dyDescent="0.2">
      <c r="C282" s="581"/>
      <c r="D282" s="585"/>
      <c r="E282" s="100" t="s">
        <v>19</v>
      </c>
      <c r="F282" s="265"/>
      <c r="G282" s="284"/>
      <c r="H282" s="284"/>
      <c r="I282" s="284"/>
      <c r="J282" s="284"/>
      <c r="K282" s="284"/>
      <c r="L282" s="100"/>
      <c r="M282" s="265"/>
      <c r="N282" s="284"/>
      <c r="O282" s="284"/>
      <c r="P282" s="284"/>
      <c r="Q282" s="284"/>
      <c r="R282" s="284"/>
      <c r="S282" s="100"/>
      <c r="T282" s="265"/>
      <c r="U282" s="284"/>
      <c r="V282" s="284"/>
      <c r="W282" s="284"/>
      <c r="X282" s="284"/>
      <c r="Y282" s="284"/>
      <c r="Z282" s="100"/>
      <c r="AA282" s="265"/>
      <c r="AB282" s="284"/>
      <c r="AC282" s="284"/>
      <c r="AD282" s="284"/>
      <c r="AE282" s="284"/>
      <c r="AF282" s="284"/>
      <c r="AG282" s="100"/>
      <c r="AH282" s="265"/>
      <c r="AI282" s="284"/>
      <c r="AJ282" s="100"/>
      <c r="AK282" s="102">
        <f t="shared" si="39"/>
        <v>0</v>
      </c>
      <c r="AL282" s="93"/>
      <c r="AM282" s="94">
        <f>AK282</f>
        <v>0</v>
      </c>
      <c r="AN282" s="583"/>
      <c r="AO282" s="3"/>
      <c r="AP282" s="3"/>
      <c r="AQ282" s="3"/>
      <c r="AR282" s="3"/>
      <c r="AS282" s="3"/>
    </row>
    <row r="283" spans="3:45" ht="12.75" x14ac:dyDescent="0.2">
      <c r="C283" s="594" t="s">
        <v>63</v>
      </c>
      <c r="D283" s="604" t="s">
        <v>64</v>
      </c>
      <c r="E283" s="103" t="s">
        <v>18</v>
      </c>
      <c r="F283" s="271"/>
      <c r="G283" s="105"/>
      <c r="H283" s="105"/>
      <c r="I283" s="105"/>
      <c r="J283" s="105"/>
      <c r="K283" s="105"/>
      <c r="L283" s="103"/>
      <c r="M283" s="271"/>
      <c r="N283" s="105"/>
      <c r="O283" s="105"/>
      <c r="P283" s="105"/>
      <c r="Q283" s="105"/>
      <c r="R283" s="105"/>
      <c r="S283" s="103"/>
      <c r="T283" s="271"/>
      <c r="U283" s="105"/>
      <c r="V283" s="105"/>
      <c r="W283" s="105"/>
      <c r="X283" s="105"/>
      <c r="Y283" s="105"/>
      <c r="Z283" s="103"/>
      <c r="AA283" s="271"/>
      <c r="AB283" s="105"/>
      <c r="AC283" s="105"/>
      <c r="AD283" s="105"/>
      <c r="AE283" s="105"/>
      <c r="AF283" s="105"/>
      <c r="AG283" s="103"/>
      <c r="AH283" s="271"/>
      <c r="AI283" s="105"/>
      <c r="AJ283" s="103"/>
      <c r="AK283" s="107">
        <f t="shared" si="39"/>
        <v>0</v>
      </c>
      <c r="AL283" s="108">
        <f>AK283</f>
        <v>0</v>
      </c>
      <c r="AM283" s="97"/>
      <c r="AN283" s="582">
        <f>SUM(AL283:AM284)</f>
        <v>0</v>
      </c>
      <c r="AO283" s="3"/>
      <c r="AP283" s="3"/>
      <c r="AQ283" s="3"/>
      <c r="AR283" s="3"/>
      <c r="AS283" s="3"/>
    </row>
    <row r="284" spans="3:45" ht="12.75" x14ac:dyDescent="0.2">
      <c r="C284" s="580"/>
      <c r="D284" s="577"/>
      <c r="E284" s="61" t="s">
        <v>19</v>
      </c>
      <c r="F284" s="264"/>
      <c r="G284" s="62"/>
      <c r="H284" s="62"/>
      <c r="I284" s="62"/>
      <c r="J284" s="62"/>
      <c r="K284" s="62"/>
      <c r="L284" s="61"/>
      <c r="M284" s="264"/>
      <c r="N284" s="62"/>
      <c r="O284" s="62"/>
      <c r="P284" s="62"/>
      <c r="Q284" s="62"/>
      <c r="R284" s="62"/>
      <c r="S284" s="61"/>
      <c r="T284" s="264"/>
      <c r="U284" s="62"/>
      <c r="V284" s="62"/>
      <c r="W284" s="62"/>
      <c r="X284" s="62"/>
      <c r="Y284" s="62"/>
      <c r="Z284" s="61"/>
      <c r="AA284" s="264"/>
      <c r="AB284" s="62"/>
      <c r="AC284" s="62"/>
      <c r="AD284" s="62"/>
      <c r="AE284" s="62"/>
      <c r="AF284" s="62"/>
      <c r="AG284" s="61"/>
      <c r="AH284" s="264"/>
      <c r="AI284" s="62"/>
      <c r="AJ284" s="61"/>
      <c r="AK284" s="92">
        <f t="shared" si="39"/>
        <v>0</v>
      </c>
      <c r="AL284" s="93"/>
      <c r="AM284" s="94">
        <f>AK284</f>
        <v>0</v>
      </c>
      <c r="AN284" s="583"/>
      <c r="AO284" s="3"/>
      <c r="AP284" s="3"/>
      <c r="AQ284" s="3"/>
      <c r="AR284" s="3"/>
      <c r="AS284" s="3"/>
    </row>
    <row r="285" spans="3:45" ht="12.75" x14ac:dyDescent="0.2">
      <c r="C285" s="580"/>
      <c r="D285" s="584" t="s">
        <v>65</v>
      </c>
      <c r="E285" s="68" t="s">
        <v>18</v>
      </c>
      <c r="F285" s="114"/>
      <c r="G285" s="65"/>
      <c r="H285" s="65"/>
      <c r="I285" s="65"/>
      <c r="J285" s="65"/>
      <c r="K285" s="65"/>
      <c r="L285" s="68"/>
      <c r="M285" s="114"/>
      <c r="N285" s="65"/>
      <c r="O285" s="65"/>
      <c r="P285" s="65"/>
      <c r="Q285" s="65"/>
      <c r="R285" s="65"/>
      <c r="S285" s="68"/>
      <c r="T285" s="114"/>
      <c r="U285" s="65"/>
      <c r="V285" s="65"/>
      <c r="W285" s="65"/>
      <c r="X285" s="65"/>
      <c r="Y285" s="65"/>
      <c r="Z285" s="68"/>
      <c r="AA285" s="114"/>
      <c r="AB285" s="65"/>
      <c r="AC285" s="65"/>
      <c r="AD285" s="65"/>
      <c r="AE285" s="65"/>
      <c r="AF285" s="65"/>
      <c r="AG285" s="68"/>
      <c r="AH285" s="114"/>
      <c r="AI285" s="65"/>
      <c r="AJ285" s="68"/>
      <c r="AK285" s="88">
        <f t="shared" si="39"/>
        <v>0</v>
      </c>
      <c r="AL285" s="96">
        <f>AK285</f>
        <v>0</v>
      </c>
      <c r="AM285" s="97"/>
      <c r="AN285" s="582">
        <f>SUM(AL285:AM286)</f>
        <v>35</v>
      </c>
      <c r="AO285" s="3"/>
      <c r="AP285" s="3"/>
      <c r="AQ285" s="3"/>
      <c r="AR285" s="3"/>
      <c r="AS285" s="3"/>
    </row>
    <row r="286" spans="3:45" ht="12.75" x14ac:dyDescent="0.2">
      <c r="C286" s="581"/>
      <c r="D286" s="585"/>
      <c r="E286" s="100" t="s">
        <v>19</v>
      </c>
      <c r="F286" s="265"/>
      <c r="G286" s="284"/>
      <c r="H286" s="284"/>
      <c r="I286" s="284"/>
      <c r="J286" s="284"/>
      <c r="K286" s="94"/>
      <c r="L286" s="100"/>
      <c r="M286" s="265"/>
      <c r="N286" s="284"/>
      <c r="O286" s="284"/>
      <c r="P286" s="284"/>
      <c r="Q286" s="284"/>
      <c r="R286" s="284"/>
      <c r="S286" s="100"/>
      <c r="T286" s="265"/>
      <c r="U286" s="284"/>
      <c r="V286" s="284"/>
      <c r="W286" s="284"/>
      <c r="X286" s="284"/>
      <c r="Y286" s="284"/>
      <c r="Z286" s="100"/>
      <c r="AA286" s="265"/>
      <c r="AB286" s="284"/>
      <c r="AC286" s="284"/>
      <c r="AD286" s="284"/>
      <c r="AE286" s="284"/>
      <c r="AF286" s="284"/>
      <c r="AG286" s="100"/>
      <c r="AH286" s="265"/>
      <c r="AI286" s="286">
        <v>35</v>
      </c>
      <c r="AJ286" s="100"/>
      <c r="AK286" s="102">
        <f t="shared" si="39"/>
        <v>35</v>
      </c>
      <c r="AL286" s="93"/>
      <c r="AM286" s="94">
        <f>AK286</f>
        <v>35</v>
      </c>
      <c r="AN286" s="583"/>
      <c r="AO286" s="3"/>
      <c r="AP286" s="3"/>
      <c r="AQ286" s="3"/>
      <c r="AR286" s="3"/>
      <c r="AS286" s="3"/>
    </row>
    <row r="287" spans="3:45" ht="12.75" x14ac:dyDescent="0.2">
      <c r="C287" s="117" t="s">
        <v>66</v>
      </c>
      <c r="D287" s="118"/>
      <c r="E287" s="119"/>
      <c r="F287" s="126"/>
      <c r="G287" s="287"/>
      <c r="H287" s="287"/>
      <c r="I287" s="118"/>
      <c r="J287" s="118"/>
      <c r="K287" s="118"/>
      <c r="L287" s="119"/>
      <c r="M287" s="126"/>
      <c r="N287" s="118"/>
      <c r="O287" s="118"/>
      <c r="P287" s="287"/>
      <c r="Q287" s="118"/>
      <c r="R287" s="118"/>
      <c r="S287" s="125"/>
      <c r="T287" s="126"/>
      <c r="U287" s="287"/>
      <c r="V287" s="118"/>
      <c r="W287" s="118"/>
      <c r="X287" s="118"/>
      <c r="Y287" s="118"/>
      <c r="Z287" s="119"/>
      <c r="AA287" s="126"/>
      <c r="AB287" s="118"/>
      <c r="AC287" s="118"/>
      <c r="AD287" s="118"/>
      <c r="AE287" s="118"/>
      <c r="AF287" s="118"/>
      <c r="AG287" s="119"/>
      <c r="AH287" s="288"/>
      <c r="AI287" s="118"/>
      <c r="AJ287" s="119"/>
      <c r="AK287" s="125">
        <f t="shared" si="39"/>
        <v>0</v>
      </c>
      <c r="AL287" s="126"/>
      <c r="AM287" s="118"/>
      <c r="AN287" s="119"/>
      <c r="AO287" s="3"/>
      <c r="AP287" s="3"/>
      <c r="AQ287" s="3"/>
      <c r="AR287" s="3"/>
      <c r="AS287" s="3"/>
    </row>
    <row r="288" spans="3:45" ht="12.75" x14ac:dyDescent="0.2">
      <c r="C288" s="127" t="s">
        <v>32</v>
      </c>
      <c r="D288" s="62"/>
      <c r="E288" s="61"/>
      <c r="F288" s="272">
        <f t="shared" ref="F288:AM288" si="43">SUM(F236:F286)</f>
        <v>73.28</v>
      </c>
      <c r="G288" s="66">
        <f t="shared" si="43"/>
        <v>50</v>
      </c>
      <c r="H288" s="66">
        <f t="shared" si="43"/>
        <v>24.91</v>
      </c>
      <c r="I288" s="66">
        <f t="shared" si="43"/>
        <v>0</v>
      </c>
      <c r="J288" s="66">
        <f t="shared" si="43"/>
        <v>318.87</v>
      </c>
      <c r="K288" s="66">
        <f t="shared" si="43"/>
        <v>150</v>
      </c>
      <c r="L288" s="92">
        <f t="shared" si="43"/>
        <v>120.53</v>
      </c>
      <c r="M288" s="272">
        <f t="shared" si="43"/>
        <v>87</v>
      </c>
      <c r="N288" s="66">
        <f t="shared" si="43"/>
        <v>20</v>
      </c>
      <c r="O288" s="66">
        <f t="shared" si="43"/>
        <v>30</v>
      </c>
      <c r="P288" s="66">
        <f t="shared" si="43"/>
        <v>20.28</v>
      </c>
      <c r="Q288" s="66">
        <f t="shared" si="43"/>
        <v>4.84</v>
      </c>
      <c r="R288" s="66">
        <f t="shared" si="43"/>
        <v>108.78</v>
      </c>
      <c r="S288" s="92">
        <f t="shared" si="43"/>
        <v>163.38999999999999</v>
      </c>
      <c r="T288" s="272">
        <f t="shared" si="43"/>
        <v>102.19</v>
      </c>
      <c r="U288" s="66">
        <f t="shared" si="43"/>
        <v>0</v>
      </c>
      <c r="V288" s="66">
        <f t="shared" si="43"/>
        <v>20</v>
      </c>
      <c r="W288" s="66">
        <f t="shared" si="43"/>
        <v>20</v>
      </c>
      <c r="X288" s="66">
        <f t="shared" si="43"/>
        <v>118.78</v>
      </c>
      <c r="Y288" s="66">
        <f t="shared" si="43"/>
        <v>20.099999999999998</v>
      </c>
      <c r="Z288" s="92">
        <f t="shared" si="43"/>
        <v>135.94</v>
      </c>
      <c r="AA288" s="272">
        <f t="shared" si="43"/>
        <v>89.74</v>
      </c>
      <c r="AB288" s="66">
        <f t="shared" si="43"/>
        <v>0</v>
      </c>
      <c r="AC288" s="66">
        <f t="shared" si="43"/>
        <v>112.49999999999999</v>
      </c>
      <c r="AD288" s="66">
        <f t="shared" si="43"/>
        <v>33.28</v>
      </c>
      <c r="AE288" s="66">
        <f t="shared" si="43"/>
        <v>32.32</v>
      </c>
      <c r="AF288" s="66">
        <f t="shared" si="43"/>
        <v>57.7</v>
      </c>
      <c r="AG288" s="92">
        <f t="shared" si="43"/>
        <v>272.01</v>
      </c>
      <c r="AH288" s="272">
        <f t="shared" si="43"/>
        <v>178.59</v>
      </c>
      <c r="AI288" s="66">
        <f t="shared" si="43"/>
        <v>55.09</v>
      </c>
      <c r="AJ288" s="92">
        <f t="shared" si="43"/>
        <v>53.51</v>
      </c>
      <c r="AK288" s="131">
        <f t="shared" si="43"/>
        <v>2446.6300000000006</v>
      </c>
      <c r="AL288" s="72">
        <f t="shared" si="43"/>
        <v>2363.3800000000006</v>
      </c>
      <c r="AM288" s="66">
        <f t="shared" si="43"/>
        <v>110.25</v>
      </c>
      <c r="AN288" s="3"/>
      <c r="AO288" s="3"/>
      <c r="AP288" s="3"/>
      <c r="AQ288" s="3"/>
      <c r="AR288" s="3"/>
      <c r="AS288" s="3"/>
    </row>
    <row r="289" spans="3:45" ht="16.5" x14ac:dyDescent="0.25">
      <c r="C289" s="3"/>
      <c r="D289" s="3"/>
      <c r="E289" s="3"/>
      <c r="F289" s="595">
        <f>SUM(F288:L288)</f>
        <v>737.58999999999992</v>
      </c>
      <c r="G289" s="585"/>
      <c r="H289" s="585"/>
      <c r="I289" s="585"/>
      <c r="J289" s="585"/>
      <c r="K289" s="585"/>
      <c r="L289" s="583"/>
      <c r="M289" s="605">
        <f>SUM(M288:S288)</f>
        <v>434.28999999999996</v>
      </c>
      <c r="N289" s="585"/>
      <c r="O289" s="585"/>
      <c r="P289" s="585"/>
      <c r="Q289" s="585"/>
      <c r="R289" s="585"/>
      <c r="S289" s="583"/>
      <c r="T289" s="605">
        <f>SUM(T288:Z288)</f>
        <v>417.01000000000005</v>
      </c>
      <c r="U289" s="585"/>
      <c r="V289" s="585"/>
      <c r="W289" s="585"/>
      <c r="X289" s="585"/>
      <c r="Y289" s="585"/>
      <c r="Z289" s="583"/>
      <c r="AA289" s="605">
        <f>SUM(AA288:AG288)</f>
        <v>597.54999999999995</v>
      </c>
      <c r="AB289" s="585"/>
      <c r="AC289" s="585"/>
      <c r="AD289" s="585"/>
      <c r="AE289" s="585"/>
      <c r="AF289" s="585"/>
      <c r="AG289" s="583"/>
      <c r="AH289" s="595">
        <f>SUM(AH288:AJ288)</f>
        <v>287.19</v>
      </c>
      <c r="AI289" s="585"/>
      <c r="AJ289" s="583"/>
      <c r="AK289" s="3"/>
      <c r="AL289" s="3"/>
      <c r="AM289" s="3"/>
      <c r="AN289" s="3"/>
      <c r="AO289" s="3"/>
      <c r="AP289" s="3"/>
      <c r="AQ289" s="3"/>
      <c r="AR289" s="3"/>
      <c r="AS289" s="3"/>
    </row>
    <row r="291" spans="3:45" ht="12.75" x14ac:dyDescent="0.2">
      <c r="C291" s="3"/>
      <c r="D291" s="3"/>
      <c r="E291" s="3"/>
      <c r="F291" s="578" t="s">
        <v>69</v>
      </c>
      <c r="G291" s="577"/>
      <c r="H291" s="577"/>
      <c r="I291" s="577"/>
      <c r="J291" s="577"/>
      <c r="K291" s="577"/>
      <c r="L291" s="577"/>
      <c r="M291" s="577"/>
      <c r="N291" s="577"/>
      <c r="O291" s="577"/>
      <c r="P291" s="577"/>
      <c r="Q291" s="577"/>
      <c r="R291" s="577"/>
      <c r="S291" s="577"/>
      <c r="T291" s="577"/>
      <c r="U291" s="577"/>
      <c r="V291" s="577"/>
      <c r="W291" s="577"/>
      <c r="X291" s="577"/>
      <c r="Y291" s="577"/>
      <c r="Z291" s="577"/>
      <c r="AA291" s="577"/>
      <c r="AB291" s="577"/>
      <c r="AC291" s="577"/>
      <c r="AD291" s="577"/>
      <c r="AE291" s="577"/>
      <c r="AF291" s="577"/>
      <c r="AG291" s="577"/>
      <c r="AH291" s="577"/>
      <c r="AI291" s="577"/>
      <c r="AJ291" s="577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3:45" ht="12.75" x14ac:dyDescent="0.2">
      <c r="C292" s="3"/>
      <c r="D292" s="3"/>
      <c r="E292" s="5" t="s">
        <v>9</v>
      </c>
      <c r="F292" s="255" t="s">
        <v>16</v>
      </c>
      <c r="G292" s="8" t="s">
        <v>10</v>
      </c>
      <c r="H292" s="255" t="s">
        <v>11</v>
      </c>
      <c r="I292" s="7" t="s">
        <v>12</v>
      </c>
      <c r="J292" s="7" t="s">
        <v>13</v>
      </c>
      <c r="K292" s="7" t="s">
        <v>14</v>
      </c>
      <c r="L292" s="7" t="s">
        <v>15</v>
      </c>
      <c r="M292" s="7" t="s">
        <v>16</v>
      </c>
      <c r="N292" s="8" t="s">
        <v>10</v>
      </c>
      <c r="O292" s="255" t="s">
        <v>11</v>
      </c>
      <c r="P292" s="7" t="s">
        <v>12</v>
      </c>
      <c r="Q292" s="7" t="s">
        <v>13</v>
      </c>
      <c r="R292" s="7" t="s">
        <v>14</v>
      </c>
      <c r="S292" s="7" t="s">
        <v>15</v>
      </c>
      <c r="T292" s="7" t="s">
        <v>16</v>
      </c>
      <c r="U292" s="8" t="s">
        <v>10</v>
      </c>
      <c r="V292" s="255" t="s">
        <v>11</v>
      </c>
      <c r="W292" s="7" t="s">
        <v>12</v>
      </c>
      <c r="X292" s="7" t="s">
        <v>13</v>
      </c>
      <c r="Y292" s="7" t="s">
        <v>14</v>
      </c>
      <c r="Z292" s="7" t="s">
        <v>15</v>
      </c>
      <c r="AA292" s="7" t="s">
        <v>16</v>
      </c>
      <c r="AB292" s="8" t="s">
        <v>10</v>
      </c>
      <c r="AC292" s="255" t="s">
        <v>11</v>
      </c>
      <c r="AD292" s="7" t="s">
        <v>12</v>
      </c>
      <c r="AE292" s="7" t="s">
        <v>13</v>
      </c>
      <c r="AF292" s="7" t="s">
        <v>14</v>
      </c>
      <c r="AG292" s="7" t="s">
        <v>15</v>
      </c>
      <c r="AH292" s="7" t="s">
        <v>16</v>
      </c>
      <c r="AI292" s="8" t="s">
        <v>10</v>
      </c>
      <c r="AJ292" s="8"/>
      <c r="AK292" s="9"/>
      <c r="AL292" s="10"/>
      <c r="AM292" s="9"/>
      <c r="AN292" s="11"/>
      <c r="AO292" s="3"/>
      <c r="AP292" s="10"/>
      <c r="AQ292" s="12" t="s">
        <v>17</v>
      </c>
      <c r="AR292" s="12" t="s">
        <v>18</v>
      </c>
      <c r="AS292" s="12" t="s">
        <v>19</v>
      </c>
    </row>
    <row r="293" spans="3:45" ht="12.75" x14ac:dyDescent="0.2">
      <c r="C293" s="3"/>
      <c r="D293" s="3"/>
      <c r="E293" s="5" t="s">
        <v>20</v>
      </c>
      <c r="F293" s="289">
        <v>1</v>
      </c>
      <c r="G293" s="290">
        <v>2</v>
      </c>
      <c r="H293" s="291">
        <v>3</v>
      </c>
      <c r="I293" s="292">
        <v>4</v>
      </c>
      <c r="J293" s="292">
        <v>5</v>
      </c>
      <c r="K293" s="292">
        <v>6</v>
      </c>
      <c r="L293" s="292">
        <v>7</v>
      </c>
      <c r="M293" s="292">
        <v>8</v>
      </c>
      <c r="N293" s="293">
        <v>9</v>
      </c>
      <c r="O293" s="291">
        <v>10</v>
      </c>
      <c r="P293" s="292">
        <v>11</v>
      </c>
      <c r="Q293" s="292">
        <v>12</v>
      </c>
      <c r="R293" s="292">
        <v>13</v>
      </c>
      <c r="S293" s="292">
        <v>14</v>
      </c>
      <c r="T293" s="292">
        <v>15</v>
      </c>
      <c r="U293" s="293">
        <v>16</v>
      </c>
      <c r="V293" s="291">
        <v>17</v>
      </c>
      <c r="W293" s="292">
        <v>18</v>
      </c>
      <c r="X293" s="292">
        <v>19</v>
      </c>
      <c r="Y293" s="292">
        <v>20</v>
      </c>
      <c r="Z293" s="292">
        <v>21</v>
      </c>
      <c r="AA293" s="292">
        <v>22</v>
      </c>
      <c r="AB293" s="293">
        <v>23</v>
      </c>
      <c r="AC293" s="291">
        <v>24</v>
      </c>
      <c r="AD293" s="292">
        <v>25</v>
      </c>
      <c r="AE293" s="292">
        <v>26</v>
      </c>
      <c r="AF293" s="292">
        <v>27</v>
      </c>
      <c r="AG293" s="292">
        <v>28</v>
      </c>
      <c r="AH293" s="292">
        <v>29</v>
      </c>
      <c r="AI293" s="293">
        <v>30</v>
      </c>
      <c r="AJ293" s="294"/>
      <c r="AK293" s="5" t="s">
        <v>21</v>
      </c>
      <c r="AL293" s="10" t="s">
        <v>18</v>
      </c>
      <c r="AM293" s="9" t="s">
        <v>19</v>
      </c>
      <c r="AN293" s="11" t="s">
        <v>22</v>
      </c>
      <c r="AO293" s="3"/>
      <c r="AP293" s="12" t="s">
        <v>23</v>
      </c>
      <c r="AQ293" s="19">
        <f>AK306-AK359</f>
        <v>424.92000000000053</v>
      </c>
      <c r="AR293" s="19">
        <f t="shared" ref="AR293:AS293" si="44">(AL306-AL359)</f>
        <v>-18.399999999999636</v>
      </c>
      <c r="AS293" s="19">
        <f t="shared" si="44"/>
        <v>416.31999999999994</v>
      </c>
    </row>
    <row r="294" spans="3:45" ht="12.75" x14ac:dyDescent="0.2">
      <c r="C294" s="626" t="s">
        <v>24</v>
      </c>
      <c r="D294" s="20" t="s">
        <v>25</v>
      </c>
      <c r="E294" s="23" t="s">
        <v>18</v>
      </c>
      <c r="F294" s="257"/>
      <c r="G294" s="21"/>
      <c r="H294" s="295"/>
      <c r="I294" s="10"/>
      <c r="J294" s="258">
        <v>1156</v>
      </c>
      <c r="K294" s="10"/>
      <c r="L294" s="10"/>
      <c r="M294" s="10"/>
      <c r="N294" s="31"/>
      <c r="O294" s="45"/>
      <c r="P294" s="10"/>
      <c r="Q294" s="10"/>
      <c r="R294" s="10"/>
      <c r="S294" s="10"/>
      <c r="T294" s="10"/>
      <c r="U294" s="31"/>
      <c r="V294" s="45"/>
      <c r="W294" s="10"/>
      <c r="X294" s="28"/>
      <c r="Y294" s="41">
        <v>630</v>
      </c>
      <c r="Z294" s="10"/>
      <c r="AA294" s="10"/>
      <c r="AB294" s="31"/>
      <c r="AC294" s="45"/>
      <c r="AD294" s="10"/>
      <c r="AE294" s="10"/>
      <c r="AF294" s="10"/>
      <c r="AG294" s="10"/>
      <c r="AH294" s="10"/>
      <c r="AI294" s="31"/>
      <c r="AJ294" s="21"/>
      <c r="AK294" s="296">
        <f t="shared" ref="AK294:AK305" si="45">SUM(F294:AJ294)</f>
        <v>1786</v>
      </c>
      <c r="AL294" s="28">
        <f t="shared" ref="AL294:AL295" si="46">AK294</f>
        <v>1786</v>
      </c>
      <c r="AM294" s="9"/>
      <c r="AN294" s="29">
        <f>AL294</f>
        <v>1786</v>
      </c>
      <c r="AO294" s="3"/>
      <c r="AP294" s="3"/>
      <c r="AQ294" s="3"/>
      <c r="AR294" s="3"/>
      <c r="AS294" s="3"/>
    </row>
    <row r="295" spans="3:45" ht="12.75" x14ac:dyDescent="0.2">
      <c r="C295" s="580"/>
      <c r="D295" s="576" t="s">
        <v>26</v>
      </c>
      <c r="E295" s="10" t="s">
        <v>18</v>
      </c>
      <c r="F295" s="45"/>
      <c r="G295" s="31"/>
      <c r="H295" s="45"/>
      <c r="I295" s="10"/>
      <c r="J295" s="10"/>
      <c r="K295" s="10"/>
      <c r="L295" s="10"/>
      <c r="M295" s="10"/>
      <c r="N295" s="31"/>
      <c r="O295" s="45"/>
      <c r="P295" s="10"/>
      <c r="Q295" s="10"/>
      <c r="R295" s="10"/>
      <c r="S295" s="10"/>
      <c r="T295" s="10"/>
      <c r="U295" s="31"/>
      <c r="V295" s="45"/>
      <c r="W295" s="10"/>
      <c r="X295" s="10"/>
      <c r="Y295" s="10"/>
      <c r="Z295" s="10"/>
      <c r="AA295" s="10"/>
      <c r="AB295" s="31"/>
      <c r="AC295" s="45"/>
      <c r="AD295" s="10"/>
      <c r="AE295" s="10"/>
      <c r="AF295" s="10"/>
      <c r="AG295" s="10"/>
      <c r="AH295" s="10"/>
      <c r="AI295" s="31"/>
      <c r="AJ295" s="31"/>
      <c r="AK295" s="297">
        <f t="shared" si="45"/>
        <v>0</v>
      </c>
      <c r="AL295" s="34">
        <f t="shared" si="46"/>
        <v>0</v>
      </c>
      <c r="AM295" s="35"/>
      <c r="AN295" s="582">
        <f>SUM(AL295:AM296)</f>
        <v>0</v>
      </c>
      <c r="AO295" s="3"/>
      <c r="AP295" s="3"/>
      <c r="AQ295" s="3"/>
      <c r="AR295" s="3"/>
      <c r="AS295" s="3"/>
    </row>
    <row r="296" spans="3:45" ht="12.75" x14ac:dyDescent="0.2">
      <c r="C296" s="580"/>
      <c r="D296" s="577"/>
      <c r="E296" s="9" t="s">
        <v>19</v>
      </c>
      <c r="F296" s="259"/>
      <c r="G296" s="36"/>
      <c r="H296" s="259"/>
      <c r="I296" s="9"/>
      <c r="J296" s="9"/>
      <c r="K296" s="9"/>
      <c r="L296" s="9"/>
      <c r="M296" s="9"/>
      <c r="N296" s="36"/>
      <c r="O296" s="259"/>
      <c r="P296" s="9"/>
      <c r="Q296" s="9"/>
      <c r="R296" s="9"/>
      <c r="S296" s="9"/>
      <c r="T296" s="9"/>
      <c r="U296" s="36"/>
      <c r="V296" s="259"/>
      <c r="W296" s="9"/>
      <c r="X296" s="9"/>
      <c r="Y296" s="9"/>
      <c r="Z296" s="9"/>
      <c r="AA296" s="9"/>
      <c r="AB296" s="36"/>
      <c r="AC296" s="259"/>
      <c r="AD296" s="9"/>
      <c r="AE296" s="9"/>
      <c r="AF296" s="9"/>
      <c r="AG296" s="9"/>
      <c r="AH296" s="9"/>
      <c r="AI296" s="36"/>
      <c r="AJ296" s="36"/>
      <c r="AK296" s="298">
        <f t="shared" si="45"/>
        <v>0</v>
      </c>
      <c r="AL296" s="39"/>
      <c r="AM296" s="40">
        <f t="shared" ref="AM296:AM297" si="47">AK296</f>
        <v>0</v>
      </c>
      <c r="AN296" s="583"/>
      <c r="AO296" s="3"/>
      <c r="AP296" s="3"/>
      <c r="AQ296" s="3"/>
      <c r="AR296" s="3"/>
      <c r="AS296" s="3"/>
    </row>
    <row r="297" spans="3:45" ht="12.75" x14ac:dyDescent="0.2">
      <c r="C297" s="580"/>
      <c r="D297" s="30" t="s">
        <v>27</v>
      </c>
      <c r="E297" s="9" t="s">
        <v>19</v>
      </c>
      <c r="F297" s="259"/>
      <c r="G297" s="36"/>
      <c r="H297" s="259"/>
      <c r="I297" s="9"/>
      <c r="J297" s="9"/>
      <c r="K297" s="9"/>
      <c r="L297" s="9"/>
      <c r="M297" s="9"/>
      <c r="N297" s="36"/>
      <c r="O297" s="259"/>
      <c r="P297" s="9"/>
      <c r="Q297" s="9"/>
      <c r="R297" s="9"/>
      <c r="S297" s="9"/>
      <c r="T297" s="9"/>
      <c r="U297" s="36"/>
      <c r="V297" s="259"/>
      <c r="W297" s="9"/>
      <c r="X297" s="9"/>
      <c r="Y297" s="9"/>
      <c r="Z297" s="9"/>
      <c r="AA297" s="9"/>
      <c r="AB297" s="36"/>
      <c r="AC297" s="259"/>
      <c r="AD297" s="9"/>
      <c r="AE297" s="9"/>
      <c r="AF297" s="9"/>
      <c r="AG297" s="9"/>
      <c r="AH297" s="9"/>
      <c r="AI297" s="36"/>
      <c r="AJ297" s="36"/>
      <c r="AK297" s="298">
        <f t="shared" si="45"/>
        <v>0</v>
      </c>
      <c r="AL297" s="10"/>
      <c r="AM297" s="19">
        <f t="shared" si="47"/>
        <v>0</v>
      </c>
      <c r="AN297" s="29">
        <f>AM297</f>
        <v>0</v>
      </c>
      <c r="AO297" s="3"/>
      <c r="AP297" s="3"/>
      <c r="AQ297" s="3"/>
      <c r="AR297" s="3"/>
      <c r="AS297" s="3"/>
    </row>
    <row r="298" spans="3:45" ht="12.75" x14ac:dyDescent="0.2">
      <c r="C298" s="580"/>
      <c r="D298" s="576" t="s">
        <v>28</v>
      </c>
      <c r="E298" s="10" t="s">
        <v>18</v>
      </c>
      <c r="F298" s="45"/>
      <c r="G298" s="26"/>
      <c r="H298" s="260"/>
      <c r="I298" s="10"/>
      <c r="J298" s="10"/>
      <c r="K298" s="10"/>
      <c r="L298" s="10"/>
      <c r="M298" s="10"/>
      <c r="N298" s="31"/>
      <c r="O298" s="45"/>
      <c r="P298" s="10"/>
      <c r="Q298" s="10"/>
      <c r="R298" s="10"/>
      <c r="S298" s="10"/>
      <c r="T298" s="10"/>
      <c r="U298" s="31"/>
      <c r="V298" s="45"/>
      <c r="W298" s="10"/>
      <c r="X298" s="10"/>
      <c r="Y298" s="10"/>
      <c r="Z298" s="10"/>
      <c r="AA298" s="10"/>
      <c r="AB298" s="31"/>
      <c r="AC298" s="295"/>
      <c r="AD298" s="41">
        <v>100</v>
      </c>
      <c r="AE298" s="10"/>
      <c r="AF298" s="10"/>
      <c r="AG298" s="10"/>
      <c r="AH298" s="10"/>
      <c r="AI298" s="31"/>
      <c r="AJ298" s="31"/>
      <c r="AK298" s="297">
        <f t="shared" si="45"/>
        <v>100</v>
      </c>
      <c r="AL298" s="34">
        <f>AK298</f>
        <v>100</v>
      </c>
      <c r="AM298" s="35"/>
      <c r="AN298" s="582">
        <f>SUM(AL298:AM299)</f>
        <v>560</v>
      </c>
      <c r="AO298" s="3"/>
      <c r="AP298" s="3"/>
      <c r="AQ298" s="3"/>
      <c r="AR298" s="3"/>
      <c r="AS298" s="3"/>
    </row>
    <row r="299" spans="3:45" ht="12.75" x14ac:dyDescent="0.2">
      <c r="C299" s="580"/>
      <c r="D299" s="577"/>
      <c r="E299" s="9" t="s">
        <v>19</v>
      </c>
      <c r="F299" s="259"/>
      <c r="G299" s="43">
        <v>300</v>
      </c>
      <c r="H299" s="259"/>
      <c r="I299" s="9"/>
      <c r="J299" s="9"/>
      <c r="K299" s="19"/>
      <c r="L299" s="19"/>
      <c r="M299" s="9"/>
      <c r="N299" s="36"/>
      <c r="O299" s="259"/>
      <c r="P299" s="9"/>
      <c r="Q299" s="9"/>
      <c r="R299" s="9"/>
      <c r="S299" s="9"/>
      <c r="T299" s="42">
        <v>50</v>
      </c>
      <c r="U299" s="36"/>
      <c r="V299" s="299">
        <v>10</v>
      </c>
      <c r="W299" s="9"/>
      <c r="X299" s="9"/>
      <c r="Y299" s="9"/>
      <c r="Z299" s="9"/>
      <c r="AA299" s="42"/>
      <c r="AB299" s="43">
        <v>100</v>
      </c>
      <c r="AC299" s="259"/>
      <c r="AD299" s="9"/>
      <c r="AE299" s="9"/>
      <c r="AF299" s="9"/>
      <c r="AG299" s="9"/>
      <c r="AH299" s="9"/>
      <c r="AI299" s="36"/>
      <c r="AJ299" s="36"/>
      <c r="AK299" s="298">
        <f t="shared" si="45"/>
        <v>460</v>
      </c>
      <c r="AL299" s="39"/>
      <c r="AM299" s="40">
        <f>AK299</f>
        <v>460</v>
      </c>
      <c r="AN299" s="583"/>
      <c r="AO299" s="3"/>
      <c r="AP299" s="3"/>
      <c r="AQ299" s="3"/>
      <c r="AR299" s="3"/>
      <c r="AS299" s="3"/>
    </row>
    <row r="300" spans="3:45" ht="12.75" x14ac:dyDescent="0.2">
      <c r="C300" s="580"/>
      <c r="D300" s="576" t="s">
        <v>29</v>
      </c>
      <c r="E300" s="10" t="s">
        <v>18</v>
      </c>
      <c r="F300" s="295">
        <v>38.4</v>
      </c>
      <c r="G300" s="31"/>
      <c r="H300" s="45"/>
      <c r="I300" s="10"/>
      <c r="J300" s="10"/>
      <c r="K300" s="10"/>
      <c r="L300" s="10"/>
      <c r="M300" s="10"/>
      <c r="N300" s="31"/>
      <c r="O300" s="45"/>
      <c r="P300" s="10"/>
      <c r="Q300" s="10"/>
      <c r="R300" s="10"/>
      <c r="S300" s="28"/>
      <c r="T300" s="10"/>
      <c r="U300" s="31"/>
      <c r="V300" s="45"/>
      <c r="W300" s="10"/>
      <c r="X300" s="10"/>
      <c r="Y300" s="10"/>
      <c r="Z300" s="10"/>
      <c r="AA300" s="10"/>
      <c r="AB300" s="31"/>
      <c r="AC300" s="45"/>
      <c r="AD300" s="41">
        <v>80.319999999999993</v>
      </c>
      <c r="AE300" s="10"/>
      <c r="AF300" s="10"/>
      <c r="AG300" s="10"/>
      <c r="AH300" s="10"/>
      <c r="AI300" s="26">
        <v>105.6</v>
      </c>
      <c r="AJ300" s="31"/>
      <c r="AK300" s="297">
        <f t="shared" si="45"/>
        <v>224.32</v>
      </c>
      <c r="AL300" s="34">
        <f>AK300</f>
        <v>224.32</v>
      </c>
      <c r="AM300" s="35"/>
      <c r="AN300" s="582">
        <f>SUM(AL300:AM301)</f>
        <v>224.32</v>
      </c>
      <c r="AO300" s="3"/>
      <c r="AP300" s="3"/>
      <c r="AQ300" s="3"/>
      <c r="AR300" s="3"/>
      <c r="AS300" s="3"/>
    </row>
    <row r="301" spans="3:45" ht="12.75" x14ac:dyDescent="0.2">
      <c r="C301" s="580"/>
      <c r="D301" s="577"/>
      <c r="E301" s="9" t="s">
        <v>19</v>
      </c>
      <c r="F301" s="259"/>
      <c r="G301" s="36"/>
      <c r="H301" s="259"/>
      <c r="I301" s="9"/>
      <c r="J301" s="9"/>
      <c r="K301" s="9"/>
      <c r="L301" s="9"/>
      <c r="M301" s="9"/>
      <c r="N301" s="36"/>
      <c r="O301" s="259"/>
      <c r="P301" s="9"/>
      <c r="Q301" s="9"/>
      <c r="R301" s="9"/>
      <c r="S301" s="9"/>
      <c r="T301" s="9"/>
      <c r="U301" s="36"/>
      <c r="V301" s="259"/>
      <c r="W301" s="9"/>
      <c r="X301" s="9"/>
      <c r="Y301" s="9"/>
      <c r="Z301" s="9"/>
      <c r="AA301" s="9"/>
      <c r="AB301" s="36"/>
      <c r="AC301" s="259"/>
      <c r="AD301" s="9"/>
      <c r="AE301" s="9"/>
      <c r="AF301" s="9"/>
      <c r="AG301" s="9"/>
      <c r="AH301" s="9"/>
      <c r="AI301" s="36"/>
      <c r="AJ301" s="36"/>
      <c r="AK301" s="298">
        <f t="shared" si="45"/>
        <v>0</v>
      </c>
      <c r="AL301" s="39"/>
      <c r="AM301" s="40">
        <f>AK301</f>
        <v>0</v>
      </c>
      <c r="AN301" s="583"/>
      <c r="AO301" s="3"/>
      <c r="AP301" s="3"/>
      <c r="AQ301" s="3"/>
      <c r="AR301" s="3"/>
      <c r="AS301" s="3"/>
    </row>
    <row r="302" spans="3:45" ht="12.75" x14ac:dyDescent="0.2">
      <c r="C302" s="580"/>
      <c r="D302" s="576" t="s">
        <v>30</v>
      </c>
      <c r="E302" s="10" t="s">
        <v>18</v>
      </c>
      <c r="F302" s="45"/>
      <c r="G302" s="31"/>
      <c r="H302" s="45"/>
      <c r="I302" s="10"/>
      <c r="J302" s="10"/>
      <c r="K302" s="10"/>
      <c r="L302" s="10"/>
      <c r="M302" s="10"/>
      <c r="N302" s="31"/>
      <c r="O302" s="45"/>
      <c r="P302" s="10"/>
      <c r="Q302" s="10"/>
      <c r="R302" s="10"/>
      <c r="S302" s="10"/>
      <c r="T302" s="10"/>
      <c r="U302" s="31"/>
      <c r="V302" s="45"/>
      <c r="W302" s="10"/>
      <c r="X302" s="10"/>
      <c r="Y302" s="10"/>
      <c r="Z302" s="10"/>
      <c r="AA302" s="10"/>
      <c r="AB302" s="31"/>
      <c r="AC302" s="45"/>
      <c r="AD302" s="10"/>
      <c r="AE302" s="10"/>
      <c r="AF302" s="10"/>
      <c r="AG302" s="10"/>
      <c r="AH302" s="10"/>
      <c r="AI302" s="31"/>
      <c r="AJ302" s="31"/>
      <c r="AK302" s="297">
        <f t="shared" si="45"/>
        <v>0</v>
      </c>
      <c r="AL302" s="34">
        <f>AK302</f>
        <v>0</v>
      </c>
      <c r="AM302" s="9"/>
      <c r="AN302" s="582">
        <f>SUM(AL302:AM303)</f>
        <v>0</v>
      </c>
      <c r="AO302" s="3"/>
      <c r="AP302" s="3"/>
      <c r="AQ302" s="3"/>
      <c r="AR302" s="3"/>
      <c r="AS302" s="3"/>
    </row>
    <row r="303" spans="3:45" ht="12.75" x14ac:dyDescent="0.2">
      <c r="C303" s="580"/>
      <c r="D303" s="577"/>
      <c r="E303" s="9" t="s">
        <v>19</v>
      </c>
      <c r="F303" s="259"/>
      <c r="G303" s="36"/>
      <c r="H303" s="259"/>
      <c r="I303" s="9"/>
      <c r="J303" s="9"/>
      <c r="K303" s="9"/>
      <c r="L303" s="9"/>
      <c r="M303" s="9"/>
      <c r="N303" s="36"/>
      <c r="O303" s="259"/>
      <c r="P303" s="9"/>
      <c r="Q303" s="9"/>
      <c r="R303" s="9"/>
      <c r="S303" s="9"/>
      <c r="T303" s="9"/>
      <c r="U303" s="36"/>
      <c r="V303" s="259"/>
      <c r="W303" s="9"/>
      <c r="X303" s="9"/>
      <c r="Y303" s="9"/>
      <c r="Z303" s="9"/>
      <c r="AA303" s="9"/>
      <c r="AB303" s="36"/>
      <c r="AC303" s="259"/>
      <c r="AD303" s="9"/>
      <c r="AE303" s="9"/>
      <c r="AF303" s="9"/>
      <c r="AG303" s="9"/>
      <c r="AH303" s="9"/>
      <c r="AI303" s="36"/>
      <c r="AJ303" s="36"/>
      <c r="AK303" s="298">
        <f t="shared" si="45"/>
        <v>0</v>
      </c>
      <c r="AL303" s="45"/>
      <c r="AM303" s="40">
        <f>AK303</f>
        <v>0</v>
      </c>
      <c r="AN303" s="583"/>
      <c r="AO303" s="3"/>
      <c r="AP303" s="3"/>
      <c r="AQ303" s="3"/>
      <c r="AR303" s="3"/>
      <c r="AS303" s="3"/>
    </row>
    <row r="304" spans="3:45" ht="12.75" x14ac:dyDescent="0.2">
      <c r="C304" s="580"/>
      <c r="D304" s="576" t="s">
        <v>31</v>
      </c>
      <c r="E304" s="10" t="s">
        <v>18</v>
      </c>
      <c r="F304" s="45"/>
      <c r="G304" s="31"/>
      <c r="H304" s="45"/>
      <c r="I304" s="10"/>
      <c r="J304" s="10"/>
      <c r="K304" s="10"/>
      <c r="L304" s="10"/>
      <c r="M304" s="10"/>
      <c r="N304" s="31"/>
      <c r="O304" s="45"/>
      <c r="P304" s="10"/>
      <c r="Q304" s="10"/>
      <c r="R304" s="10"/>
      <c r="S304" s="10"/>
      <c r="T304" s="41">
        <v>150</v>
      </c>
      <c r="U304" s="31"/>
      <c r="V304" s="45"/>
      <c r="W304" s="10"/>
      <c r="X304" s="10"/>
      <c r="Y304" s="10"/>
      <c r="Z304" s="10"/>
      <c r="AA304" s="10"/>
      <c r="AB304" s="31"/>
      <c r="AC304" s="45"/>
      <c r="AD304" s="10"/>
      <c r="AE304" s="10"/>
      <c r="AF304" s="10"/>
      <c r="AG304" s="10"/>
      <c r="AH304" s="10"/>
      <c r="AI304" s="31"/>
      <c r="AJ304" s="31"/>
      <c r="AK304" s="297">
        <f t="shared" si="45"/>
        <v>150</v>
      </c>
      <c r="AL304" s="34">
        <f>AK304</f>
        <v>150</v>
      </c>
      <c r="AM304" s="35"/>
      <c r="AN304" s="586">
        <f>SUM(AL304:AM305)</f>
        <v>1065</v>
      </c>
      <c r="AO304" s="3"/>
      <c r="AP304" s="3"/>
      <c r="AQ304" s="3"/>
      <c r="AR304" s="3"/>
      <c r="AS304" s="3"/>
    </row>
    <row r="305" spans="3:45" ht="12.75" x14ac:dyDescent="0.2">
      <c r="C305" s="581"/>
      <c r="D305" s="585"/>
      <c r="E305" s="277" t="s">
        <v>19</v>
      </c>
      <c r="F305" s="261"/>
      <c r="G305" s="46"/>
      <c r="H305" s="259"/>
      <c r="I305" s="300"/>
      <c r="J305" s="300">
        <v>20</v>
      </c>
      <c r="K305" s="277"/>
      <c r="L305" s="277"/>
      <c r="M305" s="277"/>
      <c r="N305" s="46"/>
      <c r="O305" s="261"/>
      <c r="P305" s="277"/>
      <c r="Q305" s="277"/>
      <c r="R305" s="277"/>
      <c r="S305" s="300">
        <v>150</v>
      </c>
      <c r="T305" s="300">
        <v>10</v>
      </c>
      <c r="U305" s="46"/>
      <c r="V305" s="261"/>
      <c r="W305" s="300"/>
      <c r="X305" s="277"/>
      <c r="Y305" s="300">
        <v>200</v>
      </c>
      <c r="Z305" s="300">
        <f>500+20</f>
        <v>520</v>
      </c>
      <c r="AA305" s="300">
        <v>15</v>
      </c>
      <c r="AB305" s="46"/>
      <c r="AC305" s="261"/>
      <c r="AD305" s="277"/>
      <c r="AE305" s="277"/>
      <c r="AF305" s="277"/>
      <c r="AG305" s="9"/>
      <c r="AH305" s="9"/>
      <c r="AI305" s="36"/>
      <c r="AJ305" s="46"/>
      <c r="AK305" s="301">
        <f t="shared" si="45"/>
        <v>915</v>
      </c>
      <c r="AL305" s="39"/>
      <c r="AM305" s="40">
        <f>AK305</f>
        <v>915</v>
      </c>
      <c r="AN305" s="583"/>
      <c r="AO305" s="3"/>
      <c r="AP305" s="3"/>
      <c r="AQ305" s="3"/>
      <c r="AR305" s="3"/>
      <c r="AS305" s="3"/>
    </row>
    <row r="306" spans="3:45" ht="12.75" x14ac:dyDescent="0.2">
      <c r="C306" s="302" t="s">
        <v>32</v>
      </c>
      <c r="D306" s="9"/>
      <c r="E306" s="9"/>
      <c r="F306" s="259"/>
      <c r="G306" s="36"/>
      <c r="H306" s="303"/>
      <c r="I306" s="9"/>
      <c r="J306" s="9"/>
      <c r="K306" s="9"/>
      <c r="L306" s="9"/>
      <c r="M306" s="9"/>
      <c r="N306" s="36"/>
      <c r="O306" s="259"/>
      <c r="P306" s="9"/>
      <c r="Q306" s="9"/>
      <c r="R306" s="9"/>
      <c r="S306" s="9"/>
      <c r="T306" s="9"/>
      <c r="U306" s="36"/>
      <c r="V306" s="259"/>
      <c r="W306" s="9"/>
      <c r="X306" s="9"/>
      <c r="Y306" s="9"/>
      <c r="Z306" s="9"/>
      <c r="AA306" s="9"/>
      <c r="AB306" s="36"/>
      <c r="AC306" s="259"/>
      <c r="AD306" s="9"/>
      <c r="AE306" s="9"/>
      <c r="AF306" s="9"/>
      <c r="AG306" s="35"/>
      <c r="AH306" s="35"/>
      <c r="AI306" s="50"/>
      <c r="AJ306" s="36"/>
      <c r="AK306" s="51">
        <f t="shared" ref="AK306:AM306" si="48">SUM(AK294:AK305)</f>
        <v>3635.32</v>
      </c>
      <c r="AL306" s="28">
        <f t="shared" si="48"/>
        <v>2260.3200000000002</v>
      </c>
      <c r="AM306" s="19">
        <f t="shared" si="48"/>
        <v>1375</v>
      </c>
      <c r="AN306" s="11"/>
      <c r="AO306" s="3"/>
      <c r="AP306" s="3"/>
      <c r="AQ306" s="3"/>
      <c r="AR306" s="3"/>
      <c r="AS306" s="3"/>
    </row>
    <row r="307" spans="3:45" ht="12.75" x14ac:dyDescent="0.2">
      <c r="C307" s="627" t="s">
        <v>33</v>
      </c>
      <c r="D307" s="304" t="s">
        <v>34</v>
      </c>
      <c r="E307" s="305" t="s">
        <v>19</v>
      </c>
      <c r="F307" s="306"/>
      <c r="G307" s="307"/>
      <c r="H307" s="306"/>
      <c r="I307" s="308"/>
      <c r="J307" s="309">
        <v>60</v>
      </c>
      <c r="K307" s="305"/>
      <c r="L307" s="305"/>
      <c r="M307" s="305"/>
      <c r="N307" s="307"/>
      <c r="O307" s="306"/>
      <c r="P307" s="305"/>
      <c r="Q307" s="305"/>
      <c r="R307" s="305"/>
      <c r="S307" s="305"/>
      <c r="T307" s="305"/>
      <c r="U307" s="307"/>
      <c r="V307" s="306"/>
      <c r="W307" s="305"/>
      <c r="X307" s="305"/>
      <c r="Y307" s="305"/>
      <c r="Z307" s="305"/>
      <c r="AA307" s="305"/>
      <c r="AB307" s="307"/>
      <c r="AC307" s="306"/>
      <c r="AD307" s="305"/>
      <c r="AE307" s="305"/>
      <c r="AF307" s="305"/>
      <c r="AG307" s="305"/>
      <c r="AH307" s="305"/>
      <c r="AI307" s="307"/>
      <c r="AJ307" s="307"/>
      <c r="AK307" s="310">
        <f t="shared" ref="AK307:AK308" si="49">SUM(F307:AJ307)</f>
        <v>60</v>
      </c>
      <c r="AL307" s="58"/>
      <c r="AM307" s="59">
        <f>AK307</f>
        <v>60</v>
      </c>
      <c r="AN307" s="60">
        <f>AM307</f>
        <v>60</v>
      </c>
      <c r="AO307" s="3"/>
      <c r="AP307" s="3"/>
      <c r="AQ307" s="3"/>
      <c r="AR307" s="3"/>
      <c r="AS307" s="3"/>
    </row>
    <row r="308" spans="3:45" ht="12.75" x14ac:dyDescent="0.2">
      <c r="C308" s="580"/>
      <c r="D308" s="311" t="s">
        <v>35</v>
      </c>
      <c r="E308" s="65" t="s">
        <v>18</v>
      </c>
      <c r="F308" s="114"/>
      <c r="G308" s="68"/>
      <c r="H308" s="114"/>
      <c r="I308" s="87"/>
      <c r="J308" s="70">
        <v>20</v>
      </c>
      <c r="K308" s="65"/>
      <c r="L308" s="87"/>
      <c r="M308" s="65"/>
      <c r="N308" s="68"/>
      <c r="O308" s="114"/>
      <c r="P308" s="65"/>
      <c r="Q308" s="65"/>
      <c r="R308" s="65"/>
      <c r="S308" s="65"/>
      <c r="T308" s="65"/>
      <c r="U308" s="68"/>
      <c r="V308" s="114"/>
      <c r="W308" s="65"/>
      <c r="X308" s="65"/>
      <c r="Y308" s="65"/>
      <c r="Z308" s="65"/>
      <c r="AA308" s="65"/>
      <c r="AB308" s="68"/>
      <c r="AC308" s="114"/>
      <c r="AD308" s="65"/>
      <c r="AE308" s="65"/>
      <c r="AF308" s="65"/>
      <c r="AG308" s="65"/>
      <c r="AH308" s="65"/>
      <c r="AI308" s="68"/>
      <c r="AJ308" s="68"/>
      <c r="AK308" s="98">
        <f t="shared" si="49"/>
        <v>20</v>
      </c>
      <c r="AL308" s="72">
        <f>AK308</f>
        <v>20</v>
      </c>
      <c r="AM308" s="62"/>
      <c r="AN308" s="73">
        <f>AL308</f>
        <v>20</v>
      </c>
      <c r="AO308" s="3"/>
      <c r="AP308" s="3"/>
      <c r="AQ308" s="3"/>
      <c r="AR308" s="3"/>
      <c r="AS308" s="3"/>
    </row>
    <row r="309" spans="3:45" ht="12.75" x14ac:dyDescent="0.2">
      <c r="C309" s="580"/>
      <c r="D309" s="649" t="s">
        <v>36</v>
      </c>
      <c r="E309" s="65" t="s">
        <v>18</v>
      </c>
      <c r="F309" s="114"/>
      <c r="G309" s="68"/>
      <c r="H309" s="114"/>
      <c r="I309" s="87"/>
      <c r="J309" s="70">
        <v>27</v>
      </c>
      <c r="K309" s="65"/>
      <c r="L309" s="87"/>
      <c r="M309" s="65"/>
      <c r="N309" s="68"/>
      <c r="O309" s="114"/>
      <c r="P309" s="65"/>
      <c r="Q309" s="65"/>
      <c r="R309" s="65"/>
      <c r="S309" s="65"/>
      <c r="T309" s="65"/>
      <c r="U309" s="68"/>
      <c r="V309" s="114"/>
      <c r="W309" s="65"/>
      <c r="X309" s="65"/>
      <c r="Y309" s="65"/>
      <c r="Z309" s="65"/>
      <c r="AA309" s="65"/>
      <c r="AB309" s="68"/>
      <c r="AC309" s="114"/>
      <c r="AD309" s="65"/>
      <c r="AE309" s="65"/>
      <c r="AF309" s="65"/>
      <c r="AG309" s="65"/>
      <c r="AH309" s="65"/>
      <c r="AI309" s="68"/>
      <c r="AJ309" s="68"/>
      <c r="AK309" s="69"/>
      <c r="AL309" s="72">
        <f>SUM(F309:AJ309)</f>
        <v>27</v>
      </c>
      <c r="AM309" s="62"/>
      <c r="AN309" s="589">
        <f>SUM(AL309:AM310)</f>
        <v>27</v>
      </c>
      <c r="AO309" s="3"/>
      <c r="AP309" s="3"/>
      <c r="AQ309" s="3"/>
      <c r="AR309" s="3"/>
      <c r="AS309" s="3"/>
    </row>
    <row r="310" spans="3:45" ht="12.75" x14ac:dyDescent="0.2">
      <c r="C310" s="580"/>
      <c r="D310" s="650"/>
      <c r="E310" s="312" t="s">
        <v>19</v>
      </c>
      <c r="F310" s="313"/>
      <c r="G310" s="314"/>
      <c r="H310" s="313"/>
      <c r="I310" s="312"/>
      <c r="J310" s="312"/>
      <c r="K310" s="312"/>
      <c r="L310" s="312"/>
      <c r="M310" s="312"/>
      <c r="N310" s="314"/>
      <c r="O310" s="313"/>
      <c r="P310" s="312"/>
      <c r="Q310" s="312"/>
      <c r="R310" s="312"/>
      <c r="S310" s="312"/>
      <c r="T310" s="312"/>
      <c r="U310" s="314"/>
      <c r="V310" s="313"/>
      <c r="W310" s="312"/>
      <c r="X310" s="312"/>
      <c r="Y310" s="312"/>
      <c r="Z310" s="312"/>
      <c r="AA310" s="312"/>
      <c r="AB310" s="314"/>
      <c r="AC310" s="313"/>
      <c r="AD310" s="312"/>
      <c r="AE310" s="312"/>
      <c r="AF310" s="312"/>
      <c r="AG310" s="312"/>
      <c r="AH310" s="312"/>
      <c r="AI310" s="314"/>
      <c r="AJ310" s="314"/>
      <c r="AK310" s="315">
        <f t="shared" ref="AK310:AK357" si="50">SUM(F310:AJ310)</f>
        <v>0</v>
      </c>
      <c r="AL310" s="79"/>
      <c r="AM310" s="80">
        <f>AK310</f>
        <v>0</v>
      </c>
      <c r="AN310" s="590"/>
      <c r="AO310" s="3"/>
      <c r="AP310" s="3"/>
      <c r="AQ310" s="3"/>
      <c r="AR310" s="3"/>
      <c r="AS310" s="3"/>
    </row>
    <row r="311" spans="3:45" ht="12.75" x14ac:dyDescent="0.2">
      <c r="C311" s="580"/>
      <c r="D311" s="584" t="s">
        <v>37</v>
      </c>
      <c r="E311" s="65" t="s">
        <v>18</v>
      </c>
      <c r="F311" s="114"/>
      <c r="G311" s="68"/>
      <c r="H311" s="114"/>
      <c r="I311" s="72"/>
      <c r="J311" s="72"/>
      <c r="K311" s="72"/>
      <c r="L311" s="65"/>
      <c r="M311" s="65"/>
      <c r="N311" s="68"/>
      <c r="O311" s="114"/>
      <c r="P311" s="65"/>
      <c r="Q311" s="65">
        <f>5+1</f>
        <v>6</v>
      </c>
      <c r="R311" s="72"/>
      <c r="S311" s="70"/>
      <c r="T311" s="87">
        <v>15.9</v>
      </c>
      <c r="U311" s="95"/>
      <c r="V311" s="114"/>
      <c r="W311" s="65"/>
      <c r="X311" s="65"/>
      <c r="Y311" s="65"/>
      <c r="Z311" s="65"/>
      <c r="AA311" s="65"/>
      <c r="AB311" s="68"/>
      <c r="AC311" s="89"/>
      <c r="AD311" s="65"/>
      <c r="AE311" s="72"/>
      <c r="AF311" s="72"/>
      <c r="AG311" s="65"/>
      <c r="AH311" s="72"/>
      <c r="AI311" s="68"/>
      <c r="AJ311" s="68"/>
      <c r="AK311" s="98">
        <f t="shared" si="50"/>
        <v>21.9</v>
      </c>
      <c r="AL311" s="89">
        <f>AK311</f>
        <v>21.9</v>
      </c>
      <c r="AM311" s="62"/>
      <c r="AN311" s="586">
        <f>SUM(AL311:AM312)</f>
        <v>21.9</v>
      </c>
      <c r="AO311" s="3"/>
      <c r="AP311" s="3"/>
      <c r="AQ311" s="3"/>
      <c r="AR311" s="3"/>
      <c r="AS311" s="3"/>
    </row>
    <row r="312" spans="3:45" ht="12.75" x14ac:dyDescent="0.2">
      <c r="C312" s="580"/>
      <c r="D312" s="577"/>
      <c r="E312" s="62" t="s">
        <v>19</v>
      </c>
      <c r="F312" s="264"/>
      <c r="G312" s="61"/>
      <c r="H312" s="264"/>
      <c r="I312" s="62"/>
      <c r="J312" s="62"/>
      <c r="K312" s="62"/>
      <c r="L312" s="62"/>
      <c r="M312" s="62"/>
      <c r="N312" s="61"/>
      <c r="O312" s="264"/>
      <c r="P312" s="62"/>
      <c r="Q312" s="62"/>
      <c r="R312" s="62"/>
      <c r="S312" s="62"/>
      <c r="T312" s="62"/>
      <c r="U312" s="61"/>
      <c r="V312" s="264"/>
      <c r="W312" s="62"/>
      <c r="X312" s="62"/>
      <c r="Y312" s="62"/>
      <c r="Z312" s="62"/>
      <c r="AA312" s="62"/>
      <c r="AB312" s="61"/>
      <c r="AC312" s="264"/>
      <c r="AD312" s="62"/>
      <c r="AE312" s="62"/>
      <c r="AF312" s="62"/>
      <c r="AG312" s="62"/>
      <c r="AH312" s="62"/>
      <c r="AI312" s="61"/>
      <c r="AJ312" s="61"/>
      <c r="AK312" s="128">
        <f t="shared" si="50"/>
        <v>0</v>
      </c>
      <c r="AL312" s="93"/>
      <c r="AM312" s="94">
        <f>AK312</f>
        <v>0</v>
      </c>
      <c r="AN312" s="583"/>
      <c r="AO312" s="3"/>
      <c r="AP312" s="3"/>
      <c r="AQ312" s="3"/>
      <c r="AR312" s="3"/>
      <c r="AS312" s="3"/>
    </row>
    <row r="313" spans="3:45" ht="12.75" x14ac:dyDescent="0.2">
      <c r="C313" s="580"/>
      <c r="D313" s="81" t="s">
        <v>38</v>
      </c>
      <c r="E313" s="65" t="s">
        <v>18</v>
      </c>
      <c r="F313" s="114"/>
      <c r="G313" s="68"/>
      <c r="H313" s="114"/>
      <c r="I313" s="65"/>
      <c r="J313" s="65"/>
      <c r="K313" s="65"/>
      <c r="L313" s="65"/>
      <c r="M313" s="65"/>
      <c r="N313" s="68"/>
      <c r="O313" s="114"/>
      <c r="P313" s="65"/>
      <c r="Q313" s="65"/>
      <c r="R313" s="65"/>
      <c r="S313" s="65"/>
      <c r="T313" s="65"/>
      <c r="U313" s="68"/>
      <c r="V313" s="114"/>
      <c r="W313" s="65"/>
      <c r="X313" s="65"/>
      <c r="Y313" s="65"/>
      <c r="Z313" s="65"/>
      <c r="AA313" s="70"/>
      <c r="AB313" s="68"/>
      <c r="AC313" s="267">
        <v>89.82</v>
      </c>
      <c r="AD313" s="65"/>
      <c r="AE313" s="65"/>
      <c r="AF313" s="65"/>
      <c r="AG313" s="65"/>
      <c r="AH313" s="65"/>
      <c r="AI313" s="68"/>
      <c r="AJ313" s="68"/>
      <c r="AK313" s="98">
        <f t="shared" si="50"/>
        <v>89.82</v>
      </c>
      <c r="AL313" s="72">
        <f t="shared" ref="AL313:AL315" si="51">AK313</f>
        <v>89.82</v>
      </c>
      <c r="AM313" s="62"/>
      <c r="AN313" s="29">
        <f t="shared" ref="AN313:AN314" si="52">AL313</f>
        <v>89.82</v>
      </c>
      <c r="AO313" s="3"/>
      <c r="AP313" s="3"/>
      <c r="AQ313" s="3"/>
      <c r="AR313" s="3"/>
      <c r="AS313" s="3"/>
    </row>
    <row r="314" spans="3:45" ht="12.75" x14ac:dyDescent="0.2">
      <c r="C314" s="580"/>
      <c r="D314" s="81" t="s">
        <v>39</v>
      </c>
      <c r="E314" s="65" t="s">
        <v>18</v>
      </c>
      <c r="F314" s="114"/>
      <c r="G314" s="68"/>
      <c r="H314" s="114"/>
      <c r="I314" s="65"/>
      <c r="J314" s="65"/>
      <c r="K314" s="65"/>
      <c r="L314" s="65"/>
      <c r="M314" s="65"/>
      <c r="N314" s="68"/>
      <c r="O314" s="114"/>
      <c r="P314" s="65"/>
      <c r="Q314" s="65"/>
      <c r="R314" s="65"/>
      <c r="S314" s="65"/>
      <c r="T314" s="65"/>
      <c r="U314" s="68"/>
      <c r="V314" s="114"/>
      <c r="W314" s="65"/>
      <c r="X314" s="72"/>
      <c r="Y314" s="65"/>
      <c r="Z314" s="65"/>
      <c r="AA314" s="65"/>
      <c r="AB314" s="68"/>
      <c r="AC314" s="114"/>
      <c r="AD314" s="65"/>
      <c r="AE314" s="65"/>
      <c r="AF314" s="65"/>
      <c r="AG314" s="65"/>
      <c r="AH314" s="65"/>
      <c r="AI314" s="68"/>
      <c r="AJ314" s="68"/>
      <c r="AK314" s="98">
        <f t="shared" si="50"/>
        <v>0</v>
      </c>
      <c r="AL314" s="72">
        <f t="shared" si="51"/>
        <v>0</v>
      </c>
      <c r="AM314" s="62"/>
      <c r="AN314" s="29">
        <f t="shared" si="52"/>
        <v>0</v>
      </c>
      <c r="AO314" s="3"/>
      <c r="AP314" s="3"/>
      <c r="AQ314" s="3"/>
      <c r="AR314" s="3"/>
      <c r="AS314" s="3"/>
    </row>
    <row r="315" spans="3:45" ht="12.75" x14ac:dyDescent="0.2">
      <c r="C315" s="580"/>
      <c r="D315" s="584" t="s">
        <v>40</v>
      </c>
      <c r="E315" s="65" t="s">
        <v>18</v>
      </c>
      <c r="F315" s="114"/>
      <c r="G315" s="68"/>
      <c r="H315" s="114"/>
      <c r="I315" s="65"/>
      <c r="J315" s="65"/>
      <c r="K315" s="65"/>
      <c r="L315" s="65"/>
      <c r="M315" s="65"/>
      <c r="N315" s="68"/>
      <c r="O315" s="114"/>
      <c r="P315" s="65"/>
      <c r="Q315" s="65"/>
      <c r="R315" s="65"/>
      <c r="S315" s="65"/>
      <c r="T315" s="65"/>
      <c r="U315" s="68"/>
      <c r="V315" s="114"/>
      <c r="W315" s="65"/>
      <c r="X315" s="65"/>
      <c r="Y315" s="65"/>
      <c r="Z315" s="65"/>
      <c r="AA315" s="65"/>
      <c r="AB315" s="68"/>
      <c r="AC315" s="114"/>
      <c r="AD315" s="65"/>
      <c r="AE315" s="65"/>
      <c r="AF315" s="65"/>
      <c r="AG315" s="65"/>
      <c r="AH315" s="65"/>
      <c r="AI315" s="68"/>
      <c r="AJ315" s="68"/>
      <c r="AK315" s="98">
        <f t="shared" si="50"/>
        <v>0</v>
      </c>
      <c r="AL315" s="96">
        <f t="shared" si="51"/>
        <v>0</v>
      </c>
      <c r="AM315" s="97"/>
      <c r="AN315" s="582">
        <f>SUM(AL315:AM316)</f>
        <v>0</v>
      </c>
      <c r="AO315" s="3"/>
      <c r="AP315" s="3"/>
      <c r="AQ315" s="3"/>
      <c r="AR315" s="3"/>
      <c r="AS315" s="3"/>
    </row>
    <row r="316" spans="3:45" ht="12.75" x14ac:dyDescent="0.2">
      <c r="C316" s="580"/>
      <c r="D316" s="577"/>
      <c r="E316" s="62" t="s">
        <v>19</v>
      </c>
      <c r="F316" s="264"/>
      <c r="G316" s="61"/>
      <c r="H316" s="264"/>
      <c r="I316" s="62"/>
      <c r="J316" s="62"/>
      <c r="K316" s="62"/>
      <c r="L316" s="62"/>
      <c r="M316" s="62"/>
      <c r="N316" s="61"/>
      <c r="O316" s="264"/>
      <c r="P316" s="62"/>
      <c r="Q316" s="62"/>
      <c r="R316" s="62"/>
      <c r="S316" s="62"/>
      <c r="T316" s="62"/>
      <c r="U316" s="61"/>
      <c r="V316" s="264"/>
      <c r="W316" s="62"/>
      <c r="X316" s="62"/>
      <c r="Y316" s="62"/>
      <c r="Z316" s="62"/>
      <c r="AA316" s="62"/>
      <c r="AB316" s="61"/>
      <c r="AC316" s="264"/>
      <c r="AD316" s="62"/>
      <c r="AE316" s="62"/>
      <c r="AF316" s="62"/>
      <c r="AG316" s="62"/>
      <c r="AH316" s="62"/>
      <c r="AI316" s="61"/>
      <c r="AJ316" s="61"/>
      <c r="AK316" s="128">
        <f t="shared" si="50"/>
        <v>0</v>
      </c>
      <c r="AL316" s="93"/>
      <c r="AM316" s="94">
        <f>AK316</f>
        <v>0</v>
      </c>
      <c r="AN316" s="583"/>
      <c r="AO316" s="3"/>
      <c r="AP316" s="3"/>
      <c r="AQ316" s="3"/>
      <c r="AR316" s="3"/>
      <c r="AS316" s="3"/>
    </row>
    <row r="317" spans="3:45" ht="12.75" x14ac:dyDescent="0.2">
      <c r="C317" s="580"/>
      <c r="D317" s="584" t="s">
        <v>41</v>
      </c>
      <c r="E317" s="65" t="s">
        <v>18</v>
      </c>
      <c r="F317" s="114"/>
      <c r="G317" s="88"/>
      <c r="H317" s="114"/>
      <c r="I317" s="65"/>
      <c r="J317" s="87">
        <v>100</v>
      </c>
      <c r="K317" s="87">
        <v>150</v>
      </c>
      <c r="L317" s="65"/>
      <c r="M317" s="65"/>
      <c r="N317" s="68"/>
      <c r="O317" s="114"/>
      <c r="P317" s="65"/>
      <c r="Q317" s="65"/>
      <c r="R317" s="65"/>
      <c r="S317" s="65"/>
      <c r="T317" s="65"/>
      <c r="U317" s="68"/>
      <c r="V317" s="114"/>
      <c r="W317" s="65"/>
      <c r="X317" s="65"/>
      <c r="Y317" s="65"/>
      <c r="Z317" s="65"/>
      <c r="AA317" s="72"/>
      <c r="AB317" s="68"/>
      <c r="AC317" s="114"/>
      <c r="AD317" s="65"/>
      <c r="AE317" s="65"/>
      <c r="AF317" s="65"/>
      <c r="AG317" s="65"/>
      <c r="AH317" s="65"/>
      <c r="AI317" s="68"/>
      <c r="AJ317" s="68"/>
      <c r="AK317" s="98">
        <f t="shared" si="50"/>
        <v>250</v>
      </c>
      <c r="AL317" s="96">
        <f>AK317</f>
        <v>250</v>
      </c>
      <c r="AM317" s="97"/>
      <c r="AN317" s="582">
        <f>SUM(AL317:AM318)</f>
        <v>600</v>
      </c>
      <c r="AO317" s="3"/>
      <c r="AP317" s="3"/>
      <c r="AQ317" s="3"/>
      <c r="AR317" s="3"/>
      <c r="AS317" s="3"/>
    </row>
    <row r="318" spans="3:45" ht="12.75" x14ac:dyDescent="0.2">
      <c r="C318" s="580"/>
      <c r="D318" s="577"/>
      <c r="E318" s="62" t="s">
        <v>19</v>
      </c>
      <c r="F318" s="264"/>
      <c r="G318" s="112">
        <v>50</v>
      </c>
      <c r="H318" s="264"/>
      <c r="I318" s="62"/>
      <c r="J318" s="62"/>
      <c r="K318" s="62"/>
      <c r="L318" s="62"/>
      <c r="M318" s="62"/>
      <c r="N318" s="61"/>
      <c r="O318" s="264"/>
      <c r="P318" s="62"/>
      <c r="Q318" s="62"/>
      <c r="R318" s="62"/>
      <c r="S318" s="62"/>
      <c r="T318" s="62"/>
      <c r="U318" s="61"/>
      <c r="V318" s="264"/>
      <c r="W318" s="62"/>
      <c r="X318" s="62"/>
      <c r="Y318" s="62"/>
      <c r="Z318" s="91">
        <v>300</v>
      </c>
      <c r="AA318" s="62"/>
      <c r="AB318" s="61"/>
      <c r="AC318" s="264"/>
      <c r="AD318" s="62"/>
      <c r="AE318" s="62"/>
      <c r="AF318" s="62"/>
      <c r="AG318" s="62"/>
      <c r="AH318" s="62"/>
      <c r="AI318" s="61"/>
      <c r="AJ318" s="61"/>
      <c r="AK318" s="128">
        <f t="shared" si="50"/>
        <v>350</v>
      </c>
      <c r="AL318" s="93"/>
      <c r="AM318" s="94">
        <f>AK318</f>
        <v>350</v>
      </c>
      <c r="AN318" s="583"/>
      <c r="AO318" s="3"/>
      <c r="AP318" s="3"/>
      <c r="AQ318" s="3"/>
      <c r="AR318" s="3"/>
      <c r="AS318" s="3"/>
    </row>
    <row r="319" spans="3:45" ht="12.75" x14ac:dyDescent="0.2">
      <c r="C319" s="580"/>
      <c r="D319" s="81" t="s">
        <v>42</v>
      </c>
      <c r="E319" s="65" t="s">
        <v>18</v>
      </c>
      <c r="F319" s="267">
        <v>10</v>
      </c>
      <c r="G319" s="99">
        <v>50</v>
      </c>
      <c r="H319" s="114"/>
      <c r="I319" s="65"/>
      <c r="J319" s="65"/>
      <c r="K319" s="65"/>
      <c r="L319" s="87">
        <f>258.22+50</f>
        <v>308.22000000000003</v>
      </c>
      <c r="M319" s="87">
        <v>50</v>
      </c>
      <c r="N319" s="99"/>
      <c r="O319" s="267"/>
      <c r="P319" s="72"/>
      <c r="Q319" s="72"/>
      <c r="R319" s="65"/>
      <c r="S319" s="65"/>
      <c r="T319" s="65"/>
      <c r="U319" s="95">
        <v>10</v>
      </c>
      <c r="V319" s="270">
        <v>20</v>
      </c>
      <c r="W319" s="87"/>
      <c r="X319" s="87"/>
      <c r="Y319" s="65">
        <f>50+30+50+18.47+25+25</f>
        <v>198.47</v>
      </c>
      <c r="Z319" s="87">
        <f>50+50</f>
        <v>100</v>
      </c>
      <c r="AA319" s="65">
        <f>50+25</f>
        <v>75</v>
      </c>
      <c r="AB319" s="95"/>
      <c r="AC319" s="267">
        <v>15</v>
      </c>
      <c r="AD319" s="65">
        <f>50+50+10+50</f>
        <v>160</v>
      </c>
      <c r="AE319" s="65"/>
      <c r="AF319" s="65"/>
      <c r="AG319" s="87">
        <v>31.88</v>
      </c>
      <c r="AH319" s="65"/>
      <c r="AI319" s="95">
        <v>12.63</v>
      </c>
      <c r="AJ319" s="68"/>
      <c r="AK319" s="98">
        <f t="shared" si="50"/>
        <v>1041.2000000000003</v>
      </c>
      <c r="AL319" s="72">
        <f>AK319</f>
        <v>1041.2000000000003</v>
      </c>
      <c r="AM319" s="62"/>
      <c r="AN319" s="29">
        <f>AL319</f>
        <v>1041.2000000000003</v>
      </c>
      <c r="AO319" s="3"/>
      <c r="AP319" s="3"/>
      <c r="AQ319" s="3"/>
      <c r="AR319" s="3"/>
      <c r="AS319" s="3"/>
    </row>
    <row r="320" spans="3:45" ht="12.75" x14ac:dyDescent="0.2">
      <c r="C320" s="580"/>
      <c r="D320" s="81" t="s">
        <v>43</v>
      </c>
      <c r="E320" s="62" t="s">
        <v>19</v>
      </c>
      <c r="F320" s="264"/>
      <c r="G320" s="61"/>
      <c r="H320" s="264"/>
      <c r="I320" s="62"/>
      <c r="J320" s="62"/>
      <c r="K320" s="62"/>
      <c r="L320" s="62"/>
      <c r="M320" s="62"/>
      <c r="N320" s="61"/>
      <c r="O320" s="264"/>
      <c r="P320" s="62"/>
      <c r="Q320" s="62"/>
      <c r="R320" s="62"/>
      <c r="S320" s="62"/>
      <c r="T320" s="62"/>
      <c r="U320" s="61"/>
      <c r="V320" s="264"/>
      <c r="W320" s="62"/>
      <c r="X320" s="62"/>
      <c r="Y320" s="62"/>
      <c r="Z320" s="62"/>
      <c r="AA320" s="62"/>
      <c r="AB320" s="61"/>
      <c r="AC320" s="264"/>
      <c r="AD320" s="62"/>
      <c r="AE320" s="62"/>
      <c r="AF320" s="62"/>
      <c r="AG320" s="62"/>
      <c r="AH320" s="62"/>
      <c r="AI320" s="61"/>
      <c r="AJ320" s="61"/>
      <c r="AK320" s="128">
        <f t="shared" si="50"/>
        <v>0</v>
      </c>
      <c r="AL320" s="65"/>
      <c r="AM320" s="66">
        <f>AK320</f>
        <v>0</v>
      </c>
      <c r="AN320" s="29">
        <f>AM320</f>
        <v>0</v>
      </c>
      <c r="AO320" s="3"/>
      <c r="AP320" s="3"/>
      <c r="AQ320" s="3"/>
      <c r="AR320" s="3"/>
      <c r="AS320" s="3"/>
    </row>
    <row r="321" spans="3:45" ht="12.75" x14ac:dyDescent="0.2">
      <c r="C321" s="580"/>
      <c r="D321" s="584" t="s">
        <v>44</v>
      </c>
      <c r="E321" s="65" t="s">
        <v>18</v>
      </c>
      <c r="F321" s="114"/>
      <c r="G321" s="68"/>
      <c r="H321" s="114"/>
      <c r="I321" s="65"/>
      <c r="J321" s="65"/>
      <c r="K321" s="65"/>
      <c r="L321" s="65"/>
      <c r="M321" s="65"/>
      <c r="N321" s="68"/>
      <c r="O321" s="114"/>
      <c r="P321" s="65"/>
      <c r="Q321" s="65"/>
      <c r="R321" s="65"/>
      <c r="S321" s="65"/>
      <c r="T321" s="65"/>
      <c r="U321" s="68"/>
      <c r="V321" s="114"/>
      <c r="W321" s="65"/>
      <c r="X321" s="65"/>
      <c r="Y321" s="65"/>
      <c r="Z321" s="65"/>
      <c r="AA321" s="65"/>
      <c r="AB321" s="68"/>
      <c r="AC321" s="114"/>
      <c r="AD321" s="65"/>
      <c r="AE321" s="65"/>
      <c r="AF321" s="65"/>
      <c r="AG321" s="65"/>
      <c r="AH321" s="65"/>
      <c r="AI321" s="68"/>
      <c r="AJ321" s="68"/>
      <c r="AK321" s="98">
        <f t="shared" si="50"/>
        <v>0</v>
      </c>
      <c r="AL321" s="96">
        <f>AK321</f>
        <v>0</v>
      </c>
      <c r="AM321" s="97"/>
      <c r="AN321" s="582">
        <f>SUM(AL321:AM322)</f>
        <v>0</v>
      </c>
      <c r="AO321" s="3"/>
      <c r="AP321" s="3"/>
      <c r="AQ321" s="3"/>
      <c r="AR321" s="3"/>
      <c r="AS321" s="3"/>
    </row>
    <row r="322" spans="3:45" ht="12.75" x14ac:dyDescent="0.2">
      <c r="C322" s="581"/>
      <c r="D322" s="585"/>
      <c r="E322" s="62" t="s">
        <v>19</v>
      </c>
      <c r="F322" s="265"/>
      <c r="G322" s="100"/>
      <c r="H322" s="264"/>
      <c r="I322" s="284"/>
      <c r="J322" s="284"/>
      <c r="K322" s="284"/>
      <c r="L322" s="284"/>
      <c r="M322" s="284"/>
      <c r="N322" s="100"/>
      <c r="O322" s="265"/>
      <c r="P322" s="284"/>
      <c r="Q322" s="284"/>
      <c r="R322" s="284"/>
      <c r="S322" s="284"/>
      <c r="T322" s="284"/>
      <c r="U322" s="100"/>
      <c r="V322" s="265"/>
      <c r="W322" s="284"/>
      <c r="X322" s="284"/>
      <c r="Y322" s="284"/>
      <c r="Z322" s="284"/>
      <c r="AA322" s="284"/>
      <c r="AB322" s="100"/>
      <c r="AC322" s="265"/>
      <c r="AD322" s="284"/>
      <c r="AE322" s="284"/>
      <c r="AF322" s="284"/>
      <c r="AG322" s="62"/>
      <c r="AH322" s="62"/>
      <c r="AI322" s="61"/>
      <c r="AJ322" s="100"/>
      <c r="AK322" s="128">
        <f t="shared" si="50"/>
        <v>0</v>
      </c>
      <c r="AL322" s="93"/>
      <c r="AM322" s="94">
        <f>AK322</f>
        <v>0</v>
      </c>
      <c r="AN322" s="583"/>
      <c r="AO322" s="3"/>
      <c r="AP322" s="3"/>
      <c r="AQ322" s="3"/>
      <c r="AR322" s="3"/>
      <c r="AS322" s="3"/>
    </row>
    <row r="323" spans="3:45" ht="12.75" x14ac:dyDescent="0.2">
      <c r="C323" s="627" t="s">
        <v>45</v>
      </c>
      <c r="D323" s="599" t="s">
        <v>46</v>
      </c>
      <c r="E323" s="105" t="s">
        <v>18</v>
      </c>
      <c r="F323" s="96">
        <f>26.97-6.3</f>
        <v>20.669999999999998</v>
      </c>
      <c r="G323" s="103"/>
      <c r="H323" s="271"/>
      <c r="I323" s="72"/>
      <c r="J323" s="72">
        <f>26.49+3.62+7.64+5.97+12.38+1.32+2.19</f>
        <v>59.61</v>
      </c>
      <c r="K323" s="72"/>
      <c r="L323" s="72"/>
      <c r="M323" s="65">
        <f>1.54+1.52+5.25+4.59</f>
        <v>12.9</v>
      </c>
      <c r="N323" s="68">
        <f>2.85+2.59+5.02+3.83</f>
        <v>14.29</v>
      </c>
      <c r="O323" s="89"/>
      <c r="P323" s="65">
        <f>8.57+2.39+4.59</f>
        <v>15.55</v>
      </c>
      <c r="Q323" s="65">
        <f>2.39+4.49+3.66+7.72</f>
        <v>18.260000000000002</v>
      </c>
      <c r="R323" s="72"/>
      <c r="S323" s="65"/>
      <c r="T323" s="72"/>
      <c r="U323" s="68">
        <f>0.98+2.29-0.12-0.28</f>
        <v>2.87</v>
      </c>
      <c r="V323" s="89"/>
      <c r="W323" s="72"/>
      <c r="X323" s="72"/>
      <c r="Y323" s="70">
        <f>22.99+0.52+3.77+7.72+9.72+1.66+1.66</f>
        <v>48.039999999999992</v>
      </c>
      <c r="Z323" s="70">
        <v>3.26</v>
      </c>
      <c r="AA323" s="72">
        <f>0.06</f>
        <v>0.06</v>
      </c>
      <c r="AB323" s="68"/>
      <c r="AC323" s="89"/>
      <c r="AD323" s="70"/>
      <c r="AE323" s="65"/>
      <c r="AF323" s="65"/>
      <c r="AG323" s="105"/>
      <c r="AH323" s="105"/>
      <c r="AI323" s="103"/>
      <c r="AJ323" s="103"/>
      <c r="AK323" s="98">
        <f t="shared" si="50"/>
        <v>195.51</v>
      </c>
      <c r="AL323" s="96">
        <f>AK323</f>
        <v>195.51</v>
      </c>
      <c r="AM323" s="97"/>
      <c r="AN323" s="582">
        <f>SUM(AL323:AM324)</f>
        <v>254.54</v>
      </c>
      <c r="AO323" s="3"/>
      <c r="AP323" s="3"/>
      <c r="AQ323" s="3"/>
      <c r="AR323" s="3"/>
      <c r="AS323" s="3"/>
    </row>
    <row r="324" spans="3:45" ht="12.75" x14ac:dyDescent="0.2">
      <c r="C324" s="580"/>
      <c r="D324" s="577"/>
      <c r="E324" s="62" t="s">
        <v>19</v>
      </c>
      <c r="F324" s="264"/>
      <c r="G324" s="61">
        <f>0.51+0.04+7.19+2.62+2.69-0.27</f>
        <v>12.78</v>
      </c>
      <c r="H324" s="264"/>
      <c r="I324" s="62"/>
      <c r="J324" s="62"/>
      <c r="K324" s="62"/>
      <c r="L324" s="62"/>
      <c r="M324" s="62"/>
      <c r="N324" s="61"/>
      <c r="O324" s="264"/>
      <c r="P324" s="62"/>
      <c r="Q324" s="62"/>
      <c r="R324" s="62"/>
      <c r="S324" s="62"/>
      <c r="T324" s="62"/>
      <c r="U324" s="61"/>
      <c r="V324" s="264"/>
      <c r="W324" s="62"/>
      <c r="X324" s="62"/>
      <c r="Y324" s="62"/>
      <c r="Z324" s="62">
        <f>6-0.42-3.26+0.59</f>
        <v>2.91</v>
      </c>
      <c r="AA324" s="62">
        <f>2.69+0.39+6-0.6</f>
        <v>8.48</v>
      </c>
      <c r="AB324" s="61"/>
      <c r="AC324" s="264">
        <f>7.29</f>
        <v>7.29</v>
      </c>
      <c r="AD324" s="91">
        <v>7.29</v>
      </c>
      <c r="AE324" s="62"/>
      <c r="AF324" s="62"/>
      <c r="AG324" s="62"/>
      <c r="AH324" s="91">
        <v>20.28</v>
      </c>
      <c r="AI324" s="61"/>
      <c r="AJ324" s="61"/>
      <c r="AK324" s="128">
        <f t="shared" si="50"/>
        <v>59.03</v>
      </c>
      <c r="AL324" s="93"/>
      <c r="AM324" s="94">
        <f>AK324</f>
        <v>59.03</v>
      </c>
      <c r="AN324" s="583"/>
      <c r="AO324" s="3"/>
      <c r="AP324" s="3"/>
      <c r="AQ324" s="3"/>
      <c r="AR324" s="3"/>
      <c r="AS324" s="3"/>
    </row>
    <row r="325" spans="3:45" ht="12.75" x14ac:dyDescent="0.2">
      <c r="C325" s="580"/>
      <c r="D325" s="591" t="s">
        <v>47</v>
      </c>
      <c r="E325" s="65" t="s">
        <v>18</v>
      </c>
      <c r="F325" s="267"/>
      <c r="G325" s="99"/>
      <c r="H325" s="89"/>
      <c r="I325" s="72"/>
      <c r="J325" s="72">
        <f>4.98+2.49+2.49+1.19+0.79+0.79+0.79+0.79+1.39</f>
        <v>15.7</v>
      </c>
      <c r="K325" s="87">
        <v>17.440000000000001</v>
      </c>
      <c r="L325" s="65"/>
      <c r="M325" s="72">
        <f>1.8+1.98+2.7+1.7+1.75</f>
        <v>9.93</v>
      </c>
      <c r="N325" s="88">
        <f>0.99+(0.89*4)</f>
        <v>4.55</v>
      </c>
      <c r="O325" s="89"/>
      <c r="P325" s="72">
        <f>2.69+(0.93*6)-0.41</f>
        <v>7.8599999999999994</v>
      </c>
      <c r="Q325" s="72">
        <f>(1.86*3)+4.99</f>
        <v>10.57</v>
      </c>
      <c r="R325" s="72">
        <f>0.93*2</f>
        <v>1.86</v>
      </c>
      <c r="S325" s="87">
        <v>1.86</v>
      </c>
      <c r="T325" s="72"/>
      <c r="U325" s="88">
        <f>1.15+(0.93*6)-0.14-(0.11*5)-0.13</f>
        <v>5.910000000000001</v>
      </c>
      <c r="V325" s="270">
        <v>3.16</v>
      </c>
      <c r="W325" s="70"/>
      <c r="X325" s="70">
        <v>2.61</v>
      </c>
      <c r="Y325" s="72">
        <f>3.25+1.43+(0.93*4)</f>
        <v>8.4</v>
      </c>
      <c r="Z325" s="72"/>
      <c r="AA325" s="72"/>
      <c r="AB325" s="88"/>
      <c r="AC325" s="270">
        <v>0.77</v>
      </c>
      <c r="AD325" s="72"/>
      <c r="AE325" s="70"/>
      <c r="AF325" s="72"/>
      <c r="AG325" s="65"/>
      <c r="AH325" s="65"/>
      <c r="AI325" s="68"/>
      <c r="AJ325" s="68"/>
      <c r="AK325" s="98">
        <f t="shared" si="50"/>
        <v>90.61999999999999</v>
      </c>
      <c r="AL325" s="96">
        <f>AK325</f>
        <v>90.61999999999999</v>
      </c>
      <c r="AM325" s="97"/>
      <c r="AN325" s="593">
        <f>SUM(AL325:AM326)</f>
        <v>148.44</v>
      </c>
      <c r="AO325" s="3"/>
      <c r="AP325" s="3"/>
      <c r="AQ325" s="3"/>
      <c r="AR325" s="3"/>
      <c r="AS325" s="3"/>
    </row>
    <row r="326" spans="3:45" ht="12.75" x14ac:dyDescent="0.2">
      <c r="C326" s="580"/>
      <c r="D326" s="577"/>
      <c r="E326" s="62" t="s">
        <v>19</v>
      </c>
      <c r="F326" s="264"/>
      <c r="G326" s="112">
        <v>3.72</v>
      </c>
      <c r="H326" s="268">
        <v>11.3</v>
      </c>
      <c r="I326" s="62"/>
      <c r="J326" s="66"/>
      <c r="K326" s="62"/>
      <c r="L326" s="62"/>
      <c r="M326" s="63">
        <v>11</v>
      </c>
      <c r="N326" s="112"/>
      <c r="O326" s="264"/>
      <c r="P326" s="66"/>
      <c r="Q326" s="66"/>
      <c r="R326" s="62"/>
      <c r="S326" s="62"/>
      <c r="T326" s="66"/>
      <c r="U326" s="92"/>
      <c r="V326" s="264"/>
      <c r="W326" s="62"/>
      <c r="X326" s="62"/>
      <c r="Y326" s="91">
        <v>2.41</v>
      </c>
      <c r="Z326" s="62">
        <f>2.19-0.15+0.93-0.07+0.93-0.07</f>
        <v>3.7600000000000007</v>
      </c>
      <c r="AA326" s="62">
        <f>2.79+2.79</f>
        <v>5.58</v>
      </c>
      <c r="AB326" s="112">
        <v>4.38</v>
      </c>
      <c r="AC326" s="264">
        <f>3.48-0.77</f>
        <v>2.71</v>
      </c>
      <c r="AD326" s="62">
        <f>0.93*4</f>
        <v>3.72</v>
      </c>
      <c r="AE326" s="62"/>
      <c r="AF326" s="62"/>
      <c r="AG326" s="62"/>
      <c r="AH326" s="91">
        <v>3.72</v>
      </c>
      <c r="AI326" s="61">
        <f>0.92*6</f>
        <v>5.5200000000000005</v>
      </c>
      <c r="AJ326" s="61"/>
      <c r="AK326" s="128">
        <f t="shared" si="50"/>
        <v>57.820000000000007</v>
      </c>
      <c r="AL326" s="93"/>
      <c r="AM326" s="94">
        <f>AK326</f>
        <v>57.820000000000007</v>
      </c>
      <c r="AN326" s="583"/>
      <c r="AO326" s="3"/>
      <c r="AP326" s="3"/>
      <c r="AQ326" s="3"/>
      <c r="AR326" s="3"/>
      <c r="AS326" s="3"/>
    </row>
    <row r="327" spans="3:45" ht="12.75" x14ac:dyDescent="0.2">
      <c r="C327" s="580"/>
      <c r="D327" s="591" t="s">
        <v>48</v>
      </c>
      <c r="E327" s="65" t="s">
        <v>18</v>
      </c>
      <c r="F327" s="267"/>
      <c r="G327" s="95"/>
      <c r="H327" s="114"/>
      <c r="I327" s="65"/>
      <c r="J327" s="65"/>
      <c r="K327" s="87"/>
      <c r="L327" s="65"/>
      <c r="M327" s="65"/>
      <c r="N327" s="68"/>
      <c r="O327" s="267">
        <v>2.2200000000000002</v>
      </c>
      <c r="P327" s="65"/>
      <c r="Q327" s="65"/>
      <c r="R327" s="87">
        <v>2.2200000000000002</v>
      </c>
      <c r="S327" s="87"/>
      <c r="T327" s="65"/>
      <c r="U327" s="68"/>
      <c r="V327" s="267">
        <v>16.13</v>
      </c>
      <c r="W327" s="65"/>
      <c r="X327" s="65"/>
      <c r="Y327" s="87"/>
      <c r="Z327" s="87">
        <v>2.2200000000000002</v>
      </c>
      <c r="AA327" s="65"/>
      <c r="AB327" s="68"/>
      <c r="AC327" s="89"/>
      <c r="AD327" s="72"/>
      <c r="AE327" s="65"/>
      <c r="AF327" s="65"/>
      <c r="AG327" s="65"/>
      <c r="AH327" s="65"/>
      <c r="AI327" s="68"/>
      <c r="AJ327" s="68"/>
      <c r="AK327" s="98">
        <f t="shared" si="50"/>
        <v>22.79</v>
      </c>
      <c r="AL327" s="96">
        <f>AK327</f>
        <v>22.79</v>
      </c>
      <c r="AM327" s="97"/>
      <c r="AN327" s="582">
        <f>SUM(AL327:AM328)</f>
        <v>32.01</v>
      </c>
      <c r="AO327" s="3"/>
      <c r="AP327" s="3"/>
      <c r="AQ327" s="3"/>
      <c r="AR327" s="3"/>
      <c r="AS327" s="3"/>
    </row>
    <row r="328" spans="3:45" ht="12.75" x14ac:dyDescent="0.2">
      <c r="C328" s="580"/>
      <c r="D328" s="577"/>
      <c r="E328" s="62" t="s">
        <v>19</v>
      </c>
      <c r="F328" s="264"/>
      <c r="G328" s="61"/>
      <c r="H328" s="268">
        <v>2.2200000000000002</v>
      </c>
      <c r="I328" s="62"/>
      <c r="J328" s="62"/>
      <c r="K328" s="62"/>
      <c r="L328" s="62"/>
      <c r="M328" s="62"/>
      <c r="N328" s="61"/>
      <c r="O328" s="264"/>
      <c r="P328" s="62"/>
      <c r="Q328" s="62"/>
      <c r="R328" s="62"/>
      <c r="S328" s="62"/>
      <c r="T328" s="62"/>
      <c r="U328" s="61"/>
      <c r="V328" s="264"/>
      <c r="W328" s="62"/>
      <c r="X328" s="62"/>
      <c r="Y328" s="62"/>
      <c r="Z328" s="62"/>
      <c r="AA328" s="62"/>
      <c r="AB328" s="61"/>
      <c r="AC328" s="264"/>
      <c r="AD328" s="62"/>
      <c r="AE328" s="62"/>
      <c r="AF328" s="62"/>
      <c r="AG328" s="91">
        <v>7</v>
      </c>
      <c r="AH328" s="62"/>
      <c r="AI328" s="61"/>
      <c r="AJ328" s="61"/>
      <c r="AK328" s="128">
        <f t="shared" si="50"/>
        <v>9.2200000000000006</v>
      </c>
      <c r="AL328" s="93"/>
      <c r="AM328" s="94">
        <f>AK328</f>
        <v>9.2200000000000006</v>
      </c>
      <c r="AN328" s="583"/>
      <c r="AO328" s="3"/>
      <c r="AP328" s="3"/>
      <c r="AQ328" s="3"/>
      <c r="AR328" s="3"/>
      <c r="AS328" s="3"/>
    </row>
    <row r="329" spans="3:45" ht="12.75" x14ac:dyDescent="0.2">
      <c r="C329" s="580"/>
      <c r="D329" s="591" t="s">
        <v>49</v>
      </c>
      <c r="E329" s="65" t="s">
        <v>18</v>
      </c>
      <c r="F329" s="114"/>
      <c r="G329" s="68"/>
      <c r="H329" s="114"/>
      <c r="I329" s="70"/>
      <c r="J329" s="70">
        <v>3.99</v>
      </c>
      <c r="K329" s="65"/>
      <c r="L329" s="65"/>
      <c r="M329" s="65"/>
      <c r="N329" s="95">
        <v>2.59</v>
      </c>
      <c r="O329" s="267">
        <v>4</v>
      </c>
      <c r="P329" s="65">
        <f>3.19-0.48</f>
        <v>2.71</v>
      </c>
      <c r="Q329" s="87">
        <v>10</v>
      </c>
      <c r="R329" s="65"/>
      <c r="S329" s="65"/>
      <c r="T329" s="87"/>
      <c r="U329" s="68"/>
      <c r="V329" s="89"/>
      <c r="W329" s="72"/>
      <c r="X329" s="72"/>
      <c r="Y329" s="65"/>
      <c r="Z329" s="87">
        <v>10</v>
      </c>
      <c r="AA329" s="65"/>
      <c r="AB329" s="88"/>
      <c r="AC329" s="270">
        <v>4</v>
      </c>
      <c r="AD329" s="87"/>
      <c r="AE329" s="72"/>
      <c r="AF329" s="65"/>
      <c r="AG329" s="65"/>
      <c r="AH329" s="65"/>
      <c r="AI329" s="68"/>
      <c r="AJ329" s="68"/>
      <c r="AK329" s="98">
        <f t="shared" si="50"/>
        <v>37.29</v>
      </c>
      <c r="AL329" s="96">
        <f>AK329</f>
        <v>37.29</v>
      </c>
      <c r="AM329" s="97"/>
      <c r="AN329" s="582">
        <f>SUM(AL329:AM330)</f>
        <v>78.87</v>
      </c>
      <c r="AO329" s="3"/>
      <c r="AP329" s="3"/>
      <c r="AQ329" s="3"/>
      <c r="AR329" s="3"/>
      <c r="AS329" s="3"/>
    </row>
    <row r="330" spans="3:45" ht="12.75" x14ac:dyDescent="0.2">
      <c r="C330" s="580"/>
      <c r="D330" s="577"/>
      <c r="E330" s="62" t="s">
        <v>19</v>
      </c>
      <c r="F330" s="269">
        <v>5</v>
      </c>
      <c r="G330" s="316">
        <v>4</v>
      </c>
      <c r="H330" s="264"/>
      <c r="I330" s="62"/>
      <c r="J330" s="62"/>
      <c r="K330" s="91"/>
      <c r="L330" s="66"/>
      <c r="M330" s="66"/>
      <c r="N330" s="92"/>
      <c r="O330" s="272"/>
      <c r="P330" s="66"/>
      <c r="Q330" s="66"/>
      <c r="R330" s="62"/>
      <c r="S330" s="62"/>
      <c r="T330" s="62"/>
      <c r="U330" s="61"/>
      <c r="V330" s="264"/>
      <c r="W330" s="91"/>
      <c r="X330" s="91">
        <v>4</v>
      </c>
      <c r="Y330" s="62">
        <f>3.19-0.61</f>
        <v>2.58</v>
      </c>
      <c r="Z330" s="62"/>
      <c r="AA330" s="91">
        <v>8</v>
      </c>
      <c r="AB330" s="61"/>
      <c r="AC330" s="264"/>
      <c r="AD330" s="62"/>
      <c r="AE330" s="62"/>
      <c r="AF330" s="91">
        <v>10</v>
      </c>
      <c r="AG330" s="91">
        <v>8</v>
      </c>
      <c r="AH330" s="62"/>
      <c r="AI330" s="61"/>
      <c r="AJ330" s="61"/>
      <c r="AK330" s="128">
        <f t="shared" si="50"/>
        <v>41.58</v>
      </c>
      <c r="AL330" s="93"/>
      <c r="AM330" s="94">
        <f>AK330</f>
        <v>41.58</v>
      </c>
      <c r="AN330" s="583"/>
      <c r="AO330" s="3"/>
      <c r="AP330" s="3"/>
      <c r="AQ330" s="3"/>
      <c r="AR330" s="3"/>
      <c r="AS330" s="3"/>
    </row>
    <row r="331" spans="3:45" ht="12.75" x14ac:dyDescent="0.2">
      <c r="C331" s="580"/>
      <c r="D331" s="592" t="s">
        <v>50</v>
      </c>
      <c r="E331" s="65" t="s">
        <v>18</v>
      </c>
      <c r="F331" s="267">
        <v>6.3</v>
      </c>
      <c r="G331" s="99"/>
      <c r="H331" s="89"/>
      <c r="I331" s="70"/>
      <c r="J331" s="65"/>
      <c r="K331" s="70">
        <v>6.3</v>
      </c>
      <c r="L331" s="87"/>
      <c r="M331" s="87"/>
      <c r="N331" s="99"/>
      <c r="O331" s="270"/>
      <c r="P331" s="70"/>
      <c r="Q331" s="65"/>
      <c r="R331" s="70">
        <v>6.3</v>
      </c>
      <c r="S331" s="87">
        <f>6.3*4</f>
        <v>25.2</v>
      </c>
      <c r="T331" s="72"/>
      <c r="U331" s="99"/>
      <c r="V331" s="89"/>
      <c r="W331" s="70"/>
      <c r="X331" s="70"/>
      <c r="Y331" s="70">
        <f>6.3*4</f>
        <v>25.2</v>
      </c>
      <c r="Z331" s="72"/>
      <c r="AA331" s="72"/>
      <c r="AB331" s="88"/>
      <c r="AC331" s="270">
        <v>0.8</v>
      </c>
      <c r="AD331" s="72"/>
      <c r="AE331" s="72"/>
      <c r="AF331" s="87"/>
      <c r="AG331" s="65"/>
      <c r="AH331" s="65"/>
      <c r="AI331" s="68"/>
      <c r="AJ331" s="68"/>
      <c r="AK331" s="98">
        <f t="shared" si="50"/>
        <v>70.099999999999994</v>
      </c>
      <c r="AL331" s="96">
        <f>AK331</f>
        <v>70.099999999999994</v>
      </c>
      <c r="AM331" s="97"/>
      <c r="AN331" s="582">
        <f>SUM(AL331:AM332)</f>
        <v>167.79999999999998</v>
      </c>
      <c r="AO331" s="3"/>
      <c r="AP331" s="3"/>
      <c r="AQ331" s="3"/>
      <c r="AR331" s="3"/>
      <c r="AS331" s="3"/>
    </row>
    <row r="332" spans="3:45" ht="12.75" x14ac:dyDescent="0.2">
      <c r="C332" s="580"/>
      <c r="D332" s="577"/>
      <c r="E332" s="62" t="s">
        <v>19</v>
      </c>
      <c r="F332" s="269"/>
      <c r="G332" s="316">
        <v>37.799999999999997</v>
      </c>
      <c r="H332" s="264"/>
      <c r="I332" s="62"/>
      <c r="J332" s="62"/>
      <c r="K332" s="62"/>
      <c r="L332" s="62"/>
      <c r="M332" s="66"/>
      <c r="N332" s="61"/>
      <c r="O332" s="268">
        <v>12.6</v>
      </c>
      <c r="P332" s="62"/>
      <c r="Q332" s="66"/>
      <c r="R332" s="62"/>
      <c r="S332" s="91">
        <v>4</v>
      </c>
      <c r="T332" s="66"/>
      <c r="U332" s="61"/>
      <c r="V332" s="264"/>
      <c r="W332" s="91"/>
      <c r="X332" s="91">
        <v>6.3</v>
      </c>
      <c r="Y332" s="62"/>
      <c r="Z332" s="62"/>
      <c r="AA332" s="62"/>
      <c r="AB332" s="61"/>
      <c r="AC332" s="268">
        <v>37</v>
      </c>
      <c r="AD332" s="62"/>
      <c r="AE332" s="62"/>
      <c r="AF332" s="62"/>
      <c r="AG332" s="62"/>
      <c r="AH332" s="62"/>
      <c r="AI332" s="61"/>
      <c r="AJ332" s="61"/>
      <c r="AK332" s="128">
        <f t="shared" si="50"/>
        <v>97.699999999999989</v>
      </c>
      <c r="AL332" s="93"/>
      <c r="AM332" s="94">
        <f>AK332</f>
        <v>97.699999999999989</v>
      </c>
      <c r="AN332" s="583"/>
      <c r="AO332" s="3"/>
      <c r="AP332" s="3"/>
      <c r="AQ332" s="3"/>
      <c r="AR332" s="3"/>
      <c r="AS332" s="3"/>
    </row>
    <row r="333" spans="3:45" ht="12.75" x14ac:dyDescent="0.2">
      <c r="C333" s="580"/>
      <c r="D333" s="592" t="s">
        <v>1</v>
      </c>
      <c r="E333" s="65" t="s">
        <v>18</v>
      </c>
      <c r="F333" s="114"/>
      <c r="G333" s="68"/>
      <c r="H333" s="114"/>
      <c r="I333" s="65"/>
      <c r="J333" s="65"/>
      <c r="K333" s="72"/>
      <c r="L333" s="65"/>
      <c r="M333" s="65"/>
      <c r="N333" s="68"/>
      <c r="O333" s="114"/>
      <c r="P333" s="65"/>
      <c r="Q333" s="65"/>
      <c r="R333" s="72"/>
      <c r="S333" s="65"/>
      <c r="T333" s="65"/>
      <c r="U333" s="68"/>
      <c r="V333" s="267"/>
      <c r="W333" s="87"/>
      <c r="X333" s="65"/>
      <c r="Y333" s="65"/>
      <c r="Z333" s="65"/>
      <c r="AA333" s="87"/>
      <c r="AB333" s="68"/>
      <c r="AC333" s="114"/>
      <c r="AD333" s="65"/>
      <c r="AE333" s="65"/>
      <c r="AF333" s="72"/>
      <c r="AG333" s="65"/>
      <c r="AH333" s="65"/>
      <c r="AI333" s="68"/>
      <c r="AJ333" s="68"/>
      <c r="AK333" s="98">
        <f t="shared" si="50"/>
        <v>0</v>
      </c>
      <c r="AL333" s="89">
        <f>AK333</f>
        <v>0</v>
      </c>
      <c r="AM333" s="62"/>
      <c r="AN333" s="582">
        <f>SUM(AL333:AM334)</f>
        <v>0</v>
      </c>
      <c r="AO333" s="3"/>
      <c r="AP333" s="3"/>
      <c r="AQ333" s="3"/>
      <c r="AR333" s="3"/>
      <c r="AS333" s="3"/>
    </row>
    <row r="334" spans="3:45" ht="12.75" x14ac:dyDescent="0.2">
      <c r="C334" s="580"/>
      <c r="D334" s="577"/>
      <c r="E334" s="62" t="s">
        <v>19</v>
      </c>
      <c r="F334" s="264"/>
      <c r="G334" s="61"/>
      <c r="H334" s="264"/>
      <c r="I334" s="62"/>
      <c r="J334" s="66"/>
      <c r="K334" s="62"/>
      <c r="L334" s="62"/>
      <c r="M334" s="62"/>
      <c r="N334" s="61"/>
      <c r="O334" s="264"/>
      <c r="P334" s="62"/>
      <c r="Q334" s="62"/>
      <c r="R334" s="62"/>
      <c r="S334" s="62"/>
      <c r="T334" s="62"/>
      <c r="U334" s="61"/>
      <c r="V334" s="264"/>
      <c r="W334" s="62"/>
      <c r="X334" s="62"/>
      <c r="Y334" s="62"/>
      <c r="Z334" s="62"/>
      <c r="AA334" s="62"/>
      <c r="AB334" s="61"/>
      <c r="AC334" s="264"/>
      <c r="AD334" s="62"/>
      <c r="AE334" s="62"/>
      <c r="AF334" s="62"/>
      <c r="AG334" s="62"/>
      <c r="AH334" s="62"/>
      <c r="AI334" s="61"/>
      <c r="AJ334" s="61"/>
      <c r="AK334" s="128">
        <f t="shared" si="50"/>
        <v>0</v>
      </c>
      <c r="AL334" s="114"/>
      <c r="AM334" s="66">
        <f>AK334</f>
        <v>0</v>
      </c>
      <c r="AN334" s="583"/>
      <c r="AO334" s="3"/>
      <c r="AP334" s="3"/>
      <c r="AQ334" s="3"/>
      <c r="AR334" s="3"/>
      <c r="AS334" s="3"/>
    </row>
    <row r="335" spans="3:45" ht="12.75" x14ac:dyDescent="0.2">
      <c r="C335" s="580"/>
      <c r="D335" s="576" t="s">
        <v>51</v>
      </c>
      <c r="E335" s="65" t="s">
        <v>18</v>
      </c>
      <c r="F335" s="114"/>
      <c r="G335" s="68"/>
      <c r="H335" s="114"/>
      <c r="I335" s="87"/>
      <c r="J335" s="65"/>
      <c r="K335" s="65"/>
      <c r="L335" s="65"/>
      <c r="M335" s="87"/>
      <c r="N335" s="68"/>
      <c r="O335" s="114"/>
      <c r="P335" s="65"/>
      <c r="Q335" s="65"/>
      <c r="R335" s="65"/>
      <c r="S335" s="65"/>
      <c r="T335" s="65"/>
      <c r="U335" s="68"/>
      <c r="V335" s="114"/>
      <c r="W335" s="65"/>
      <c r="X335" s="65"/>
      <c r="Y335" s="65"/>
      <c r="Z335" s="65"/>
      <c r="AA335" s="65"/>
      <c r="AB335" s="68"/>
      <c r="AC335" s="114"/>
      <c r="AD335" s="65"/>
      <c r="AE335" s="65"/>
      <c r="AF335" s="65"/>
      <c r="AG335" s="65"/>
      <c r="AH335" s="65"/>
      <c r="AI335" s="68"/>
      <c r="AJ335" s="68"/>
      <c r="AK335" s="98">
        <f t="shared" si="50"/>
        <v>0</v>
      </c>
      <c r="AL335" s="96">
        <f>AK335</f>
        <v>0</v>
      </c>
      <c r="AM335" s="97"/>
      <c r="AN335" s="586">
        <f>SUM(AL335:AM336)</f>
        <v>0</v>
      </c>
      <c r="AO335" s="3"/>
      <c r="AP335" s="3"/>
      <c r="AQ335" s="3"/>
      <c r="AR335" s="3"/>
      <c r="AS335" s="3"/>
    </row>
    <row r="336" spans="3:45" ht="12.75" x14ac:dyDescent="0.2">
      <c r="C336" s="580"/>
      <c r="D336" s="577"/>
      <c r="E336" s="62" t="s">
        <v>19</v>
      </c>
      <c r="F336" s="264"/>
      <c r="G336" s="61"/>
      <c r="H336" s="264"/>
      <c r="I336" s="62"/>
      <c r="J336" s="62"/>
      <c r="K336" s="62"/>
      <c r="L336" s="62"/>
      <c r="M336" s="62"/>
      <c r="N336" s="61"/>
      <c r="O336" s="264"/>
      <c r="P336" s="62"/>
      <c r="Q336" s="62"/>
      <c r="R336" s="62"/>
      <c r="S336" s="62"/>
      <c r="T336" s="62"/>
      <c r="U336" s="61"/>
      <c r="V336" s="264"/>
      <c r="W336" s="62"/>
      <c r="X336" s="62"/>
      <c r="Y336" s="62"/>
      <c r="Z336" s="62"/>
      <c r="AA336" s="62"/>
      <c r="AB336" s="61"/>
      <c r="AC336" s="264"/>
      <c r="AD336" s="62"/>
      <c r="AE336" s="62"/>
      <c r="AF336" s="62"/>
      <c r="AG336" s="62"/>
      <c r="AH336" s="62"/>
      <c r="AI336" s="61"/>
      <c r="AJ336" s="61"/>
      <c r="AK336" s="128">
        <f t="shared" si="50"/>
        <v>0</v>
      </c>
      <c r="AL336" s="93"/>
      <c r="AM336" s="94">
        <f>AK336</f>
        <v>0</v>
      </c>
      <c r="AN336" s="583"/>
      <c r="AO336" s="3"/>
      <c r="AP336" s="3"/>
      <c r="AQ336" s="3"/>
      <c r="AR336" s="3"/>
      <c r="AS336" s="3"/>
    </row>
    <row r="337" spans="3:45" ht="12.75" x14ac:dyDescent="0.2">
      <c r="C337" s="580"/>
      <c r="D337" s="576" t="s">
        <v>52</v>
      </c>
      <c r="E337" s="65" t="s">
        <v>18</v>
      </c>
      <c r="F337" s="114"/>
      <c r="G337" s="68"/>
      <c r="H337" s="114"/>
      <c r="I337" s="65"/>
      <c r="J337" s="65"/>
      <c r="K337" s="65"/>
      <c r="L337" s="65"/>
      <c r="M337" s="65"/>
      <c r="N337" s="68"/>
      <c r="O337" s="114"/>
      <c r="P337" s="65"/>
      <c r="Q337" s="65"/>
      <c r="R337" s="65"/>
      <c r="S337" s="65"/>
      <c r="T337" s="65"/>
      <c r="U337" s="68"/>
      <c r="V337" s="114"/>
      <c r="W337" s="87"/>
      <c r="X337" s="65"/>
      <c r="Y337" s="65"/>
      <c r="Z337" s="65"/>
      <c r="AA337" s="87">
        <v>4.79</v>
      </c>
      <c r="AB337" s="68"/>
      <c r="AC337" s="114"/>
      <c r="AD337" s="65"/>
      <c r="AE337" s="65"/>
      <c r="AF337" s="65"/>
      <c r="AG337" s="65"/>
      <c r="AH337" s="65"/>
      <c r="AI337" s="68"/>
      <c r="AJ337" s="68"/>
      <c r="AK337" s="98">
        <f t="shared" si="50"/>
        <v>4.79</v>
      </c>
      <c r="AL337" s="96">
        <f>AK337</f>
        <v>4.79</v>
      </c>
      <c r="AM337" s="97"/>
      <c r="AN337" s="582">
        <f>SUM(AL337:AM338)</f>
        <v>4.79</v>
      </c>
      <c r="AO337" s="3"/>
      <c r="AP337" s="3"/>
      <c r="AQ337" s="3"/>
      <c r="AR337" s="3"/>
      <c r="AS337" s="3"/>
    </row>
    <row r="338" spans="3:45" ht="12.75" x14ac:dyDescent="0.2">
      <c r="C338" s="581"/>
      <c r="D338" s="585"/>
      <c r="E338" s="62" t="s">
        <v>19</v>
      </c>
      <c r="F338" s="264"/>
      <c r="G338" s="61"/>
      <c r="H338" s="264"/>
      <c r="I338" s="284"/>
      <c r="J338" s="284"/>
      <c r="K338" s="284"/>
      <c r="L338" s="284"/>
      <c r="M338" s="284"/>
      <c r="N338" s="100"/>
      <c r="O338" s="265"/>
      <c r="P338" s="284"/>
      <c r="Q338" s="284"/>
      <c r="R338" s="284"/>
      <c r="S338" s="284"/>
      <c r="T338" s="284"/>
      <c r="U338" s="100"/>
      <c r="V338" s="265"/>
      <c r="W338" s="284"/>
      <c r="X338" s="284"/>
      <c r="Y338" s="284"/>
      <c r="Z338" s="284"/>
      <c r="AA338" s="286"/>
      <c r="AB338" s="100"/>
      <c r="AC338" s="265"/>
      <c r="AD338" s="284"/>
      <c r="AE338" s="284"/>
      <c r="AF338" s="284"/>
      <c r="AG338" s="62"/>
      <c r="AH338" s="62"/>
      <c r="AI338" s="61"/>
      <c r="AJ338" s="61"/>
      <c r="AK338" s="128">
        <f t="shared" si="50"/>
        <v>0</v>
      </c>
      <c r="AL338" s="93"/>
      <c r="AM338" s="94">
        <f>AK338</f>
        <v>0</v>
      </c>
      <c r="AN338" s="583"/>
      <c r="AO338" s="3"/>
      <c r="AP338" s="3"/>
      <c r="AQ338" s="3"/>
      <c r="AR338" s="3"/>
      <c r="AS338" s="3"/>
    </row>
    <row r="339" spans="3:45" ht="12.75" x14ac:dyDescent="0.2">
      <c r="C339" s="627" t="s">
        <v>53</v>
      </c>
      <c r="D339" s="115" t="s">
        <v>54</v>
      </c>
      <c r="E339" s="105" t="s">
        <v>18</v>
      </c>
      <c r="F339" s="271"/>
      <c r="G339" s="103"/>
      <c r="H339" s="271"/>
      <c r="I339" s="65"/>
      <c r="J339" s="65"/>
      <c r="K339" s="65"/>
      <c r="L339" s="65"/>
      <c r="M339" s="65"/>
      <c r="N339" s="68"/>
      <c r="O339" s="114"/>
      <c r="P339" s="65"/>
      <c r="Q339" s="65"/>
      <c r="R339" s="65"/>
      <c r="S339" s="65"/>
      <c r="T339" s="72"/>
      <c r="U339" s="68"/>
      <c r="V339" s="114"/>
      <c r="W339" s="72"/>
      <c r="X339" s="65"/>
      <c r="Y339" s="65"/>
      <c r="Z339" s="72"/>
      <c r="AA339" s="65"/>
      <c r="AB339" s="68"/>
      <c r="AC339" s="114"/>
      <c r="AD339" s="65"/>
      <c r="AE339" s="65"/>
      <c r="AF339" s="65"/>
      <c r="AG339" s="105"/>
      <c r="AH339" s="105"/>
      <c r="AI339" s="103"/>
      <c r="AJ339" s="103"/>
      <c r="AK339" s="98">
        <f t="shared" si="50"/>
        <v>0</v>
      </c>
      <c r="AL339" s="72">
        <f t="shared" ref="AL339:AL340" si="53">AK339</f>
        <v>0</v>
      </c>
      <c r="AM339" s="62"/>
      <c r="AN339" s="29">
        <f>AL339</f>
        <v>0</v>
      </c>
      <c r="AO339" s="3"/>
      <c r="AP339" s="3"/>
      <c r="AQ339" s="3"/>
      <c r="AR339" s="3"/>
      <c r="AS339" s="3"/>
    </row>
    <row r="340" spans="3:45" ht="12.75" x14ac:dyDescent="0.2">
      <c r="C340" s="580"/>
      <c r="D340" s="584" t="s">
        <v>55</v>
      </c>
      <c r="E340" s="65" t="s">
        <v>18</v>
      </c>
      <c r="F340" s="114"/>
      <c r="G340" s="68"/>
      <c r="H340" s="114"/>
      <c r="I340" s="65"/>
      <c r="J340" s="65"/>
      <c r="K340" s="65"/>
      <c r="L340" s="65"/>
      <c r="M340" s="65"/>
      <c r="N340" s="68"/>
      <c r="O340" s="114"/>
      <c r="P340" s="65"/>
      <c r="Q340" s="65"/>
      <c r="R340" s="65"/>
      <c r="S340" s="65"/>
      <c r="T340" s="65"/>
      <c r="U340" s="68"/>
      <c r="V340" s="114"/>
      <c r="W340" s="65"/>
      <c r="X340" s="65"/>
      <c r="Y340" s="65"/>
      <c r="Z340" s="65"/>
      <c r="AA340" s="65"/>
      <c r="AB340" s="68"/>
      <c r="AC340" s="114"/>
      <c r="AD340" s="65"/>
      <c r="AE340" s="65"/>
      <c r="AF340" s="65"/>
      <c r="AG340" s="65"/>
      <c r="AH340" s="65"/>
      <c r="AI340" s="68"/>
      <c r="AJ340" s="68"/>
      <c r="AK340" s="98">
        <f t="shared" si="50"/>
        <v>0</v>
      </c>
      <c r="AL340" s="96">
        <f t="shared" si="53"/>
        <v>0</v>
      </c>
      <c r="AM340" s="97"/>
      <c r="AN340" s="582">
        <f>SUM(AL340:AM341)</f>
        <v>0</v>
      </c>
      <c r="AO340" s="3"/>
      <c r="AP340" s="3"/>
      <c r="AQ340" s="3"/>
      <c r="AR340" s="3"/>
      <c r="AS340" s="3"/>
    </row>
    <row r="341" spans="3:45" ht="12.75" x14ac:dyDescent="0.2">
      <c r="C341" s="580"/>
      <c r="D341" s="577"/>
      <c r="E341" s="62" t="s">
        <v>19</v>
      </c>
      <c r="F341" s="264"/>
      <c r="G341" s="61"/>
      <c r="H341" s="264"/>
      <c r="I341" s="62"/>
      <c r="J341" s="62"/>
      <c r="K341" s="62"/>
      <c r="L341" s="62"/>
      <c r="M341" s="62"/>
      <c r="N341" s="61"/>
      <c r="O341" s="264"/>
      <c r="P341" s="62"/>
      <c r="Q341" s="62"/>
      <c r="R341" s="62"/>
      <c r="S341" s="62"/>
      <c r="T341" s="62"/>
      <c r="U341" s="61"/>
      <c r="V341" s="264"/>
      <c r="W341" s="62"/>
      <c r="X341" s="62"/>
      <c r="Y341" s="62"/>
      <c r="Z341" s="62"/>
      <c r="AA341" s="62"/>
      <c r="AB341" s="61"/>
      <c r="AC341" s="264"/>
      <c r="AD341" s="62"/>
      <c r="AE341" s="62"/>
      <c r="AF341" s="62"/>
      <c r="AG341" s="62"/>
      <c r="AH341" s="62"/>
      <c r="AI341" s="61"/>
      <c r="AJ341" s="61"/>
      <c r="AK341" s="128">
        <f t="shared" si="50"/>
        <v>0</v>
      </c>
      <c r="AL341" s="93"/>
      <c r="AM341" s="94">
        <f>AK341</f>
        <v>0</v>
      </c>
      <c r="AN341" s="583"/>
      <c r="AO341" s="3"/>
      <c r="AP341" s="3"/>
      <c r="AQ341" s="3"/>
      <c r="AR341" s="3"/>
      <c r="AS341" s="3"/>
    </row>
    <row r="342" spans="3:45" ht="12.75" x14ac:dyDescent="0.2">
      <c r="C342" s="580"/>
      <c r="D342" s="584" t="s">
        <v>56</v>
      </c>
      <c r="E342" s="65" t="s">
        <v>18</v>
      </c>
      <c r="F342" s="114"/>
      <c r="G342" s="88"/>
      <c r="H342" s="114"/>
      <c r="I342" s="65"/>
      <c r="J342" s="65"/>
      <c r="K342" s="65"/>
      <c r="L342" s="65"/>
      <c r="M342" s="65"/>
      <c r="N342" s="68"/>
      <c r="O342" s="114"/>
      <c r="P342" s="65"/>
      <c r="Q342" s="65"/>
      <c r="R342" s="65"/>
      <c r="S342" s="65"/>
      <c r="T342" s="65"/>
      <c r="U342" s="68"/>
      <c r="V342" s="114"/>
      <c r="W342" s="65"/>
      <c r="X342" s="65"/>
      <c r="Y342" s="65"/>
      <c r="Z342" s="65"/>
      <c r="AA342" s="65"/>
      <c r="AB342" s="68"/>
      <c r="AC342" s="114"/>
      <c r="AD342" s="65"/>
      <c r="AE342" s="65"/>
      <c r="AF342" s="65"/>
      <c r="AG342" s="65"/>
      <c r="AH342" s="65"/>
      <c r="AI342" s="68"/>
      <c r="AJ342" s="68"/>
      <c r="AK342" s="98">
        <f t="shared" si="50"/>
        <v>0</v>
      </c>
      <c r="AL342" s="96">
        <f>AK342</f>
        <v>0</v>
      </c>
      <c r="AM342" s="97"/>
      <c r="AN342" s="582">
        <f>SUM(AL342:AM343)</f>
        <v>0</v>
      </c>
      <c r="AO342" s="3"/>
      <c r="AP342" s="3"/>
      <c r="AQ342" s="3"/>
      <c r="AR342" s="3"/>
      <c r="AS342" s="3"/>
    </row>
    <row r="343" spans="3:45" ht="12.75" x14ac:dyDescent="0.2">
      <c r="C343" s="580"/>
      <c r="D343" s="577"/>
      <c r="E343" s="62" t="s">
        <v>19</v>
      </c>
      <c r="F343" s="264"/>
      <c r="G343" s="61"/>
      <c r="H343" s="264"/>
      <c r="I343" s="62"/>
      <c r="J343" s="62"/>
      <c r="K343" s="62"/>
      <c r="L343" s="62"/>
      <c r="M343" s="62"/>
      <c r="N343" s="61"/>
      <c r="O343" s="264"/>
      <c r="P343" s="62"/>
      <c r="Q343" s="62"/>
      <c r="R343" s="62"/>
      <c r="S343" s="62"/>
      <c r="T343" s="62"/>
      <c r="U343" s="61"/>
      <c r="V343" s="264"/>
      <c r="W343" s="62"/>
      <c r="X343" s="62"/>
      <c r="Y343" s="62"/>
      <c r="Z343" s="62"/>
      <c r="AA343" s="62"/>
      <c r="AB343" s="61"/>
      <c r="AC343" s="264"/>
      <c r="AD343" s="62"/>
      <c r="AE343" s="62"/>
      <c r="AF343" s="62"/>
      <c r="AG343" s="62"/>
      <c r="AH343" s="62"/>
      <c r="AI343" s="61"/>
      <c r="AJ343" s="61"/>
      <c r="AK343" s="128">
        <f t="shared" si="50"/>
        <v>0</v>
      </c>
      <c r="AL343" s="93"/>
      <c r="AM343" s="94">
        <f>AK343</f>
        <v>0</v>
      </c>
      <c r="AN343" s="583"/>
      <c r="AO343" s="3"/>
      <c r="AP343" s="3"/>
      <c r="AQ343" s="3"/>
      <c r="AR343" s="3"/>
      <c r="AS343" s="3"/>
    </row>
    <row r="344" spans="3:45" ht="12.75" x14ac:dyDescent="0.2">
      <c r="C344" s="580"/>
      <c r="D344" s="584" t="s">
        <v>57</v>
      </c>
      <c r="E344" s="65" t="s">
        <v>18</v>
      </c>
      <c r="F344" s="114"/>
      <c r="G344" s="68"/>
      <c r="H344" s="114"/>
      <c r="I344" s="65"/>
      <c r="J344" s="65"/>
      <c r="K344" s="65"/>
      <c r="L344" s="87"/>
      <c r="M344" s="65"/>
      <c r="N344" s="68"/>
      <c r="O344" s="114"/>
      <c r="P344" s="65"/>
      <c r="Q344" s="65"/>
      <c r="R344" s="65"/>
      <c r="S344" s="65"/>
      <c r="T344" s="65"/>
      <c r="U344" s="68"/>
      <c r="V344" s="114"/>
      <c r="W344" s="65"/>
      <c r="X344" s="65"/>
      <c r="Y344" s="65"/>
      <c r="Z344" s="65"/>
      <c r="AA344" s="87">
        <v>8.5</v>
      </c>
      <c r="AB344" s="68"/>
      <c r="AC344" s="114"/>
      <c r="AD344" s="65"/>
      <c r="AE344" s="65"/>
      <c r="AF344" s="65"/>
      <c r="AG344" s="65"/>
      <c r="AH344" s="65"/>
      <c r="AI344" s="68"/>
      <c r="AJ344" s="68"/>
      <c r="AK344" s="98">
        <f t="shared" si="50"/>
        <v>8.5</v>
      </c>
      <c r="AL344" s="96">
        <f>AK344</f>
        <v>8.5</v>
      </c>
      <c r="AM344" s="97"/>
      <c r="AN344" s="582">
        <f>SUM(AL344:AM345)</f>
        <v>8.5</v>
      </c>
      <c r="AO344" s="3"/>
      <c r="AP344" s="3"/>
      <c r="AQ344" s="3"/>
      <c r="AR344" s="3"/>
      <c r="AS344" s="3"/>
    </row>
    <row r="345" spans="3:45" ht="12.75" x14ac:dyDescent="0.2">
      <c r="C345" s="581"/>
      <c r="D345" s="585"/>
      <c r="E345" s="284" t="s">
        <v>19</v>
      </c>
      <c r="F345" s="265"/>
      <c r="G345" s="100"/>
      <c r="H345" s="264"/>
      <c r="I345" s="284"/>
      <c r="J345" s="94"/>
      <c r="K345" s="284"/>
      <c r="L345" s="284"/>
      <c r="M345" s="284"/>
      <c r="N345" s="100"/>
      <c r="O345" s="265"/>
      <c r="P345" s="284"/>
      <c r="Q345" s="284"/>
      <c r="R345" s="284"/>
      <c r="S345" s="284"/>
      <c r="T345" s="284"/>
      <c r="U345" s="100"/>
      <c r="V345" s="265"/>
      <c r="W345" s="284"/>
      <c r="X345" s="284"/>
      <c r="Y345" s="284"/>
      <c r="Z345" s="284"/>
      <c r="AA345" s="284"/>
      <c r="AB345" s="100"/>
      <c r="AC345" s="265"/>
      <c r="AD345" s="284"/>
      <c r="AE345" s="284"/>
      <c r="AF345" s="284"/>
      <c r="AG345" s="62"/>
      <c r="AH345" s="62"/>
      <c r="AI345" s="61"/>
      <c r="AJ345" s="100"/>
      <c r="AK345" s="128">
        <f t="shared" si="50"/>
        <v>0</v>
      </c>
      <c r="AL345" s="93"/>
      <c r="AM345" s="94">
        <f>AK345</f>
        <v>0</v>
      </c>
      <c r="AN345" s="583"/>
      <c r="AO345" s="3"/>
      <c r="AP345" s="3"/>
      <c r="AQ345" s="3"/>
      <c r="AR345" s="3"/>
      <c r="AS345" s="3"/>
    </row>
    <row r="346" spans="3:45" ht="12.75" x14ac:dyDescent="0.2">
      <c r="C346" s="627" t="s">
        <v>58</v>
      </c>
      <c r="D346" s="604" t="s">
        <v>59</v>
      </c>
      <c r="E346" s="105" t="s">
        <v>18</v>
      </c>
      <c r="F346" s="271"/>
      <c r="G346" s="103"/>
      <c r="H346" s="271"/>
      <c r="I346" s="65"/>
      <c r="J346" s="65"/>
      <c r="K346" s="65"/>
      <c r="L346" s="65"/>
      <c r="M346" s="65"/>
      <c r="N346" s="68"/>
      <c r="O346" s="114"/>
      <c r="P346" s="65"/>
      <c r="Q346" s="65"/>
      <c r="R346" s="65">
        <f>47.25-1.86</f>
        <v>45.39</v>
      </c>
      <c r="S346" s="65">
        <f>53.84-(6.3*4)+122.11</f>
        <v>150.75</v>
      </c>
      <c r="T346" s="65">
        <f>28.01+90</f>
        <v>118.01</v>
      </c>
      <c r="U346" s="68"/>
      <c r="V346" s="114"/>
      <c r="W346" s="87"/>
      <c r="X346" s="65"/>
      <c r="Y346" s="87"/>
      <c r="Z346" s="65"/>
      <c r="AA346" s="65"/>
      <c r="AB346" s="88"/>
      <c r="AC346" s="114"/>
      <c r="AD346" s="65"/>
      <c r="AE346" s="65"/>
      <c r="AF346" s="87">
        <v>53.05</v>
      </c>
      <c r="AG346" s="105"/>
      <c r="AH346" s="105"/>
      <c r="AI346" s="103"/>
      <c r="AJ346" s="103"/>
      <c r="AK346" s="98">
        <f t="shared" si="50"/>
        <v>367.2</v>
      </c>
      <c r="AL346" s="96">
        <f>AK346</f>
        <v>367.2</v>
      </c>
      <c r="AM346" s="97"/>
      <c r="AN346" s="616">
        <f>SUM(AL346:AM347)</f>
        <v>620.53</v>
      </c>
      <c r="AO346" s="3"/>
      <c r="AP346" s="3"/>
      <c r="AQ346" s="3"/>
      <c r="AR346" s="3"/>
      <c r="AS346" s="3"/>
    </row>
    <row r="347" spans="3:45" ht="12.75" x14ac:dyDescent="0.2">
      <c r="C347" s="580"/>
      <c r="D347" s="577"/>
      <c r="E347" s="62" t="s">
        <v>19</v>
      </c>
      <c r="F347" s="264"/>
      <c r="G347" s="61"/>
      <c r="H347" s="264"/>
      <c r="I347" s="62"/>
      <c r="J347" s="62"/>
      <c r="K347" s="62"/>
      <c r="L347" s="62"/>
      <c r="M347" s="62"/>
      <c r="N347" s="92"/>
      <c r="O347" s="268">
        <v>50</v>
      </c>
      <c r="P347" s="62"/>
      <c r="Q347" s="62"/>
      <c r="R347" s="62"/>
      <c r="S347" s="62"/>
      <c r="T347" s="91">
        <v>160</v>
      </c>
      <c r="U347" s="61"/>
      <c r="V347" s="264"/>
      <c r="W347" s="62"/>
      <c r="X347" s="62"/>
      <c r="Y347" s="62"/>
      <c r="Z347" s="91">
        <v>43.33</v>
      </c>
      <c r="AA347" s="62"/>
      <c r="AB347" s="61"/>
      <c r="AC347" s="264"/>
      <c r="AD347" s="62"/>
      <c r="AE347" s="62"/>
      <c r="AF347" s="62"/>
      <c r="AG347" s="62"/>
      <c r="AH347" s="62"/>
      <c r="AI347" s="61"/>
      <c r="AJ347" s="61"/>
      <c r="AK347" s="128">
        <f t="shared" si="50"/>
        <v>253.32999999999998</v>
      </c>
      <c r="AL347" s="93"/>
      <c r="AM347" s="94">
        <f>AK347</f>
        <v>253.32999999999998</v>
      </c>
      <c r="AN347" s="585"/>
      <c r="AO347" s="3"/>
      <c r="AP347" s="3"/>
      <c r="AQ347" s="3"/>
      <c r="AR347" s="3"/>
      <c r="AS347" s="3"/>
    </row>
    <row r="348" spans="3:45" ht="12.75" x14ac:dyDescent="0.2">
      <c r="C348" s="580"/>
      <c r="D348" s="584" t="s">
        <v>60</v>
      </c>
      <c r="E348" s="65" t="s">
        <v>18</v>
      </c>
      <c r="F348" s="114"/>
      <c r="G348" s="68"/>
      <c r="H348" s="114"/>
      <c r="I348" s="65"/>
      <c r="J348" s="65"/>
      <c r="K348" s="65"/>
      <c r="L348" s="65"/>
      <c r="M348" s="65"/>
      <c r="N348" s="68"/>
      <c r="O348" s="114"/>
      <c r="P348" s="65"/>
      <c r="Q348" s="65"/>
      <c r="R348" s="65"/>
      <c r="S348" s="65"/>
      <c r="T348" s="65"/>
      <c r="U348" s="68"/>
      <c r="V348" s="114"/>
      <c r="W348" s="65"/>
      <c r="X348" s="65"/>
      <c r="Y348" s="65"/>
      <c r="Z348" s="65"/>
      <c r="AA348" s="87">
        <v>32</v>
      </c>
      <c r="AB348" s="68"/>
      <c r="AC348" s="114"/>
      <c r="AD348" s="65"/>
      <c r="AE348" s="65"/>
      <c r="AF348" s="65"/>
      <c r="AG348" s="65"/>
      <c r="AH348" s="65"/>
      <c r="AI348" s="68"/>
      <c r="AJ348" s="68"/>
      <c r="AK348" s="98">
        <f t="shared" si="50"/>
        <v>32</v>
      </c>
      <c r="AL348" s="89">
        <f>AK348</f>
        <v>32</v>
      </c>
      <c r="AM348" s="62"/>
      <c r="AN348" s="582">
        <f>SUM(AL348:AM349)</f>
        <v>32</v>
      </c>
      <c r="AO348" s="3"/>
      <c r="AP348" s="3"/>
      <c r="AQ348" s="3"/>
      <c r="AR348" s="3"/>
      <c r="AS348" s="3"/>
    </row>
    <row r="349" spans="3:45" ht="12.75" x14ac:dyDescent="0.2">
      <c r="C349" s="580"/>
      <c r="D349" s="577"/>
      <c r="E349" s="62" t="s">
        <v>19</v>
      </c>
      <c r="F349" s="264"/>
      <c r="G349" s="61"/>
      <c r="H349" s="264"/>
      <c r="I349" s="62"/>
      <c r="J349" s="62"/>
      <c r="K349" s="62"/>
      <c r="L349" s="62"/>
      <c r="M349" s="62"/>
      <c r="N349" s="61"/>
      <c r="O349" s="264"/>
      <c r="P349" s="62"/>
      <c r="Q349" s="62"/>
      <c r="R349" s="62"/>
      <c r="S349" s="62"/>
      <c r="T349" s="62"/>
      <c r="U349" s="61"/>
      <c r="V349" s="264"/>
      <c r="W349" s="62"/>
      <c r="X349" s="62"/>
      <c r="Y349" s="62"/>
      <c r="Z349" s="62"/>
      <c r="AA349" s="62"/>
      <c r="AB349" s="61"/>
      <c r="AC349" s="264"/>
      <c r="AD349" s="62"/>
      <c r="AE349" s="62"/>
      <c r="AF349" s="62"/>
      <c r="AG349" s="62"/>
      <c r="AH349" s="62"/>
      <c r="AI349" s="61"/>
      <c r="AJ349" s="61"/>
      <c r="AK349" s="128">
        <f t="shared" si="50"/>
        <v>0</v>
      </c>
      <c r="AL349" s="114"/>
      <c r="AM349" s="66">
        <f>AK349</f>
        <v>0</v>
      </c>
      <c r="AN349" s="583"/>
      <c r="AO349" s="3"/>
      <c r="AP349" s="3"/>
      <c r="AQ349" s="3"/>
      <c r="AR349" s="3"/>
      <c r="AS349" s="3"/>
    </row>
    <row r="350" spans="3:45" ht="12.75" x14ac:dyDescent="0.2">
      <c r="C350" s="580"/>
      <c r="D350" s="584" t="s">
        <v>61</v>
      </c>
      <c r="E350" s="65" t="s">
        <v>18</v>
      </c>
      <c r="F350" s="114"/>
      <c r="G350" s="68"/>
      <c r="H350" s="114"/>
      <c r="I350" s="65"/>
      <c r="J350" s="65"/>
      <c r="K350" s="65"/>
      <c r="L350" s="65"/>
      <c r="M350" s="65"/>
      <c r="N350" s="68"/>
      <c r="O350" s="114"/>
      <c r="P350" s="65"/>
      <c r="Q350" s="65"/>
      <c r="R350" s="65"/>
      <c r="S350" s="65"/>
      <c r="T350" s="65"/>
      <c r="U350" s="68"/>
      <c r="V350" s="114"/>
      <c r="W350" s="65"/>
      <c r="X350" s="65"/>
      <c r="Y350" s="65"/>
      <c r="Z350" s="65"/>
      <c r="AA350" s="65"/>
      <c r="AB350" s="68"/>
      <c r="AC350" s="114"/>
      <c r="AD350" s="65"/>
      <c r="AE350" s="65"/>
      <c r="AF350" s="72"/>
      <c r="AG350" s="65"/>
      <c r="AH350" s="65"/>
      <c r="AI350" s="68"/>
      <c r="AJ350" s="68"/>
      <c r="AK350" s="88">
        <f t="shared" si="50"/>
        <v>0</v>
      </c>
      <c r="AL350" s="96">
        <f>AK350</f>
        <v>0</v>
      </c>
      <c r="AM350" s="97"/>
      <c r="AN350" s="616">
        <f>SUM(AL350:AM351)</f>
        <v>0</v>
      </c>
      <c r="AO350" s="3"/>
      <c r="AP350" s="3"/>
      <c r="AQ350" s="3"/>
      <c r="AR350" s="3"/>
      <c r="AS350" s="3"/>
    </row>
    <row r="351" spans="3:45" ht="12.75" x14ac:dyDescent="0.2">
      <c r="C351" s="580"/>
      <c r="D351" s="577"/>
      <c r="E351" s="62" t="s">
        <v>19</v>
      </c>
      <c r="F351" s="264"/>
      <c r="G351" s="61"/>
      <c r="H351" s="264"/>
      <c r="I351" s="62"/>
      <c r="J351" s="62"/>
      <c r="K351" s="62"/>
      <c r="L351" s="62"/>
      <c r="M351" s="62"/>
      <c r="N351" s="61"/>
      <c r="O351" s="264"/>
      <c r="P351" s="62"/>
      <c r="Q351" s="62"/>
      <c r="R351" s="66"/>
      <c r="S351" s="62"/>
      <c r="T351" s="62"/>
      <c r="U351" s="61"/>
      <c r="V351" s="264"/>
      <c r="W351" s="62"/>
      <c r="X351" s="62"/>
      <c r="Y351" s="62"/>
      <c r="Z351" s="62"/>
      <c r="AA351" s="62"/>
      <c r="AB351" s="61"/>
      <c r="AC351" s="264"/>
      <c r="AD351" s="62"/>
      <c r="AE351" s="62"/>
      <c r="AF351" s="62"/>
      <c r="AG351" s="62"/>
      <c r="AH351" s="62"/>
      <c r="AI351" s="61"/>
      <c r="AJ351" s="61"/>
      <c r="AK351" s="92">
        <f t="shared" si="50"/>
        <v>0</v>
      </c>
      <c r="AL351" s="93"/>
      <c r="AM351" s="94">
        <f>AK351</f>
        <v>0</v>
      </c>
      <c r="AN351" s="585"/>
      <c r="AO351" s="3"/>
      <c r="AP351" s="3"/>
      <c r="AQ351" s="3"/>
      <c r="AR351" s="3"/>
      <c r="AS351" s="3"/>
    </row>
    <row r="352" spans="3:45" ht="12.75" x14ac:dyDescent="0.2">
      <c r="C352" s="580"/>
      <c r="D352" s="584" t="s">
        <v>62</v>
      </c>
      <c r="E352" s="65" t="s">
        <v>18</v>
      </c>
      <c r="F352" s="114"/>
      <c r="G352" s="68"/>
      <c r="H352" s="114"/>
      <c r="I352" s="65"/>
      <c r="J352" s="65"/>
      <c r="K352" s="65"/>
      <c r="L352" s="65"/>
      <c r="M352" s="65"/>
      <c r="N352" s="68"/>
      <c r="O352" s="114"/>
      <c r="P352" s="65"/>
      <c r="Q352" s="65"/>
      <c r="R352" s="65"/>
      <c r="S352" s="65"/>
      <c r="T352" s="65"/>
      <c r="U352" s="68"/>
      <c r="V352" s="114"/>
      <c r="W352" s="65"/>
      <c r="X352" s="65"/>
      <c r="Y352" s="65"/>
      <c r="Z352" s="65"/>
      <c r="AA352" s="65"/>
      <c r="AB352" s="68"/>
      <c r="AC352" s="114"/>
      <c r="AD352" s="65"/>
      <c r="AE352" s="65"/>
      <c r="AF352" s="65"/>
      <c r="AG352" s="65"/>
      <c r="AH352" s="65"/>
      <c r="AI352" s="68"/>
      <c r="AJ352" s="68"/>
      <c r="AK352" s="88">
        <f t="shared" si="50"/>
        <v>0</v>
      </c>
      <c r="AL352" s="96">
        <f>AK352</f>
        <v>0</v>
      </c>
      <c r="AM352" s="97"/>
      <c r="AN352" s="582">
        <f>SUM(AL352:AM353)</f>
        <v>0</v>
      </c>
      <c r="AO352" s="3"/>
      <c r="AP352" s="3"/>
      <c r="AQ352" s="3"/>
      <c r="AR352" s="3"/>
      <c r="AS352" s="3"/>
    </row>
    <row r="353" spans="3:45" ht="12.75" x14ac:dyDescent="0.2">
      <c r="C353" s="581"/>
      <c r="D353" s="577"/>
      <c r="E353" s="62" t="s">
        <v>19</v>
      </c>
      <c r="F353" s="264"/>
      <c r="G353" s="61"/>
      <c r="H353" s="264"/>
      <c r="I353" s="284"/>
      <c r="J353" s="284"/>
      <c r="K353" s="284"/>
      <c r="L353" s="284"/>
      <c r="M353" s="284"/>
      <c r="N353" s="100"/>
      <c r="O353" s="265"/>
      <c r="P353" s="284"/>
      <c r="Q353" s="284"/>
      <c r="R353" s="284"/>
      <c r="S353" s="284"/>
      <c r="T353" s="284"/>
      <c r="U353" s="100"/>
      <c r="V353" s="265"/>
      <c r="W353" s="284"/>
      <c r="X353" s="284"/>
      <c r="Y353" s="284"/>
      <c r="Z353" s="284"/>
      <c r="AA353" s="284"/>
      <c r="AB353" s="100"/>
      <c r="AC353" s="265"/>
      <c r="AD353" s="284"/>
      <c r="AE353" s="284"/>
      <c r="AF353" s="284"/>
      <c r="AG353" s="62"/>
      <c r="AH353" s="62"/>
      <c r="AI353" s="61"/>
      <c r="AJ353" s="61"/>
      <c r="AK353" s="92">
        <f t="shared" si="50"/>
        <v>0</v>
      </c>
      <c r="AL353" s="93"/>
      <c r="AM353" s="94">
        <f>AK353</f>
        <v>0</v>
      </c>
      <c r="AN353" s="583"/>
      <c r="AO353" s="3"/>
      <c r="AP353" s="3"/>
      <c r="AQ353" s="3"/>
      <c r="AR353" s="3"/>
      <c r="AS353" s="3"/>
    </row>
    <row r="354" spans="3:45" ht="12.75" x14ac:dyDescent="0.2">
      <c r="C354" s="627" t="s">
        <v>63</v>
      </c>
      <c r="D354" s="604" t="s">
        <v>64</v>
      </c>
      <c r="E354" s="105" t="s">
        <v>18</v>
      </c>
      <c r="F354" s="271"/>
      <c r="G354" s="103"/>
      <c r="H354" s="271"/>
      <c r="I354" s="65"/>
      <c r="J354" s="65"/>
      <c r="K354" s="65"/>
      <c r="L354" s="65"/>
      <c r="M354" s="65"/>
      <c r="N354" s="68"/>
      <c r="O354" s="114"/>
      <c r="P354" s="65"/>
      <c r="Q354" s="65"/>
      <c r="R354" s="65"/>
      <c r="S354" s="65"/>
      <c r="T354" s="65"/>
      <c r="U354" s="68"/>
      <c r="V354" s="114"/>
      <c r="W354" s="65"/>
      <c r="X354" s="65"/>
      <c r="Y354" s="65"/>
      <c r="Z354" s="65"/>
      <c r="AA354" s="65"/>
      <c r="AB354" s="68"/>
      <c r="AC354" s="114"/>
      <c r="AD354" s="65"/>
      <c r="AE354" s="65"/>
      <c r="AF354" s="65"/>
      <c r="AG354" s="105"/>
      <c r="AH354" s="105"/>
      <c r="AI354" s="103"/>
      <c r="AJ354" s="103"/>
      <c r="AK354" s="98">
        <f t="shared" si="50"/>
        <v>0</v>
      </c>
      <c r="AL354" s="108">
        <f>AK354</f>
        <v>0</v>
      </c>
      <c r="AM354" s="97"/>
      <c r="AN354" s="582">
        <f>SUM(AL354:AM355)</f>
        <v>0</v>
      </c>
      <c r="AO354" s="3"/>
      <c r="AP354" s="3"/>
      <c r="AQ354" s="3"/>
      <c r="AR354" s="3"/>
      <c r="AS354" s="3"/>
    </row>
    <row r="355" spans="3:45" ht="12.75" x14ac:dyDescent="0.2">
      <c r="C355" s="580"/>
      <c r="D355" s="577"/>
      <c r="E355" s="62" t="s">
        <v>19</v>
      </c>
      <c r="F355" s="264"/>
      <c r="G355" s="61"/>
      <c r="H355" s="264"/>
      <c r="I355" s="62"/>
      <c r="J355" s="62"/>
      <c r="K355" s="62"/>
      <c r="L355" s="62"/>
      <c r="M355" s="62"/>
      <c r="N355" s="61"/>
      <c r="O355" s="264"/>
      <c r="P355" s="62"/>
      <c r="Q355" s="62"/>
      <c r="R355" s="62"/>
      <c r="S355" s="62"/>
      <c r="T355" s="62"/>
      <c r="U355" s="61"/>
      <c r="V355" s="264"/>
      <c r="W355" s="62"/>
      <c r="X355" s="62"/>
      <c r="Y355" s="62"/>
      <c r="Z355" s="62"/>
      <c r="AA355" s="62"/>
      <c r="AB355" s="61"/>
      <c r="AC355" s="264"/>
      <c r="AD355" s="62"/>
      <c r="AE355" s="62"/>
      <c r="AF355" s="62"/>
      <c r="AG355" s="62"/>
      <c r="AH355" s="62"/>
      <c r="AI355" s="61"/>
      <c r="AJ355" s="61"/>
      <c r="AK355" s="128">
        <f t="shared" si="50"/>
        <v>0</v>
      </c>
      <c r="AL355" s="93"/>
      <c r="AM355" s="94">
        <f>AK355</f>
        <v>0</v>
      </c>
      <c r="AN355" s="583"/>
      <c r="AO355" s="3"/>
      <c r="AP355" s="3"/>
      <c r="AQ355" s="3"/>
      <c r="AR355" s="3"/>
      <c r="AS355" s="3"/>
    </row>
    <row r="356" spans="3:45" ht="12.75" x14ac:dyDescent="0.2">
      <c r="C356" s="580"/>
      <c r="D356" s="584" t="s">
        <v>65</v>
      </c>
      <c r="E356" s="65" t="s">
        <v>18</v>
      </c>
      <c r="F356" s="114"/>
      <c r="G356" s="68"/>
      <c r="H356" s="114"/>
      <c r="I356" s="65"/>
      <c r="J356" s="65"/>
      <c r="K356" s="65"/>
      <c r="L356" s="65"/>
      <c r="M356" s="65"/>
      <c r="N356" s="68"/>
      <c r="O356" s="114"/>
      <c r="P356" s="65"/>
      <c r="Q356" s="65"/>
      <c r="R356" s="65"/>
      <c r="S356" s="65"/>
      <c r="T356" s="65"/>
      <c r="U356" s="68"/>
      <c r="V356" s="114"/>
      <c r="W356" s="65"/>
      <c r="X356" s="65"/>
      <c r="Y356" s="65"/>
      <c r="Z356" s="65"/>
      <c r="AA356" s="65"/>
      <c r="AB356" s="68"/>
      <c r="AC356" s="114"/>
      <c r="AD356" s="65"/>
      <c r="AE356" s="65"/>
      <c r="AF356" s="65"/>
      <c r="AG356" s="65"/>
      <c r="AH356" s="65"/>
      <c r="AI356" s="68"/>
      <c r="AJ356" s="68"/>
      <c r="AK356" s="98">
        <f t="shared" si="50"/>
        <v>0</v>
      </c>
      <c r="AL356" s="96">
        <f>AK356</f>
        <v>0</v>
      </c>
      <c r="AM356" s="97"/>
      <c r="AN356" s="582">
        <f>SUM(AL356:AM357)</f>
        <v>30</v>
      </c>
      <c r="AO356" s="3"/>
      <c r="AP356" s="3"/>
      <c r="AQ356" s="3"/>
      <c r="AR356" s="3"/>
      <c r="AS356" s="3"/>
    </row>
    <row r="357" spans="3:45" ht="12.75" x14ac:dyDescent="0.2">
      <c r="C357" s="581"/>
      <c r="D357" s="585"/>
      <c r="E357" s="284" t="s">
        <v>19</v>
      </c>
      <c r="F357" s="265"/>
      <c r="G357" s="100"/>
      <c r="H357" s="264"/>
      <c r="I357" s="284"/>
      <c r="J357" s="284"/>
      <c r="K357" s="286">
        <v>30</v>
      </c>
      <c r="L357" s="284"/>
      <c r="M357" s="284"/>
      <c r="N357" s="100"/>
      <c r="O357" s="265"/>
      <c r="P357" s="284"/>
      <c r="Q357" s="284"/>
      <c r="R357" s="284"/>
      <c r="S357" s="284"/>
      <c r="T357" s="284"/>
      <c r="U357" s="100"/>
      <c r="V357" s="265"/>
      <c r="W357" s="284"/>
      <c r="X357" s="284"/>
      <c r="Y357" s="284"/>
      <c r="Z357" s="284"/>
      <c r="AA357" s="284"/>
      <c r="AB357" s="100"/>
      <c r="AC357" s="265"/>
      <c r="AD357" s="284"/>
      <c r="AE357" s="284"/>
      <c r="AF357" s="284"/>
      <c r="AG357" s="62"/>
      <c r="AH357" s="62"/>
      <c r="AI357" s="61"/>
      <c r="AJ357" s="100"/>
      <c r="AK357" s="317">
        <f t="shared" si="50"/>
        <v>30</v>
      </c>
      <c r="AL357" s="93"/>
      <c r="AM357" s="94">
        <f>AK357</f>
        <v>30</v>
      </c>
      <c r="AN357" s="583"/>
      <c r="AO357" s="3"/>
      <c r="AP357" s="3"/>
      <c r="AQ357" s="3"/>
      <c r="AR357" s="3"/>
      <c r="AS357" s="3"/>
    </row>
    <row r="358" spans="3:45" ht="12.75" x14ac:dyDescent="0.2">
      <c r="C358" s="318" t="s">
        <v>66</v>
      </c>
      <c r="D358" s="118"/>
      <c r="E358" s="119"/>
      <c r="F358" s="126"/>
      <c r="G358" s="319">
        <v>0.27</v>
      </c>
      <c r="H358" s="320">
        <v>7.0000000000000007E-2</v>
      </c>
      <c r="I358" s="321"/>
      <c r="J358" s="321"/>
      <c r="K358" s="321"/>
      <c r="L358" s="322"/>
      <c r="M358" s="322"/>
      <c r="N358" s="323"/>
      <c r="O358" s="324"/>
      <c r="P358" s="322">
        <v>0.89</v>
      </c>
      <c r="Q358" s="321"/>
      <c r="R358" s="321"/>
      <c r="S358" s="322">
        <v>0.31</v>
      </c>
      <c r="T358" s="321"/>
      <c r="U358" s="323">
        <v>1.22</v>
      </c>
      <c r="V358" s="325"/>
      <c r="W358" s="321"/>
      <c r="X358" s="321"/>
      <c r="Y358" s="321"/>
      <c r="Z358" s="326"/>
      <c r="AA358" s="321"/>
      <c r="AB358" s="327"/>
      <c r="AC358" s="324"/>
      <c r="AD358" s="321"/>
      <c r="AE358" s="321"/>
      <c r="AF358" s="328"/>
      <c r="AG358" s="118"/>
      <c r="AH358" s="329">
        <v>0.55000000000000004</v>
      </c>
      <c r="AI358" s="319"/>
      <c r="AJ358" s="119"/>
      <c r="AK358" s="119">
        <f>SUM(F358:AJ358)</f>
        <v>3.3099999999999996</v>
      </c>
      <c r="AL358" s="126"/>
      <c r="AM358" s="118"/>
      <c r="AN358" s="119"/>
      <c r="AO358" s="3"/>
      <c r="AP358" s="3"/>
      <c r="AQ358" s="3"/>
      <c r="AR358" s="3"/>
      <c r="AS358" s="3"/>
    </row>
    <row r="359" spans="3:45" ht="12.75" x14ac:dyDescent="0.2">
      <c r="C359" s="330" t="s">
        <v>32</v>
      </c>
      <c r="D359" s="62"/>
      <c r="E359" s="62"/>
      <c r="F359" s="331">
        <f t="shared" ref="F359:AM359" si="54">SUM(F307:F357)</f>
        <v>41.97</v>
      </c>
      <c r="G359" s="102">
        <f t="shared" si="54"/>
        <v>158.30000000000001</v>
      </c>
      <c r="H359" s="331">
        <f t="shared" si="54"/>
        <v>13.520000000000001</v>
      </c>
      <c r="I359" s="332">
        <f t="shared" si="54"/>
        <v>0</v>
      </c>
      <c r="J359" s="129">
        <f t="shared" si="54"/>
        <v>286.3</v>
      </c>
      <c r="K359" s="129">
        <f t="shared" si="54"/>
        <v>203.74</v>
      </c>
      <c r="L359" s="129">
        <f t="shared" si="54"/>
        <v>308.22000000000003</v>
      </c>
      <c r="M359" s="129">
        <f t="shared" si="54"/>
        <v>83.83</v>
      </c>
      <c r="N359" s="130">
        <f t="shared" si="54"/>
        <v>21.43</v>
      </c>
      <c r="O359" s="333">
        <f t="shared" si="54"/>
        <v>68.819999999999993</v>
      </c>
      <c r="P359" s="129">
        <f t="shared" si="54"/>
        <v>26.12</v>
      </c>
      <c r="Q359" s="129">
        <f t="shared" si="54"/>
        <v>44.83</v>
      </c>
      <c r="R359" s="129">
        <f t="shared" si="54"/>
        <v>55.769999999999996</v>
      </c>
      <c r="S359" s="129">
        <f t="shared" si="54"/>
        <v>181.81</v>
      </c>
      <c r="T359" s="129">
        <f t="shared" si="54"/>
        <v>293.90999999999997</v>
      </c>
      <c r="U359" s="130">
        <f t="shared" si="54"/>
        <v>18.78</v>
      </c>
      <c r="V359" s="333">
        <f t="shared" si="54"/>
        <v>39.29</v>
      </c>
      <c r="W359" s="129">
        <f t="shared" si="54"/>
        <v>0</v>
      </c>
      <c r="X359" s="129">
        <f t="shared" si="54"/>
        <v>12.91</v>
      </c>
      <c r="Y359" s="129">
        <f t="shared" si="54"/>
        <v>285.09999999999997</v>
      </c>
      <c r="Z359" s="129">
        <f t="shared" si="54"/>
        <v>465.48</v>
      </c>
      <c r="AA359" s="129">
        <f t="shared" si="54"/>
        <v>142.41000000000003</v>
      </c>
      <c r="AB359" s="130">
        <f t="shared" si="54"/>
        <v>4.38</v>
      </c>
      <c r="AC359" s="333">
        <f t="shared" si="54"/>
        <v>157.38999999999999</v>
      </c>
      <c r="AD359" s="129">
        <f t="shared" si="54"/>
        <v>171.01</v>
      </c>
      <c r="AE359" s="129">
        <f t="shared" si="54"/>
        <v>0</v>
      </c>
      <c r="AF359" s="129">
        <f t="shared" si="54"/>
        <v>63.05</v>
      </c>
      <c r="AG359" s="94">
        <f t="shared" si="54"/>
        <v>46.879999999999995</v>
      </c>
      <c r="AH359" s="94">
        <f t="shared" si="54"/>
        <v>24</v>
      </c>
      <c r="AI359" s="102">
        <f t="shared" si="54"/>
        <v>18.150000000000002</v>
      </c>
      <c r="AJ359" s="102">
        <f t="shared" si="54"/>
        <v>0</v>
      </c>
      <c r="AK359" s="131">
        <f t="shared" si="54"/>
        <v>3210.3999999999996</v>
      </c>
      <c r="AL359" s="72">
        <f t="shared" si="54"/>
        <v>2278.7199999999998</v>
      </c>
      <c r="AM359" s="66">
        <f t="shared" si="54"/>
        <v>958.68000000000006</v>
      </c>
      <c r="AN359" s="3"/>
      <c r="AO359" s="3"/>
      <c r="AP359" s="3"/>
      <c r="AQ359" s="3"/>
      <c r="AR359" s="3"/>
      <c r="AS359" s="3"/>
    </row>
    <row r="360" spans="3:45" ht="16.5" x14ac:dyDescent="0.25">
      <c r="C360" s="334"/>
      <c r="D360" s="3"/>
      <c r="E360" s="3"/>
      <c r="F360" s="595">
        <f>SUM(F359:G359)</f>
        <v>200.27</v>
      </c>
      <c r="G360" s="583"/>
      <c r="H360" s="596">
        <f>SUM(H359:N359)</f>
        <v>917.04</v>
      </c>
      <c r="I360" s="597"/>
      <c r="J360" s="597"/>
      <c r="K360" s="597"/>
      <c r="L360" s="597"/>
      <c r="M360" s="597"/>
      <c r="N360" s="598"/>
      <c r="O360" s="596">
        <f>SUM(O359:U359)</f>
        <v>690.04</v>
      </c>
      <c r="P360" s="597"/>
      <c r="Q360" s="597"/>
      <c r="R360" s="597"/>
      <c r="S360" s="597"/>
      <c r="T360" s="597"/>
      <c r="U360" s="598"/>
      <c r="V360" s="596">
        <f>SUM(V359:AB359)</f>
        <v>949.57</v>
      </c>
      <c r="W360" s="597"/>
      <c r="X360" s="597"/>
      <c r="Y360" s="597"/>
      <c r="Z360" s="597"/>
      <c r="AA360" s="597"/>
      <c r="AB360" s="598"/>
      <c r="AC360" s="596">
        <f>SUM(AC359:AI359)</f>
        <v>480.47999999999996</v>
      </c>
      <c r="AD360" s="597"/>
      <c r="AE360" s="597"/>
      <c r="AF360" s="597"/>
      <c r="AG360" s="597"/>
      <c r="AH360" s="597"/>
      <c r="AI360" s="598"/>
      <c r="AJ360" s="133"/>
      <c r="AK360" s="335"/>
      <c r="AL360" s="335"/>
      <c r="AM360" s="335"/>
      <c r="AN360" s="3"/>
      <c r="AO360" s="3"/>
      <c r="AP360" s="3"/>
      <c r="AQ360" s="3"/>
      <c r="AR360" s="3"/>
      <c r="AS360" s="3"/>
    </row>
    <row r="362" spans="3:45" ht="12.75" x14ac:dyDescent="0.2">
      <c r="C362" s="3"/>
      <c r="D362" s="3"/>
      <c r="E362" s="3"/>
      <c r="F362" s="578" t="s">
        <v>70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7"/>
      <c r="R362" s="577"/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7"/>
      <c r="AD362" s="577"/>
      <c r="AE362" s="577"/>
      <c r="AF362" s="577"/>
      <c r="AG362" s="577"/>
      <c r="AH362" s="577"/>
      <c r="AI362" s="577"/>
      <c r="AJ362" s="577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3:45" ht="12.75" x14ac:dyDescent="0.2">
      <c r="C363" s="3"/>
      <c r="D363" s="3"/>
      <c r="E363" s="5" t="s">
        <v>9</v>
      </c>
      <c r="F363" s="255" t="s">
        <v>13</v>
      </c>
      <c r="G363" s="7" t="s">
        <v>14</v>
      </c>
      <c r="H363" s="7" t="s">
        <v>15</v>
      </c>
      <c r="I363" s="7" t="s">
        <v>16</v>
      </c>
      <c r="J363" s="8" t="s">
        <v>10</v>
      </c>
      <c r="K363" s="7" t="s">
        <v>11</v>
      </c>
      <c r="L363" s="7" t="s">
        <v>12</v>
      </c>
      <c r="M363" s="7" t="s">
        <v>13</v>
      </c>
      <c r="N363" s="7" t="s">
        <v>14</v>
      </c>
      <c r="O363" s="7" t="s">
        <v>15</v>
      </c>
      <c r="P363" s="7" t="s">
        <v>16</v>
      </c>
      <c r="Q363" s="8" t="s">
        <v>10</v>
      </c>
      <c r="R363" s="7" t="s">
        <v>11</v>
      </c>
      <c r="S363" s="7" t="s">
        <v>12</v>
      </c>
      <c r="T363" s="7" t="s">
        <v>13</v>
      </c>
      <c r="U363" s="7" t="s">
        <v>14</v>
      </c>
      <c r="V363" s="7" t="s">
        <v>15</v>
      </c>
      <c r="W363" s="7" t="s">
        <v>16</v>
      </c>
      <c r="X363" s="8" t="s">
        <v>10</v>
      </c>
      <c r="Y363" s="7" t="s">
        <v>11</v>
      </c>
      <c r="Z363" s="7" t="s">
        <v>12</v>
      </c>
      <c r="AA363" s="7" t="s">
        <v>13</v>
      </c>
      <c r="AB363" s="7" t="s">
        <v>14</v>
      </c>
      <c r="AC363" s="7" t="s">
        <v>15</v>
      </c>
      <c r="AD363" s="7" t="s">
        <v>16</v>
      </c>
      <c r="AE363" s="8" t="s">
        <v>10</v>
      </c>
      <c r="AF363" s="7" t="s">
        <v>11</v>
      </c>
      <c r="AG363" s="7" t="s">
        <v>12</v>
      </c>
      <c r="AH363" s="7" t="s">
        <v>13</v>
      </c>
      <c r="AI363" s="7" t="s">
        <v>14</v>
      </c>
      <c r="AJ363" s="8" t="s">
        <v>15</v>
      </c>
      <c r="AK363" s="9"/>
      <c r="AL363" s="10"/>
      <c r="AM363" s="9"/>
      <c r="AN363" s="11"/>
      <c r="AO363" s="3"/>
      <c r="AP363" s="10"/>
      <c r="AQ363" s="12" t="s">
        <v>17</v>
      </c>
      <c r="AR363" s="12" t="s">
        <v>18</v>
      </c>
      <c r="AS363" s="12" t="s">
        <v>19</v>
      </c>
    </row>
    <row r="364" spans="3:45" ht="12.75" x14ac:dyDescent="0.2">
      <c r="C364" s="3"/>
      <c r="D364" s="3"/>
      <c r="E364" s="5" t="s">
        <v>20</v>
      </c>
      <c r="F364" s="289">
        <v>1</v>
      </c>
      <c r="G364" s="5">
        <v>2</v>
      </c>
      <c r="H364" s="292">
        <v>3</v>
      </c>
      <c r="I364" s="292">
        <v>4</v>
      </c>
      <c r="J364" s="293">
        <v>5</v>
      </c>
      <c r="K364" s="292">
        <v>6</v>
      </c>
      <c r="L364" s="292">
        <v>7</v>
      </c>
      <c r="M364" s="292">
        <v>8</v>
      </c>
      <c r="N364" s="292">
        <v>9</v>
      </c>
      <c r="O364" s="292">
        <v>10</v>
      </c>
      <c r="P364" s="292">
        <v>11</v>
      </c>
      <c r="Q364" s="293">
        <v>12</v>
      </c>
      <c r="R364" s="292">
        <v>13</v>
      </c>
      <c r="S364" s="292">
        <v>14</v>
      </c>
      <c r="T364" s="292">
        <v>15</v>
      </c>
      <c r="U364" s="292">
        <v>16</v>
      </c>
      <c r="V364" s="292">
        <v>17</v>
      </c>
      <c r="W364" s="292">
        <v>18</v>
      </c>
      <c r="X364" s="293">
        <v>19</v>
      </c>
      <c r="Y364" s="292">
        <v>20</v>
      </c>
      <c r="Z364" s="292">
        <v>21</v>
      </c>
      <c r="AA364" s="292">
        <v>22</v>
      </c>
      <c r="AB364" s="292">
        <v>23</v>
      </c>
      <c r="AC364" s="292">
        <v>24</v>
      </c>
      <c r="AD364" s="292">
        <v>25</v>
      </c>
      <c r="AE364" s="293">
        <v>26</v>
      </c>
      <c r="AF364" s="292">
        <v>27</v>
      </c>
      <c r="AG364" s="292">
        <v>28</v>
      </c>
      <c r="AH364" s="292">
        <v>29</v>
      </c>
      <c r="AI364" s="292">
        <v>30</v>
      </c>
      <c r="AJ364" s="294">
        <v>31</v>
      </c>
      <c r="AK364" s="5" t="s">
        <v>21</v>
      </c>
      <c r="AL364" s="10" t="s">
        <v>18</v>
      </c>
      <c r="AM364" s="9" t="s">
        <v>19</v>
      </c>
      <c r="AN364" s="11" t="s">
        <v>22</v>
      </c>
      <c r="AO364" s="3"/>
      <c r="AP364" s="12" t="s">
        <v>23</v>
      </c>
      <c r="AQ364" s="19">
        <f>AK377-AK430</f>
        <v>-457.59999999999945</v>
      </c>
      <c r="AR364" s="19">
        <f t="shared" ref="AR364:AS364" si="55">(AL377-AL430)</f>
        <v>-399.59999999999945</v>
      </c>
      <c r="AS364" s="19">
        <f t="shared" si="55"/>
        <v>-85</v>
      </c>
    </row>
    <row r="365" spans="3:45" ht="12.75" x14ac:dyDescent="0.2">
      <c r="C365" s="626" t="s">
        <v>24</v>
      </c>
      <c r="D365" s="20" t="s">
        <v>25</v>
      </c>
      <c r="E365" s="23" t="s">
        <v>18</v>
      </c>
      <c r="F365" s="257"/>
      <c r="G365" s="23"/>
      <c r="H365" s="41">
        <v>1176</v>
      </c>
      <c r="I365" s="10"/>
      <c r="J365" s="33"/>
      <c r="K365" s="10"/>
      <c r="L365" s="10"/>
      <c r="M365" s="10"/>
      <c r="N365" s="10"/>
      <c r="O365" s="10"/>
      <c r="P365" s="10"/>
      <c r="Q365" s="31"/>
      <c r="R365" s="10"/>
      <c r="S365" s="10"/>
      <c r="T365" s="10"/>
      <c r="U365" s="10"/>
      <c r="V365" s="10"/>
      <c r="W365" s="10"/>
      <c r="X365" s="33"/>
      <c r="Y365" s="41">
        <v>650</v>
      </c>
      <c r="Z365" s="10"/>
      <c r="AA365" s="10"/>
      <c r="AB365" s="10"/>
      <c r="AC365" s="10"/>
      <c r="AD365" s="10"/>
      <c r="AE365" s="31"/>
      <c r="AF365" s="10"/>
      <c r="AG365" s="10"/>
      <c r="AH365" s="10"/>
      <c r="AI365" s="10"/>
      <c r="AJ365" s="21"/>
      <c r="AK365" s="296">
        <f t="shared" ref="AK365:AK376" si="56">SUM(F365:AJ365)</f>
        <v>1826</v>
      </c>
      <c r="AL365" s="28">
        <f t="shared" ref="AL365:AL366" si="57">AK365</f>
        <v>1826</v>
      </c>
      <c r="AM365" s="9"/>
      <c r="AN365" s="29">
        <f>AL365</f>
        <v>1826</v>
      </c>
      <c r="AO365" s="3"/>
      <c r="AP365" s="3"/>
      <c r="AQ365" s="3"/>
      <c r="AR365" s="3"/>
      <c r="AS365" s="3"/>
    </row>
    <row r="366" spans="3:45" ht="12.75" x14ac:dyDescent="0.2">
      <c r="C366" s="580"/>
      <c r="D366" s="576" t="s">
        <v>26</v>
      </c>
      <c r="E366" s="10" t="s">
        <v>18</v>
      </c>
      <c r="F366" s="45"/>
      <c r="G366" s="10"/>
      <c r="H366" s="10"/>
      <c r="I366" s="10"/>
      <c r="J366" s="31"/>
      <c r="K366" s="10"/>
      <c r="L366" s="10"/>
      <c r="M366" s="10"/>
      <c r="N366" s="10"/>
      <c r="O366" s="10"/>
      <c r="P366" s="10"/>
      <c r="Q366" s="31"/>
      <c r="R366" s="10"/>
      <c r="S366" s="10"/>
      <c r="T366" s="10"/>
      <c r="U366" s="10"/>
      <c r="V366" s="10"/>
      <c r="W366" s="10"/>
      <c r="X366" s="31"/>
      <c r="Y366" s="10"/>
      <c r="Z366" s="10"/>
      <c r="AA366" s="10"/>
      <c r="AB366" s="10"/>
      <c r="AC366" s="10"/>
      <c r="AD366" s="10"/>
      <c r="AE366" s="31"/>
      <c r="AF366" s="10"/>
      <c r="AG366" s="10"/>
      <c r="AH366" s="10"/>
      <c r="AI366" s="10"/>
      <c r="AJ366" s="31"/>
      <c r="AK366" s="297">
        <f t="shared" si="56"/>
        <v>0</v>
      </c>
      <c r="AL366" s="34">
        <f t="shared" si="57"/>
        <v>0</v>
      </c>
      <c r="AM366" s="35"/>
      <c r="AN366" s="582">
        <f>SUM(AL366:AM367)</f>
        <v>0</v>
      </c>
      <c r="AO366" s="3"/>
      <c r="AP366" s="3"/>
      <c r="AQ366" s="3"/>
      <c r="AR366" s="3"/>
      <c r="AS366" s="3"/>
    </row>
    <row r="367" spans="3:45" ht="12.75" x14ac:dyDescent="0.2">
      <c r="C367" s="580"/>
      <c r="D367" s="577"/>
      <c r="E367" s="9" t="s">
        <v>19</v>
      </c>
      <c r="F367" s="259"/>
      <c r="G367" s="9"/>
      <c r="H367" s="9"/>
      <c r="I367" s="9"/>
      <c r="J367" s="36"/>
      <c r="K367" s="9"/>
      <c r="L367" s="9"/>
      <c r="M367" s="9"/>
      <c r="N367" s="9"/>
      <c r="O367" s="9"/>
      <c r="P367" s="9"/>
      <c r="Q367" s="36"/>
      <c r="R367" s="9"/>
      <c r="S367" s="9"/>
      <c r="T367" s="9"/>
      <c r="U367" s="9"/>
      <c r="V367" s="9"/>
      <c r="W367" s="9"/>
      <c r="X367" s="36"/>
      <c r="Y367" s="9"/>
      <c r="Z367" s="9"/>
      <c r="AA367" s="9"/>
      <c r="AB367" s="9"/>
      <c r="AC367" s="9"/>
      <c r="AD367" s="9"/>
      <c r="AE367" s="36"/>
      <c r="AF367" s="9"/>
      <c r="AG367" s="9"/>
      <c r="AH367" s="9"/>
      <c r="AI367" s="9"/>
      <c r="AJ367" s="36"/>
      <c r="AK367" s="298">
        <f t="shared" si="56"/>
        <v>0</v>
      </c>
      <c r="AL367" s="39"/>
      <c r="AM367" s="40">
        <f t="shared" ref="AM367:AM368" si="58">AK367</f>
        <v>0</v>
      </c>
      <c r="AN367" s="583"/>
      <c r="AO367" s="3"/>
      <c r="AP367" s="3"/>
      <c r="AQ367" s="3"/>
      <c r="AR367" s="3"/>
      <c r="AS367" s="3"/>
    </row>
    <row r="368" spans="3:45" ht="12.75" x14ac:dyDescent="0.2">
      <c r="C368" s="580"/>
      <c r="D368" s="30" t="s">
        <v>27</v>
      </c>
      <c r="E368" s="9" t="s">
        <v>19</v>
      </c>
      <c r="F368" s="259"/>
      <c r="G368" s="9"/>
      <c r="H368" s="9"/>
      <c r="I368" s="9"/>
      <c r="J368" s="36"/>
      <c r="K368" s="9"/>
      <c r="L368" s="9"/>
      <c r="M368" s="9"/>
      <c r="N368" s="9"/>
      <c r="O368" s="9"/>
      <c r="P368" s="9"/>
      <c r="Q368" s="36"/>
      <c r="R368" s="9"/>
      <c r="S368" s="9"/>
      <c r="T368" s="9"/>
      <c r="U368" s="9"/>
      <c r="V368" s="9"/>
      <c r="W368" s="9"/>
      <c r="X368" s="36"/>
      <c r="Y368" s="9"/>
      <c r="Z368" s="9"/>
      <c r="AA368" s="9"/>
      <c r="AB368" s="9"/>
      <c r="AC368" s="9"/>
      <c r="AD368" s="9"/>
      <c r="AE368" s="36"/>
      <c r="AF368" s="9"/>
      <c r="AG368" s="9"/>
      <c r="AH368" s="9"/>
      <c r="AI368" s="9"/>
      <c r="AJ368" s="36"/>
      <c r="AK368" s="298">
        <f t="shared" si="56"/>
        <v>0</v>
      </c>
      <c r="AL368" s="10"/>
      <c r="AM368" s="19">
        <f t="shared" si="58"/>
        <v>0</v>
      </c>
      <c r="AN368" s="29">
        <f>AM368</f>
        <v>0</v>
      </c>
      <c r="AO368" s="3"/>
      <c r="AP368" s="3"/>
      <c r="AQ368" s="3"/>
      <c r="AR368" s="3"/>
      <c r="AS368" s="3"/>
    </row>
    <row r="369" spans="3:45" ht="12.75" x14ac:dyDescent="0.2">
      <c r="C369" s="580"/>
      <c r="D369" s="576" t="s">
        <v>28</v>
      </c>
      <c r="E369" s="10" t="s">
        <v>18</v>
      </c>
      <c r="F369" s="45"/>
      <c r="G369" s="10"/>
      <c r="H369" s="28"/>
      <c r="I369" s="10"/>
      <c r="J369" s="31"/>
      <c r="K369" s="10"/>
      <c r="L369" s="10"/>
      <c r="M369" s="10"/>
      <c r="N369" s="10"/>
      <c r="O369" s="10"/>
      <c r="P369" s="10"/>
      <c r="Q369" s="31"/>
      <c r="R369" s="10"/>
      <c r="S369" s="10"/>
      <c r="T369" s="10"/>
      <c r="U369" s="10"/>
      <c r="V369" s="10"/>
      <c r="W369" s="10"/>
      <c r="X369" s="31"/>
      <c r="Y369" s="10"/>
      <c r="Z369" s="10"/>
      <c r="AA369" s="10"/>
      <c r="AB369" s="10"/>
      <c r="AC369" s="10"/>
      <c r="AD369" s="10"/>
      <c r="AE369" s="31"/>
      <c r="AF369" s="10"/>
      <c r="AG369" s="10"/>
      <c r="AH369" s="10"/>
      <c r="AI369" s="10"/>
      <c r="AJ369" s="26">
        <v>100</v>
      </c>
      <c r="AK369" s="297">
        <f t="shared" si="56"/>
        <v>100</v>
      </c>
      <c r="AL369" s="34">
        <f>AK369</f>
        <v>100</v>
      </c>
      <c r="AM369" s="35"/>
      <c r="AN369" s="582">
        <f>SUM(AL369:AM370)</f>
        <v>105</v>
      </c>
      <c r="AO369" s="3"/>
      <c r="AP369" s="3"/>
      <c r="AQ369" s="3"/>
      <c r="AR369" s="3"/>
      <c r="AS369" s="3"/>
    </row>
    <row r="370" spans="3:45" ht="12.75" x14ac:dyDescent="0.2">
      <c r="C370" s="580"/>
      <c r="D370" s="577"/>
      <c r="E370" s="9" t="s">
        <v>19</v>
      </c>
      <c r="F370" s="259"/>
      <c r="G370" s="9"/>
      <c r="H370" s="9"/>
      <c r="I370" s="9"/>
      <c r="J370" s="36"/>
      <c r="K370" s="19"/>
      <c r="L370" s="19"/>
      <c r="M370" s="9"/>
      <c r="N370" s="9"/>
      <c r="O370" s="9"/>
      <c r="P370" s="9"/>
      <c r="Q370" s="36"/>
      <c r="R370" s="9"/>
      <c r="S370" s="9"/>
      <c r="T370" s="9"/>
      <c r="U370" s="9"/>
      <c r="V370" s="9"/>
      <c r="W370" s="9"/>
      <c r="X370" s="36"/>
      <c r="Y370" s="9"/>
      <c r="Z370" s="9"/>
      <c r="AA370" s="42">
        <v>5</v>
      </c>
      <c r="AB370" s="9"/>
      <c r="AC370" s="9"/>
      <c r="AD370" s="9"/>
      <c r="AE370" s="36"/>
      <c r="AF370" s="9"/>
      <c r="AG370" s="9"/>
      <c r="AH370" s="9"/>
      <c r="AI370" s="9"/>
      <c r="AJ370" s="36"/>
      <c r="AK370" s="298">
        <f t="shared" si="56"/>
        <v>5</v>
      </c>
      <c r="AL370" s="39"/>
      <c r="AM370" s="40">
        <f>AK370</f>
        <v>5</v>
      </c>
      <c r="AN370" s="583"/>
      <c r="AO370" s="3"/>
      <c r="AP370" s="3"/>
      <c r="AQ370" s="3"/>
      <c r="AR370" s="3"/>
      <c r="AS370" s="3"/>
    </row>
    <row r="371" spans="3:45" ht="12.75" x14ac:dyDescent="0.2">
      <c r="C371" s="580"/>
      <c r="D371" s="576" t="s">
        <v>29</v>
      </c>
      <c r="E371" s="10" t="s">
        <v>18</v>
      </c>
      <c r="F371" s="45"/>
      <c r="G371" s="10"/>
      <c r="H371" s="10"/>
      <c r="I371" s="10"/>
      <c r="J371" s="31"/>
      <c r="K371" s="10"/>
      <c r="L371" s="10"/>
      <c r="M371" s="10"/>
      <c r="N371" s="10"/>
      <c r="O371" s="10"/>
      <c r="P371" s="10"/>
      <c r="Q371" s="31"/>
      <c r="R371" s="10"/>
      <c r="S371" s="28"/>
      <c r="T371" s="10"/>
      <c r="U371" s="10"/>
      <c r="V371" s="10"/>
      <c r="W371" s="10"/>
      <c r="X371" s="31"/>
      <c r="Y371" s="10"/>
      <c r="Z371" s="10"/>
      <c r="AA371" s="10"/>
      <c r="AB371" s="10"/>
      <c r="AC371" s="10"/>
      <c r="AD371" s="10"/>
      <c r="AE371" s="31"/>
      <c r="AF371" s="10"/>
      <c r="AG371" s="10"/>
      <c r="AH371" s="10"/>
      <c r="AI371" s="10"/>
      <c r="AJ371" s="31"/>
      <c r="AK371" s="297">
        <f t="shared" si="56"/>
        <v>0</v>
      </c>
      <c r="AL371" s="34">
        <f>AK371</f>
        <v>0</v>
      </c>
      <c r="AM371" s="35"/>
      <c r="AN371" s="582">
        <f>SUM(AL371:AM372)</f>
        <v>0</v>
      </c>
      <c r="AO371" s="3"/>
      <c r="AP371" s="3"/>
      <c r="AQ371" s="3"/>
      <c r="AR371" s="3"/>
      <c r="AS371" s="3"/>
    </row>
    <row r="372" spans="3:45" ht="12.75" x14ac:dyDescent="0.2">
      <c r="C372" s="580"/>
      <c r="D372" s="577"/>
      <c r="E372" s="9" t="s">
        <v>19</v>
      </c>
      <c r="F372" s="259"/>
      <c r="G372" s="9"/>
      <c r="H372" s="9"/>
      <c r="I372" s="9"/>
      <c r="J372" s="36"/>
      <c r="K372" s="9"/>
      <c r="L372" s="9"/>
      <c r="M372" s="9"/>
      <c r="N372" s="9"/>
      <c r="O372" s="9"/>
      <c r="P372" s="9"/>
      <c r="Q372" s="36"/>
      <c r="R372" s="9"/>
      <c r="S372" s="9"/>
      <c r="T372" s="9"/>
      <c r="U372" s="9"/>
      <c r="V372" s="9"/>
      <c r="W372" s="9"/>
      <c r="X372" s="36"/>
      <c r="Y372" s="9"/>
      <c r="Z372" s="9"/>
      <c r="AA372" s="9"/>
      <c r="AB372" s="9"/>
      <c r="AC372" s="9"/>
      <c r="AD372" s="9"/>
      <c r="AE372" s="36"/>
      <c r="AF372" s="9"/>
      <c r="AG372" s="9"/>
      <c r="AH372" s="9"/>
      <c r="AI372" s="9"/>
      <c r="AJ372" s="36"/>
      <c r="AK372" s="298">
        <f t="shared" si="56"/>
        <v>0</v>
      </c>
      <c r="AL372" s="39"/>
      <c r="AM372" s="40">
        <f>AK372</f>
        <v>0</v>
      </c>
      <c r="AN372" s="583"/>
      <c r="AO372" s="3"/>
      <c r="AP372" s="3"/>
      <c r="AQ372" s="3"/>
      <c r="AR372" s="3"/>
      <c r="AS372" s="3"/>
    </row>
    <row r="373" spans="3:45" ht="12.75" x14ac:dyDescent="0.2">
      <c r="C373" s="580"/>
      <c r="D373" s="576" t="s">
        <v>30</v>
      </c>
      <c r="E373" s="10" t="s">
        <v>18</v>
      </c>
      <c r="F373" s="45"/>
      <c r="G373" s="10"/>
      <c r="H373" s="10"/>
      <c r="I373" s="10"/>
      <c r="J373" s="31"/>
      <c r="K373" s="10"/>
      <c r="L373" s="10"/>
      <c r="M373" s="10"/>
      <c r="N373" s="10"/>
      <c r="O373" s="10"/>
      <c r="P373" s="10"/>
      <c r="Q373" s="31"/>
      <c r="R373" s="10"/>
      <c r="S373" s="10"/>
      <c r="T373" s="10"/>
      <c r="U373" s="10"/>
      <c r="V373" s="10"/>
      <c r="W373" s="10"/>
      <c r="X373" s="31"/>
      <c r="Y373" s="10"/>
      <c r="Z373" s="10"/>
      <c r="AA373" s="10"/>
      <c r="AB373" s="10"/>
      <c r="AC373" s="10"/>
      <c r="AD373" s="10"/>
      <c r="AE373" s="31"/>
      <c r="AF373" s="10"/>
      <c r="AG373" s="10"/>
      <c r="AH373" s="10"/>
      <c r="AI373" s="10"/>
      <c r="AJ373" s="31"/>
      <c r="AK373" s="297">
        <f t="shared" si="56"/>
        <v>0</v>
      </c>
      <c r="AL373" s="34">
        <f>AK373</f>
        <v>0</v>
      </c>
      <c r="AM373" s="9"/>
      <c r="AN373" s="582">
        <f>SUM(AL373:AM374)</f>
        <v>0</v>
      </c>
      <c r="AO373" s="3"/>
      <c r="AP373" s="3"/>
      <c r="AQ373" s="3"/>
      <c r="AR373" s="3"/>
      <c r="AS373" s="3"/>
    </row>
    <row r="374" spans="3:45" ht="12.75" x14ac:dyDescent="0.2">
      <c r="C374" s="580"/>
      <c r="D374" s="577"/>
      <c r="E374" s="9" t="s">
        <v>19</v>
      </c>
      <c r="F374" s="259"/>
      <c r="G374" s="9"/>
      <c r="H374" s="9"/>
      <c r="I374" s="9"/>
      <c r="J374" s="36"/>
      <c r="K374" s="9"/>
      <c r="L374" s="9"/>
      <c r="M374" s="9"/>
      <c r="N374" s="9"/>
      <c r="O374" s="9"/>
      <c r="P374" s="9"/>
      <c r="Q374" s="36"/>
      <c r="R374" s="9"/>
      <c r="S374" s="9"/>
      <c r="T374" s="9"/>
      <c r="U374" s="9"/>
      <c r="V374" s="9"/>
      <c r="W374" s="9"/>
      <c r="X374" s="36"/>
      <c r="Y374" s="9"/>
      <c r="Z374" s="9"/>
      <c r="AA374" s="9"/>
      <c r="AB374" s="9"/>
      <c r="AC374" s="9"/>
      <c r="AD374" s="9"/>
      <c r="AE374" s="36"/>
      <c r="AF374" s="9"/>
      <c r="AG374" s="9"/>
      <c r="AH374" s="9"/>
      <c r="AI374" s="9"/>
      <c r="AJ374" s="36"/>
      <c r="AK374" s="298">
        <f t="shared" si="56"/>
        <v>0</v>
      </c>
      <c r="AL374" s="45"/>
      <c r="AM374" s="40">
        <f>AK374</f>
        <v>0</v>
      </c>
      <c r="AN374" s="583"/>
      <c r="AO374" s="3"/>
      <c r="AP374" s="3"/>
      <c r="AQ374" s="3"/>
      <c r="AR374" s="3"/>
      <c r="AS374" s="3"/>
    </row>
    <row r="375" spans="3:45" ht="12.75" x14ac:dyDescent="0.2">
      <c r="C375" s="580"/>
      <c r="D375" s="576" t="s">
        <v>31</v>
      </c>
      <c r="E375" s="10" t="s">
        <v>18</v>
      </c>
      <c r="F375" s="45"/>
      <c r="G375" s="10"/>
      <c r="H375" s="10"/>
      <c r="I375" s="10"/>
      <c r="J375" s="31"/>
      <c r="K375" s="10"/>
      <c r="L375" s="10"/>
      <c r="M375" s="10"/>
      <c r="N375" s="10"/>
      <c r="O375" s="10"/>
      <c r="P375" s="10"/>
      <c r="Q375" s="31"/>
      <c r="R375" s="10"/>
      <c r="S375" s="10"/>
      <c r="T375" s="10"/>
      <c r="U375" s="10"/>
      <c r="V375" s="10"/>
      <c r="W375" s="10"/>
      <c r="X375" s="31"/>
      <c r="Y375" s="10"/>
      <c r="Z375" s="10"/>
      <c r="AA375" s="10"/>
      <c r="AB375" s="10"/>
      <c r="AC375" s="10"/>
      <c r="AD375" s="10"/>
      <c r="AE375" s="31"/>
      <c r="AF375" s="10"/>
      <c r="AG375" s="10"/>
      <c r="AH375" s="10"/>
      <c r="AI375" s="10"/>
      <c r="AJ375" s="31"/>
      <c r="AK375" s="297">
        <f t="shared" si="56"/>
        <v>0</v>
      </c>
      <c r="AL375" s="34">
        <f>AK375</f>
        <v>0</v>
      </c>
      <c r="AM375" s="35"/>
      <c r="AN375" s="586">
        <f>SUM(AL375:AM376)</f>
        <v>30</v>
      </c>
      <c r="AO375" s="3"/>
      <c r="AP375" s="3"/>
      <c r="AQ375" s="3"/>
      <c r="AR375" s="3"/>
      <c r="AS375" s="3"/>
    </row>
    <row r="376" spans="3:45" ht="12.75" x14ac:dyDescent="0.2">
      <c r="C376" s="581"/>
      <c r="D376" s="585"/>
      <c r="E376" s="277" t="s">
        <v>19</v>
      </c>
      <c r="F376" s="261"/>
      <c r="G376" s="277"/>
      <c r="H376" s="9"/>
      <c r="I376" s="42">
        <v>25</v>
      </c>
      <c r="J376" s="36"/>
      <c r="K376" s="9"/>
      <c r="L376" s="9"/>
      <c r="M376" s="9"/>
      <c r="N376" s="9"/>
      <c r="O376" s="9"/>
      <c r="P376" s="9"/>
      <c r="Q376" s="36"/>
      <c r="R376" s="9"/>
      <c r="S376" s="9"/>
      <c r="T376" s="9"/>
      <c r="U376" s="9"/>
      <c r="V376" s="9"/>
      <c r="W376" s="42">
        <v>5</v>
      </c>
      <c r="X376" s="36"/>
      <c r="Y376" s="9"/>
      <c r="Z376" s="9"/>
      <c r="AA376" s="9"/>
      <c r="AB376" s="9"/>
      <c r="AC376" s="9"/>
      <c r="AD376" s="9"/>
      <c r="AE376" s="36"/>
      <c r="AF376" s="9"/>
      <c r="AG376" s="9"/>
      <c r="AH376" s="9"/>
      <c r="AI376" s="9"/>
      <c r="AJ376" s="46"/>
      <c r="AK376" s="301">
        <f t="shared" si="56"/>
        <v>30</v>
      </c>
      <c r="AL376" s="39"/>
      <c r="AM376" s="40">
        <f>AK376</f>
        <v>30</v>
      </c>
      <c r="AN376" s="583"/>
      <c r="AO376" s="3"/>
      <c r="AP376" s="3"/>
      <c r="AQ376" s="3"/>
      <c r="AR376" s="3"/>
      <c r="AS376" s="3"/>
    </row>
    <row r="377" spans="3:45" ht="12.75" x14ac:dyDescent="0.2">
      <c r="C377" s="302" t="s">
        <v>32</v>
      </c>
      <c r="D377" s="9"/>
      <c r="E377" s="9"/>
      <c r="F377" s="259"/>
      <c r="G377" s="9"/>
      <c r="H377" s="35"/>
      <c r="I377" s="35"/>
      <c r="J377" s="50"/>
      <c r="K377" s="35"/>
      <c r="L377" s="35"/>
      <c r="M377" s="35"/>
      <c r="N377" s="35"/>
      <c r="O377" s="35"/>
      <c r="P377" s="35"/>
      <c r="Q377" s="50"/>
      <c r="R377" s="35"/>
      <c r="S377" s="35"/>
      <c r="T377" s="35"/>
      <c r="U377" s="35"/>
      <c r="V377" s="35"/>
      <c r="W377" s="35"/>
      <c r="X377" s="50"/>
      <c r="Y377" s="35"/>
      <c r="Z377" s="35"/>
      <c r="AA377" s="35"/>
      <c r="AB377" s="35"/>
      <c r="AC377" s="35"/>
      <c r="AD377" s="35"/>
      <c r="AE377" s="50"/>
      <c r="AF377" s="35"/>
      <c r="AG377" s="35"/>
      <c r="AH377" s="35"/>
      <c r="AI377" s="35"/>
      <c r="AJ377" s="36"/>
      <c r="AK377" s="51">
        <f t="shared" ref="AK377:AM377" si="59">SUM(AK365:AK376)</f>
        <v>1961</v>
      </c>
      <c r="AL377" s="28">
        <f t="shared" si="59"/>
        <v>1926</v>
      </c>
      <c r="AM377" s="19">
        <f t="shared" si="59"/>
        <v>35</v>
      </c>
      <c r="AN377" s="11"/>
      <c r="AO377" s="3"/>
      <c r="AP377" s="3"/>
      <c r="AQ377" s="3"/>
      <c r="AR377" s="3"/>
      <c r="AS377" s="3"/>
    </row>
    <row r="378" spans="3:45" ht="12.75" x14ac:dyDescent="0.2">
      <c r="C378" s="627" t="s">
        <v>33</v>
      </c>
      <c r="D378" s="304" t="s">
        <v>34</v>
      </c>
      <c r="E378" s="305" t="s">
        <v>19</v>
      </c>
      <c r="F378" s="306"/>
      <c r="G378" s="305"/>
      <c r="H378" s="305"/>
      <c r="I378" s="308">
        <v>60</v>
      </c>
      <c r="J378" s="336"/>
      <c r="K378" s="305"/>
      <c r="L378" s="305"/>
      <c r="M378" s="305"/>
      <c r="N378" s="305"/>
      <c r="O378" s="305"/>
      <c r="P378" s="305"/>
      <c r="Q378" s="307"/>
      <c r="R378" s="305"/>
      <c r="S378" s="305"/>
      <c r="T378" s="305"/>
      <c r="U378" s="305"/>
      <c r="V378" s="305"/>
      <c r="W378" s="305"/>
      <c r="X378" s="307"/>
      <c r="Y378" s="305"/>
      <c r="Z378" s="305"/>
      <c r="AA378" s="305"/>
      <c r="AB378" s="305"/>
      <c r="AC378" s="305"/>
      <c r="AD378" s="305"/>
      <c r="AE378" s="307"/>
      <c r="AF378" s="305"/>
      <c r="AG378" s="305"/>
      <c r="AH378" s="305"/>
      <c r="AI378" s="305"/>
      <c r="AJ378" s="307"/>
      <c r="AK378" s="310">
        <f t="shared" ref="AK378:AK379" si="60">SUM(F378:AJ378)</f>
        <v>60</v>
      </c>
      <c r="AL378" s="58"/>
      <c r="AM378" s="59">
        <f>AK378</f>
        <v>60</v>
      </c>
      <c r="AN378" s="60">
        <f>AM378</f>
        <v>60</v>
      </c>
      <c r="AO378" s="3"/>
      <c r="AP378" s="3"/>
      <c r="AQ378" s="3"/>
      <c r="AR378" s="3"/>
      <c r="AS378" s="3"/>
    </row>
    <row r="379" spans="3:45" ht="12.75" x14ac:dyDescent="0.2">
      <c r="C379" s="580"/>
      <c r="D379" s="311" t="s">
        <v>35</v>
      </c>
      <c r="E379" s="65" t="s">
        <v>18</v>
      </c>
      <c r="F379" s="114"/>
      <c r="G379" s="65"/>
      <c r="H379" s="65"/>
      <c r="I379" s="87">
        <v>10</v>
      </c>
      <c r="J379" s="88"/>
      <c r="K379" s="65"/>
      <c r="L379" s="65"/>
      <c r="M379" s="65"/>
      <c r="N379" s="65"/>
      <c r="O379" s="65"/>
      <c r="P379" s="65"/>
      <c r="Q379" s="68"/>
      <c r="R379" s="65"/>
      <c r="S379" s="65"/>
      <c r="T379" s="65"/>
      <c r="U379" s="65"/>
      <c r="V379" s="65"/>
      <c r="W379" s="65"/>
      <c r="X379" s="68"/>
      <c r="Y379" s="65"/>
      <c r="Z379" s="65"/>
      <c r="AA379" s="65"/>
      <c r="AB379" s="65"/>
      <c r="AC379" s="65"/>
      <c r="AD379" s="65"/>
      <c r="AE379" s="68"/>
      <c r="AF379" s="65"/>
      <c r="AG379" s="65"/>
      <c r="AH379" s="65"/>
      <c r="AI379" s="65"/>
      <c r="AJ379" s="68"/>
      <c r="AK379" s="98">
        <f t="shared" si="60"/>
        <v>10</v>
      </c>
      <c r="AL379" s="72">
        <f>AK379</f>
        <v>10</v>
      </c>
      <c r="AM379" s="62"/>
      <c r="AN379" s="73">
        <f>AL379</f>
        <v>10</v>
      </c>
      <c r="AO379" s="3"/>
      <c r="AP379" s="3"/>
      <c r="AQ379" s="3"/>
      <c r="AR379" s="3"/>
      <c r="AS379" s="3"/>
    </row>
    <row r="380" spans="3:45" ht="12.75" x14ac:dyDescent="0.2">
      <c r="C380" s="580"/>
      <c r="D380" s="649" t="s">
        <v>36</v>
      </c>
      <c r="E380" s="65" t="s">
        <v>18</v>
      </c>
      <c r="F380" s="114"/>
      <c r="G380" s="65"/>
      <c r="H380" s="65"/>
      <c r="I380" s="87">
        <v>27</v>
      </c>
      <c r="J380" s="88"/>
      <c r="K380" s="65"/>
      <c r="L380" s="65"/>
      <c r="M380" s="65"/>
      <c r="N380" s="65"/>
      <c r="O380" s="65"/>
      <c r="P380" s="65"/>
      <c r="Q380" s="68"/>
      <c r="R380" s="65"/>
      <c r="S380" s="65"/>
      <c r="T380" s="65"/>
      <c r="U380" s="65"/>
      <c r="V380" s="65"/>
      <c r="W380" s="65"/>
      <c r="X380" s="68"/>
      <c r="Y380" s="65"/>
      <c r="Z380" s="65"/>
      <c r="AA380" s="65"/>
      <c r="AB380" s="65"/>
      <c r="AC380" s="65"/>
      <c r="AD380" s="65"/>
      <c r="AE380" s="68"/>
      <c r="AF380" s="65"/>
      <c r="AG380" s="65"/>
      <c r="AH380" s="65"/>
      <c r="AI380" s="65"/>
      <c r="AJ380" s="68"/>
      <c r="AK380" s="69"/>
      <c r="AL380" s="72">
        <f>SUM(F380:AJ380)</f>
        <v>27</v>
      </c>
      <c r="AM380" s="62"/>
      <c r="AN380" s="589">
        <f>SUM(AL380:AM381)</f>
        <v>27</v>
      </c>
      <c r="AO380" s="3"/>
      <c r="AP380" s="3"/>
      <c r="AQ380" s="3"/>
      <c r="AR380" s="3"/>
      <c r="AS380" s="3"/>
    </row>
    <row r="381" spans="3:45" ht="12.75" x14ac:dyDescent="0.2">
      <c r="C381" s="580"/>
      <c r="D381" s="650"/>
      <c r="E381" s="312" t="s">
        <v>19</v>
      </c>
      <c r="F381" s="313"/>
      <c r="G381" s="312"/>
      <c r="H381" s="312"/>
      <c r="I381" s="312"/>
      <c r="J381" s="314"/>
      <c r="K381" s="312"/>
      <c r="L381" s="312"/>
      <c r="M381" s="312"/>
      <c r="N381" s="312"/>
      <c r="O381" s="312"/>
      <c r="P381" s="312"/>
      <c r="Q381" s="314"/>
      <c r="R381" s="312"/>
      <c r="S381" s="312"/>
      <c r="T381" s="312"/>
      <c r="U381" s="312"/>
      <c r="V381" s="312"/>
      <c r="W381" s="312"/>
      <c r="X381" s="314"/>
      <c r="Y381" s="312"/>
      <c r="Z381" s="312"/>
      <c r="AA381" s="312"/>
      <c r="AB381" s="312"/>
      <c r="AC381" s="312"/>
      <c r="AD381" s="312"/>
      <c r="AE381" s="314"/>
      <c r="AF381" s="312"/>
      <c r="AG381" s="312"/>
      <c r="AH381" s="312"/>
      <c r="AI381" s="312"/>
      <c r="AJ381" s="314"/>
      <c r="AK381" s="315">
        <f t="shared" ref="AK381:AK428" si="61">SUM(F381:AJ381)</f>
        <v>0</v>
      </c>
      <c r="AL381" s="79"/>
      <c r="AM381" s="80">
        <f>AK381</f>
        <v>0</v>
      </c>
      <c r="AN381" s="590"/>
      <c r="AO381" s="3"/>
      <c r="AP381" s="3"/>
      <c r="AQ381" s="3"/>
      <c r="AR381" s="3"/>
      <c r="AS381" s="3"/>
    </row>
    <row r="382" spans="3:45" ht="12.75" x14ac:dyDescent="0.2">
      <c r="C382" s="580"/>
      <c r="D382" s="584" t="s">
        <v>37</v>
      </c>
      <c r="E382" s="65" t="s">
        <v>18</v>
      </c>
      <c r="F382" s="114"/>
      <c r="G382" s="65"/>
      <c r="H382" s="65"/>
      <c r="I382" s="72"/>
      <c r="J382" s="88"/>
      <c r="K382" s="72"/>
      <c r="L382" s="65"/>
      <c r="M382" s="65"/>
      <c r="N382" s="65"/>
      <c r="O382" s="65"/>
      <c r="P382" s="65"/>
      <c r="Q382" s="68"/>
      <c r="R382" s="72"/>
      <c r="S382" s="70">
        <v>5</v>
      </c>
      <c r="T382" s="65"/>
      <c r="U382" s="87">
        <v>16.2</v>
      </c>
      <c r="V382" s="65"/>
      <c r="W382" s="65"/>
      <c r="X382" s="68"/>
      <c r="Y382" s="65"/>
      <c r="Z382" s="65"/>
      <c r="AA382" s="65"/>
      <c r="AB382" s="65"/>
      <c r="AC382" s="72"/>
      <c r="AD382" s="65"/>
      <c r="AE382" s="88"/>
      <c r="AF382" s="72">
        <f>2</f>
        <v>2</v>
      </c>
      <c r="AG382" s="65"/>
      <c r="AH382" s="72"/>
      <c r="AI382" s="65"/>
      <c r="AJ382" s="68"/>
      <c r="AK382" s="98">
        <f t="shared" si="61"/>
        <v>23.2</v>
      </c>
      <c r="AL382" s="89">
        <f>AK382</f>
        <v>23.2</v>
      </c>
      <c r="AM382" s="62"/>
      <c r="AN382" s="586">
        <f>SUM(AL382:AM383)</f>
        <v>23.2</v>
      </c>
      <c r="AO382" s="3"/>
      <c r="AP382" s="3"/>
      <c r="AQ382" s="3"/>
      <c r="AR382" s="3"/>
      <c r="AS382" s="3"/>
    </row>
    <row r="383" spans="3:45" ht="12.75" x14ac:dyDescent="0.2">
      <c r="C383" s="580"/>
      <c r="D383" s="577"/>
      <c r="E383" s="62" t="s">
        <v>19</v>
      </c>
      <c r="F383" s="264"/>
      <c r="G383" s="62"/>
      <c r="H383" s="62"/>
      <c r="I383" s="62"/>
      <c r="J383" s="61"/>
      <c r="K383" s="62"/>
      <c r="L383" s="62"/>
      <c r="M383" s="62"/>
      <c r="N383" s="62"/>
      <c r="O383" s="62"/>
      <c r="P383" s="62"/>
      <c r="Q383" s="61"/>
      <c r="R383" s="62"/>
      <c r="S383" s="62"/>
      <c r="T383" s="62"/>
      <c r="U383" s="62"/>
      <c r="V383" s="62"/>
      <c r="W383" s="62"/>
      <c r="X383" s="61"/>
      <c r="Y383" s="62"/>
      <c r="Z383" s="62"/>
      <c r="AA383" s="62"/>
      <c r="AB383" s="62"/>
      <c r="AC383" s="62"/>
      <c r="AD383" s="62"/>
      <c r="AE383" s="61"/>
      <c r="AF383" s="62"/>
      <c r="AG383" s="62"/>
      <c r="AH383" s="62"/>
      <c r="AI383" s="62"/>
      <c r="AJ383" s="61"/>
      <c r="AK383" s="128">
        <f t="shared" si="61"/>
        <v>0</v>
      </c>
      <c r="AL383" s="93"/>
      <c r="AM383" s="94">
        <f>AK383</f>
        <v>0</v>
      </c>
      <c r="AN383" s="583"/>
      <c r="AO383" s="3"/>
      <c r="AP383" s="3"/>
      <c r="AQ383" s="3"/>
      <c r="AR383" s="3"/>
      <c r="AS383" s="3"/>
    </row>
    <row r="384" spans="3:45" ht="12.75" x14ac:dyDescent="0.2">
      <c r="C384" s="580"/>
      <c r="D384" s="81" t="s">
        <v>38</v>
      </c>
      <c r="E384" s="65" t="s">
        <v>18</v>
      </c>
      <c r="F384" s="114"/>
      <c r="G384" s="65"/>
      <c r="H384" s="65"/>
      <c r="I384" s="65"/>
      <c r="J384" s="68"/>
      <c r="K384" s="65"/>
      <c r="L384" s="65"/>
      <c r="M384" s="65"/>
      <c r="N384" s="65"/>
      <c r="O384" s="65"/>
      <c r="P384" s="65"/>
      <c r="Q384" s="68"/>
      <c r="R384" s="65"/>
      <c r="S384" s="65"/>
      <c r="T384" s="65"/>
      <c r="U384" s="65"/>
      <c r="V384" s="65"/>
      <c r="W384" s="65"/>
      <c r="X384" s="68"/>
      <c r="Y384" s="65"/>
      <c r="Z384" s="65"/>
      <c r="AA384" s="70">
        <v>91.45</v>
      </c>
      <c r="AB384" s="65"/>
      <c r="AC384" s="65"/>
      <c r="AD384" s="65"/>
      <c r="AE384" s="68"/>
      <c r="AF384" s="65"/>
      <c r="AG384" s="65"/>
      <c r="AH384" s="65"/>
      <c r="AI384" s="65"/>
      <c r="AJ384" s="68"/>
      <c r="AK384" s="98">
        <f t="shared" si="61"/>
        <v>91.45</v>
      </c>
      <c r="AL384" s="72">
        <f t="shared" ref="AL384:AL386" si="62">AK384</f>
        <v>91.45</v>
      </c>
      <c r="AM384" s="62"/>
      <c r="AN384" s="29">
        <f t="shared" ref="AN384:AN385" si="63">AL384</f>
        <v>91.45</v>
      </c>
      <c r="AO384" s="3"/>
      <c r="AP384" s="3"/>
      <c r="AQ384" s="3"/>
      <c r="AR384" s="3"/>
      <c r="AS384" s="3"/>
    </row>
    <row r="385" spans="3:45" ht="12.75" x14ac:dyDescent="0.2">
      <c r="C385" s="580"/>
      <c r="D385" s="81" t="s">
        <v>39</v>
      </c>
      <c r="E385" s="65" t="s">
        <v>18</v>
      </c>
      <c r="F385" s="114"/>
      <c r="G385" s="65"/>
      <c r="H385" s="65"/>
      <c r="I385" s="65"/>
      <c r="J385" s="68"/>
      <c r="K385" s="65"/>
      <c r="L385" s="65"/>
      <c r="M385" s="65"/>
      <c r="N385" s="65"/>
      <c r="O385" s="65"/>
      <c r="P385" s="65"/>
      <c r="Q385" s="68"/>
      <c r="R385" s="65"/>
      <c r="S385" s="65"/>
      <c r="T385" s="65"/>
      <c r="U385" s="65"/>
      <c r="V385" s="65"/>
      <c r="W385" s="65"/>
      <c r="X385" s="88"/>
      <c r="Y385" s="65"/>
      <c r="Z385" s="65"/>
      <c r="AA385" s="65"/>
      <c r="AB385" s="65"/>
      <c r="AC385" s="65"/>
      <c r="AD385" s="65"/>
      <c r="AE385" s="68"/>
      <c r="AF385" s="65"/>
      <c r="AG385" s="65"/>
      <c r="AH385" s="65"/>
      <c r="AI385" s="65"/>
      <c r="AJ385" s="68"/>
      <c r="AK385" s="98">
        <f t="shared" si="61"/>
        <v>0</v>
      </c>
      <c r="AL385" s="72">
        <f t="shared" si="62"/>
        <v>0</v>
      </c>
      <c r="AM385" s="62"/>
      <c r="AN385" s="29">
        <f t="shared" si="63"/>
        <v>0</v>
      </c>
      <c r="AO385" s="3"/>
      <c r="AP385" s="3"/>
      <c r="AQ385" s="3"/>
      <c r="AR385" s="3"/>
      <c r="AS385" s="3"/>
    </row>
    <row r="386" spans="3:45" ht="12.75" x14ac:dyDescent="0.2">
      <c r="C386" s="580"/>
      <c r="D386" s="584" t="s">
        <v>40</v>
      </c>
      <c r="E386" s="65" t="s">
        <v>18</v>
      </c>
      <c r="F386" s="114"/>
      <c r="G386" s="65"/>
      <c r="H386" s="65"/>
      <c r="I386" s="65"/>
      <c r="J386" s="68"/>
      <c r="K386" s="65"/>
      <c r="L386" s="65"/>
      <c r="M386" s="65"/>
      <c r="N386" s="65"/>
      <c r="O386" s="65"/>
      <c r="P386" s="65"/>
      <c r="Q386" s="68"/>
      <c r="R386" s="65"/>
      <c r="S386" s="65"/>
      <c r="T386" s="65"/>
      <c r="U386" s="65"/>
      <c r="V386" s="65"/>
      <c r="W386" s="65"/>
      <c r="X386" s="68"/>
      <c r="Y386" s="65"/>
      <c r="Z386" s="65"/>
      <c r="AA386" s="65"/>
      <c r="AB386" s="65"/>
      <c r="AC386" s="65"/>
      <c r="AD386" s="65"/>
      <c r="AE386" s="68"/>
      <c r="AF386" s="65"/>
      <c r="AG386" s="65"/>
      <c r="AH386" s="65"/>
      <c r="AI386" s="65"/>
      <c r="AJ386" s="68"/>
      <c r="AK386" s="98">
        <f t="shared" si="61"/>
        <v>0</v>
      </c>
      <c r="AL386" s="96">
        <f t="shared" si="62"/>
        <v>0</v>
      </c>
      <c r="AM386" s="97"/>
      <c r="AN386" s="582">
        <f>SUM(AL386:AM387)</f>
        <v>0</v>
      </c>
      <c r="AO386" s="3"/>
      <c r="AP386" s="3"/>
      <c r="AQ386" s="3"/>
      <c r="AR386" s="3"/>
      <c r="AS386" s="3"/>
    </row>
    <row r="387" spans="3:45" ht="12.75" x14ac:dyDescent="0.2">
      <c r="C387" s="580"/>
      <c r="D387" s="577"/>
      <c r="E387" s="62" t="s">
        <v>19</v>
      </c>
      <c r="F387" s="264"/>
      <c r="G387" s="62"/>
      <c r="H387" s="62"/>
      <c r="I387" s="62"/>
      <c r="J387" s="61"/>
      <c r="K387" s="62"/>
      <c r="L387" s="62"/>
      <c r="M387" s="62"/>
      <c r="N387" s="62"/>
      <c r="O387" s="62"/>
      <c r="P387" s="62"/>
      <c r="Q387" s="61"/>
      <c r="R387" s="62"/>
      <c r="S387" s="62"/>
      <c r="T387" s="62"/>
      <c r="U387" s="62"/>
      <c r="V387" s="62"/>
      <c r="W387" s="62"/>
      <c r="X387" s="61"/>
      <c r="Y387" s="62"/>
      <c r="Z387" s="62"/>
      <c r="AA387" s="62"/>
      <c r="AB387" s="62"/>
      <c r="AC387" s="62"/>
      <c r="AD387" s="62"/>
      <c r="AE387" s="61"/>
      <c r="AF387" s="62"/>
      <c r="AG387" s="62"/>
      <c r="AH387" s="62"/>
      <c r="AI387" s="62"/>
      <c r="AJ387" s="61"/>
      <c r="AK387" s="128">
        <f t="shared" si="61"/>
        <v>0</v>
      </c>
      <c r="AL387" s="93"/>
      <c r="AM387" s="94">
        <f>AK387</f>
        <v>0</v>
      </c>
      <c r="AN387" s="583"/>
      <c r="AO387" s="3"/>
      <c r="AP387" s="3"/>
      <c r="AQ387" s="3"/>
      <c r="AR387" s="3"/>
      <c r="AS387" s="3"/>
    </row>
    <row r="388" spans="3:45" ht="12.75" x14ac:dyDescent="0.2">
      <c r="C388" s="580"/>
      <c r="D388" s="584" t="s">
        <v>41</v>
      </c>
      <c r="E388" s="65" t="s">
        <v>18</v>
      </c>
      <c r="F388" s="114"/>
      <c r="G388" s="72"/>
      <c r="H388" s="65"/>
      <c r="I388" s="65"/>
      <c r="J388" s="68"/>
      <c r="K388" s="65"/>
      <c r="L388" s="65"/>
      <c r="M388" s="65"/>
      <c r="N388" s="65"/>
      <c r="O388" s="65"/>
      <c r="P388" s="65"/>
      <c r="Q388" s="68"/>
      <c r="R388" s="65"/>
      <c r="S388" s="65"/>
      <c r="T388" s="65"/>
      <c r="U388" s="65"/>
      <c r="V388" s="65"/>
      <c r="W388" s="65"/>
      <c r="X388" s="68"/>
      <c r="Y388" s="65"/>
      <c r="Z388" s="65"/>
      <c r="AA388" s="72"/>
      <c r="AB388" s="65"/>
      <c r="AC388" s="65"/>
      <c r="AD388" s="65"/>
      <c r="AE388" s="68"/>
      <c r="AF388" s="65"/>
      <c r="AG388" s="65"/>
      <c r="AH388" s="65"/>
      <c r="AI388" s="65"/>
      <c r="AJ388" s="68"/>
      <c r="AK388" s="98">
        <f t="shared" si="61"/>
        <v>0</v>
      </c>
      <c r="AL388" s="96">
        <f>AK388</f>
        <v>0</v>
      </c>
      <c r="AM388" s="97"/>
      <c r="AN388" s="582">
        <f>SUM(AL388:AM389)</f>
        <v>0</v>
      </c>
      <c r="AO388" s="3"/>
      <c r="AP388" s="3"/>
      <c r="AQ388" s="3"/>
      <c r="AR388" s="3"/>
      <c r="AS388" s="3"/>
    </row>
    <row r="389" spans="3:45" ht="12.75" x14ac:dyDescent="0.2">
      <c r="C389" s="580"/>
      <c r="D389" s="577"/>
      <c r="E389" s="62" t="s">
        <v>19</v>
      </c>
      <c r="F389" s="264"/>
      <c r="G389" s="62"/>
      <c r="H389" s="62"/>
      <c r="I389" s="62"/>
      <c r="J389" s="61"/>
      <c r="K389" s="62"/>
      <c r="L389" s="62"/>
      <c r="M389" s="62"/>
      <c r="N389" s="62"/>
      <c r="O389" s="62"/>
      <c r="P389" s="62"/>
      <c r="Q389" s="61"/>
      <c r="R389" s="62"/>
      <c r="S389" s="62"/>
      <c r="T389" s="62"/>
      <c r="U389" s="62"/>
      <c r="V389" s="62"/>
      <c r="W389" s="62"/>
      <c r="X389" s="61"/>
      <c r="Y389" s="62"/>
      <c r="Z389" s="62"/>
      <c r="AA389" s="62"/>
      <c r="AB389" s="62"/>
      <c r="AC389" s="62"/>
      <c r="AD389" s="62"/>
      <c r="AE389" s="61"/>
      <c r="AF389" s="62"/>
      <c r="AG389" s="62"/>
      <c r="AH389" s="62"/>
      <c r="AI389" s="62"/>
      <c r="AJ389" s="61"/>
      <c r="AK389" s="128">
        <f t="shared" si="61"/>
        <v>0</v>
      </c>
      <c r="AL389" s="93"/>
      <c r="AM389" s="94">
        <f>AK389</f>
        <v>0</v>
      </c>
      <c r="AN389" s="583"/>
      <c r="AO389" s="3"/>
      <c r="AP389" s="3"/>
      <c r="AQ389" s="3"/>
      <c r="AR389" s="3"/>
      <c r="AS389" s="3"/>
    </row>
    <row r="390" spans="3:45" ht="12.75" x14ac:dyDescent="0.2">
      <c r="C390" s="580"/>
      <c r="D390" s="81" t="s">
        <v>42</v>
      </c>
      <c r="E390" s="65" t="s">
        <v>18</v>
      </c>
      <c r="F390" s="114"/>
      <c r="G390" s="72"/>
      <c r="H390" s="65"/>
      <c r="I390" s="65"/>
      <c r="J390" s="68"/>
      <c r="K390" s="65"/>
      <c r="L390" s="65"/>
      <c r="M390" s="65"/>
      <c r="N390" s="70">
        <v>51.25</v>
      </c>
      <c r="O390" s="87">
        <v>93.66</v>
      </c>
      <c r="P390" s="72">
        <f>50+60+10</f>
        <v>120</v>
      </c>
      <c r="Q390" s="88">
        <f>50+50+30+10</f>
        <v>140</v>
      </c>
      <c r="R390" s="65"/>
      <c r="S390" s="65"/>
      <c r="T390" s="65"/>
      <c r="U390" s="65"/>
      <c r="V390" s="72"/>
      <c r="W390" s="87"/>
      <c r="X390" s="95">
        <f>95.14+63.55</f>
        <v>158.69</v>
      </c>
      <c r="Y390" s="65"/>
      <c r="Z390" s="65"/>
      <c r="AA390" s="65"/>
      <c r="AB390" s="87">
        <f>70+50</f>
        <v>120</v>
      </c>
      <c r="AC390" s="87">
        <f>100+10</f>
        <v>110</v>
      </c>
      <c r="AD390" s="65"/>
      <c r="AE390" s="68"/>
      <c r="AF390" s="65"/>
      <c r="AG390" s="65"/>
      <c r="AH390" s="87">
        <f>10+10</f>
        <v>20</v>
      </c>
      <c r="AI390" s="65"/>
      <c r="AJ390" s="95">
        <f>50+50+50</f>
        <v>150</v>
      </c>
      <c r="AK390" s="98">
        <f t="shared" si="61"/>
        <v>963.59999999999991</v>
      </c>
      <c r="AL390" s="72">
        <f>AK390</f>
        <v>963.59999999999991</v>
      </c>
      <c r="AM390" s="62"/>
      <c r="AN390" s="29">
        <f>AL390</f>
        <v>963.59999999999991</v>
      </c>
      <c r="AO390" s="3"/>
      <c r="AP390" s="3"/>
      <c r="AQ390" s="3"/>
      <c r="AR390" s="3"/>
      <c r="AS390" s="3"/>
    </row>
    <row r="391" spans="3:45" ht="12.75" x14ac:dyDescent="0.2">
      <c r="C391" s="580"/>
      <c r="D391" s="81" t="s">
        <v>43</v>
      </c>
      <c r="E391" s="62" t="s">
        <v>19</v>
      </c>
      <c r="F391" s="264"/>
      <c r="G391" s="62"/>
      <c r="H391" s="62"/>
      <c r="I391" s="62"/>
      <c r="J391" s="61"/>
      <c r="K391" s="62"/>
      <c r="L391" s="62"/>
      <c r="M391" s="62"/>
      <c r="N391" s="62"/>
      <c r="O391" s="62"/>
      <c r="P391" s="62"/>
      <c r="Q391" s="61"/>
      <c r="R391" s="62"/>
      <c r="S391" s="62"/>
      <c r="T391" s="62"/>
      <c r="U391" s="62"/>
      <c r="V391" s="62"/>
      <c r="W391" s="62"/>
      <c r="X391" s="61"/>
      <c r="Y391" s="62"/>
      <c r="Z391" s="62"/>
      <c r="AA391" s="62"/>
      <c r="AB391" s="62"/>
      <c r="AC391" s="62"/>
      <c r="AD391" s="62"/>
      <c r="AE391" s="61"/>
      <c r="AF391" s="62"/>
      <c r="AG391" s="62"/>
      <c r="AH391" s="62"/>
      <c r="AI391" s="62"/>
      <c r="AJ391" s="61"/>
      <c r="AK391" s="128">
        <f t="shared" si="61"/>
        <v>0</v>
      </c>
      <c r="AL391" s="65"/>
      <c r="AM391" s="66">
        <f>AK391</f>
        <v>0</v>
      </c>
      <c r="AN391" s="29">
        <f>AM391</f>
        <v>0</v>
      </c>
      <c r="AO391" s="3"/>
      <c r="AP391" s="3"/>
      <c r="AQ391" s="3"/>
      <c r="AR391" s="3"/>
      <c r="AS391" s="3"/>
    </row>
    <row r="392" spans="3:45" ht="12.75" x14ac:dyDescent="0.2">
      <c r="C392" s="580"/>
      <c r="D392" s="584" t="s">
        <v>44</v>
      </c>
      <c r="E392" s="65" t="s">
        <v>18</v>
      </c>
      <c r="F392" s="114"/>
      <c r="G392" s="65"/>
      <c r="H392" s="65"/>
      <c r="I392" s="65"/>
      <c r="J392" s="68"/>
      <c r="K392" s="65"/>
      <c r="L392" s="65"/>
      <c r="M392" s="65"/>
      <c r="N392" s="65"/>
      <c r="O392" s="65"/>
      <c r="P392" s="65"/>
      <c r="Q392" s="68"/>
      <c r="R392" s="65"/>
      <c r="S392" s="65"/>
      <c r="T392" s="65"/>
      <c r="U392" s="65"/>
      <c r="V392" s="65"/>
      <c r="W392" s="65"/>
      <c r="X392" s="68"/>
      <c r="Y392" s="65"/>
      <c r="Z392" s="65"/>
      <c r="AA392" s="65"/>
      <c r="AB392" s="65"/>
      <c r="AC392" s="65"/>
      <c r="AD392" s="65"/>
      <c r="AE392" s="68"/>
      <c r="AF392" s="65"/>
      <c r="AG392" s="65"/>
      <c r="AH392" s="65"/>
      <c r="AI392" s="65"/>
      <c r="AJ392" s="68"/>
      <c r="AK392" s="98">
        <f t="shared" si="61"/>
        <v>0</v>
      </c>
      <c r="AL392" s="96">
        <f>AK392</f>
        <v>0</v>
      </c>
      <c r="AM392" s="97"/>
      <c r="AN392" s="582">
        <f>SUM(AL392:AM393)</f>
        <v>0</v>
      </c>
      <c r="AO392" s="3"/>
      <c r="AP392" s="3"/>
      <c r="AQ392" s="3"/>
      <c r="AR392" s="3"/>
      <c r="AS392" s="3"/>
    </row>
    <row r="393" spans="3:45" ht="12.75" x14ac:dyDescent="0.2">
      <c r="C393" s="581"/>
      <c r="D393" s="585"/>
      <c r="E393" s="62" t="s">
        <v>19</v>
      </c>
      <c r="F393" s="265"/>
      <c r="G393" s="284"/>
      <c r="H393" s="62"/>
      <c r="I393" s="62"/>
      <c r="J393" s="61"/>
      <c r="K393" s="62"/>
      <c r="L393" s="62"/>
      <c r="M393" s="62"/>
      <c r="N393" s="62"/>
      <c r="O393" s="62"/>
      <c r="P393" s="62"/>
      <c r="Q393" s="61"/>
      <c r="R393" s="62"/>
      <c r="S393" s="62"/>
      <c r="T393" s="62"/>
      <c r="U393" s="62"/>
      <c r="V393" s="62"/>
      <c r="W393" s="62"/>
      <c r="X393" s="61"/>
      <c r="Y393" s="62"/>
      <c r="Z393" s="62"/>
      <c r="AA393" s="62"/>
      <c r="AB393" s="62"/>
      <c r="AC393" s="62"/>
      <c r="AD393" s="62"/>
      <c r="AE393" s="61"/>
      <c r="AF393" s="62"/>
      <c r="AG393" s="62"/>
      <c r="AH393" s="62"/>
      <c r="AI393" s="62"/>
      <c r="AJ393" s="100"/>
      <c r="AK393" s="128">
        <f t="shared" si="61"/>
        <v>0</v>
      </c>
      <c r="AL393" s="93"/>
      <c r="AM393" s="94">
        <f>AK393</f>
        <v>0</v>
      </c>
      <c r="AN393" s="583"/>
      <c r="AO393" s="3"/>
      <c r="AP393" s="3"/>
      <c r="AQ393" s="3"/>
      <c r="AR393" s="3"/>
      <c r="AS393" s="3"/>
    </row>
    <row r="394" spans="3:45" ht="12.75" x14ac:dyDescent="0.2">
      <c r="C394" s="627" t="s">
        <v>45</v>
      </c>
      <c r="D394" s="599" t="s">
        <v>46</v>
      </c>
      <c r="E394" s="105" t="s">
        <v>18</v>
      </c>
      <c r="F394" s="96"/>
      <c r="G394" s="105"/>
      <c r="H394" s="105"/>
      <c r="I394" s="108">
        <f>5.79+4.68+5.93+1.75+4.25+5.99</f>
        <v>28.39</v>
      </c>
      <c r="J394" s="107"/>
      <c r="K394" s="108"/>
      <c r="L394" s="108">
        <f>8.81</f>
        <v>8.81</v>
      </c>
      <c r="M394" s="105"/>
      <c r="N394" s="105"/>
      <c r="O394" s="108">
        <f>6.95+5.69</f>
        <v>12.64</v>
      </c>
      <c r="P394" s="105"/>
      <c r="Q394" s="103">
        <f>13.99+5.53+3.44+3.69</f>
        <v>26.650000000000002</v>
      </c>
      <c r="R394" s="108"/>
      <c r="S394" s="105"/>
      <c r="T394" s="108">
        <f>0.99*2+7.31</f>
        <v>9.2899999999999991</v>
      </c>
      <c r="U394" s="105"/>
      <c r="V394" s="108">
        <f>13.99+5.69-0.57</f>
        <v>19.11</v>
      </c>
      <c r="W394" s="108"/>
      <c r="X394" s="107"/>
      <c r="Y394" s="106">
        <v>57.46</v>
      </c>
      <c r="Z394" s="108"/>
      <c r="AA394" s="108">
        <f>17.6-2.89</f>
        <v>14.71</v>
      </c>
      <c r="AB394" s="105"/>
      <c r="AC394" s="108"/>
      <c r="AD394" s="106">
        <v>53.76</v>
      </c>
      <c r="AE394" s="103">
        <f>22.69-3.92</f>
        <v>18.770000000000003</v>
      </c>
      <c r="AF394" s="105">
        <f>3.49*5-1.63</f>
        <v>15.820000000000004</v>
      </c>
      <c r="AG394" s="105">
        <f>18.98-3.92</f>
        <v>15.06</v>
      </c>
      <c r="AH394" s="109">
        <v>0.73</v>
      </c>
      <c r="AI394" s="105"/>
      <c r="AJ394" s="103"/>
      <c r="AK394" s="98">
        <f t="shared" si="61"/>
        <v>281.20000000000005</v>
      </c>
      <c r="AL394" s="96">
        <f>AK394</f>
        <v>281.20000000000005</v>
      </c>
      <c r="AM394" s="97"/>
      <c r="AN394" s="582">
        <f>SUM(AL394:AM395)</f>
        <v>292.01000000000005</v>
      </c>
      <c r="AO394" s="3"/>
      <c r="AP394" s="3"/>
      <c r="AQ394" s="3"/>
      <c r="AR394" s="3"/>
      <c r="AS394" s="3"/>
    </row>
    <row r="395" spans="3:45" ht="12.75" x14ac:dyDescent="0.2">
      <c r="C395" s="580"/>
      <c r="D395" s="577"/>
      <c r="E395" s="62" t="s">
        <v>19</v>
      </c>
      <c r="F395" s="264"/>
      <c r="G395" s="62"/>
      <c r="H395" s="62"/>
      <c r="I395" s="62"/>
      <c r="J395" s="61"/>
      <c r="K395" s="62"/>
      <c r="L395" s="62"/>
      <c r="M395" s="62"/>
      <c r="N395" s="62"/>
      <c r="O395" s="62"/>
      <c r="P395" s="62"/>
      <c r="Q395" s="61"/>
      <c r="R395" s="62"/>
      <c r="S395" s="62"/>
      <c r="T395" s="62"/>
      <c r="U395" s="62"/>
      <c r="V395" s="62"/>
      <c r="W395" s="62"/>
      <c r="X395" s="61"/>
      <c r="Y395" s="62"/>
      <c r="Z395" s="62"/>
      <c r="AA395" s="62"/>
      <c r="AB395" s="62"/>
      <c r="AC395" s="62"/>
      <c r="AD395" s="62"/>
      <c r="AE395" s="61"/>
      <c r="AF395" s="62"/>
      <c r="AG395" s="62"/>
      <c r="AH395" s="62">
        <f>3.62+7.19</f>
        <v>10.81</v>
      </c>
      <c r="AI395" s="62"/>
      <c r="AJ395" s="61"/>
      <c r="AK395" s="128">
        <f t="shared" si="61"/>
        <v>10.81</v>
      </c>
      <c r="AL395" s="93"/>
      <c r="AM395" s="94">
        <f>AK395</f>
        <v>10.81</v>
      </c>
      <c r="AN395" s="583"/>
      <c r="AO395" s="3"/>
      <c r="AP395" s="3"/>
      <c r="AQ395" s="3"/>
      <c r="AR395" s="3"/>
      <c r="AS395" s="3"/>
    </row>
    <row r="396" spans="3:45" ht="12.75" x14ac:dyDescent="0.2">
      <c r="C396" s="580"/>
      <c r="D396" s="591" t="s">
        <v>47</v>
      </c>
      <c r="E396" s="65" t="s">
        <v>18</v>
      </c>
      <c r="F396" s="267">
        <v>10.1</v>
      </c>
      <c r="G396" s="70">
        <v>18.7</v>
      </c>
      <c r="H396" s="72"/>
      <c r="I396" s="72">
        <f>2.37+2.3+5.96+1.15+1.26+1.69+9.29+19.93+10.71</f>
        <v>54.66</v>
      </c>
      <c r="J396" s="88"/>
      <c r="K396" s="65"/>
      <c r="L396" s="65">
        <f>7.89+8.81</f>
        <v>16.7</v>
      </c>
      <c r="M396" s="72"/>
      <c r="N396" s="72">
        <f>42.54+0.62</f>
        <v>43.16</v>
      </c>
      <c r="O396" s="72">
        <f>0.89*2</f>
        <v>1.78</v>
      </c>
      <c r="P396" s="72">
        <f>(0.89*4)+7.58+5.69</f>
        <v>16.830000000000002</v>
      </c>
      <c r="Q396" s="88">
        <f>(0.89*4)+4.79</f>
        <v>8.35</v>
      </c>
      <c r="R396" s="72"/>
      <c r="S396" s="87">
        <v>3.56</v>
      </c>
      <c r="T396" s="72">
        <f>3.56+3.56+1.29+7.89</f>
        <v>16.3</v>
      </c>
      <c r="U396" s="72"/>
      <c r="V396" s="72">
        <f>0.89*4+1.99+9.89</f>
        <v>15.440000000000001</v>
      </c>
      <c r="W396" s="70">
        <f>11+4.29+1.19+(0.98*4)+(2.4*2)</f>
        <v>25.2</v>
      </c>
      <c r="X396" s="88"/>
      <c r="Y396" s="72"/>
      <c r="Z396" s="72"/>
      <c r="AA396" s="72">
        <f>3</f>
        <v>3</v>
      </c>
      <c r="AB396" s="72"/>
      <c r="AC396" s="72"/>
      <c r="AD396" s="72"/>
      <c r="AE396" s="99">
        <v>3.92</v>
      </c>
      <c r="AF396" s="72">
        <f>2.59</f>
        <v>2.59</v>
      </c>
      <c r="AG396" s="65">
        <f>0.98*4</f>
        <v>3.92</v>
      </c>
      <c r="AH396" s="65"/>
      <c r="AI396" s="87">
        <v>3.92</v>
      </c>
      <c r="AJ396" s="68"/>
      <c r="AK396" s="98">
        <f t="shared" si="61"/>
        <v>248.12999999999997</v>
      </c>
      <c r="AL396" s="96">
        <f>AK396</f>
        <v>248.12999999999997</v>
      </c>
      <c r="AM396" s="97"/>
      <c r="AN396" s="593">
        <f>SUM(AL396:AM397)</f>
        <v>271.32</v>
      </c>
      <c r="AO396" s="3"/>
      <c r="AP396" s="3"/>
      <c r="AQ396" s="3"/>
      <c r="AR396" s="3"/>
      <c r="AS396" s="3"/>
    </row>
    <row r="397" spans="3:45" ht="12.75" x14ac:dyDescent="0.2">
      <c r="C397" s="580"/>
      <c r="D397" s="577"/>
      <c r="E397" s="62" t="s">
        <v>19</v>
      </c>
      <c r="F397" s="264"/>
      <c r="G397" s="62"/>
      <c r="H397" s="62"/>
      <c r="I397" s="62"/>
      <c r="J397" s="92"/>
      <c r="K397" s="62"/>
      <c r="L397" s="62"/>
      <c r="M397" s="66"/>
      <c r="N397" s="91">
        <v>20</v>
      </c>
      <c r="O397" s="62"/>
      <c r="P397" s="66"/>
      <c r="Q397" s="92"/>
      <c r="R397" s="62"/>
      <c r="S397" s="62"/>
      <c r="T397" s="66"/>
      <c r="U397" s="66"/>
      <c r="V397" s="62"/>
      <c r="W397" s="62"/>
      <c r="X397" s="61"/>
      <c r="Y397" s="62"/>
      <c r="Z397" s="62"/>
      <c r="AA397" s="62"/>
      <c r="AB397" s="62"/>
      <c r="AC397" s="62"/>
      <c r="AD397" s="62"/>
      <c r="AE397" s="61"/>
      <c r="AF397" s="62"/>
      <c r="AG397" s="62"/>
      <c r="AH397" s="62">
        <f>3.92-0.73</f>
        <v>3.19</v>
      </c>
      <c r="AI397" s="62"/>
      <c r="AJ397" s="61"/>
      <c r="AK397" s="128">
        <f t="shared" si="61"/>
        <v>23.19</v>
      </c>
      <c r="AL397" s="93"/>
      <c r="AM397" s="94">
        <f>AK397</f>
        <v>23.19</v>
      </c>
      <c r="AN397" s="583"/>
      <c r="AO397" s="3"/>
      <c r="AP397" s="3"/>
      <c r="AQ397" s="3"/>
      <c r="AR397" s="3"/>
      <c r="AS397" s="3"/>
    </row>
    <row r="398" spans="3:45" ht="12.75" x14ac:dyDescent="0.2">
      <c r="C398" s="580"/>
      <c r="D398" s="591" t="s">
        <v>48</v>
      </c>
      <c r="E398" s="65" t="s">
        <v>18</v>
      </c>
      <c r="F398" s="267">
        <v>4.53</v>
      </c>
      <c r="G398" s="87">
        <v>4.53</v>
      </c>
      <c r="H398" s="65"/>
      <c r="I398" s="65"/>
      <c r="J398" s="68"/>
      <c r="K398" s="87">
        <v>4.53</v>
      </c>
      <c r="L398" s="65"/>
      <c r="M398" s="65"/>
      <c r="N398" s="65"/>
      <c r="O398" s="65"/>
      <c r="P398" s="65"/>
      <c r="Q398" s="68"/>
      <c r="R398" s="65"/>
      <c r="S398" s="87">
        <v>7</v>
      </c>
      <c r="T398" s="65"/>
      <c r="U398" s="65"/>
      <c r="V398" s="87">
        <v>10.11</v>
      </c>
      <c r="W398" s="65"/>
      <c r="X398" s="68"/>
      <c r="Y398" s="87">
        <v>6.75</v>
      </c>
      <c r="Z398" s="65"/>
      <c r="AA398" s="65"/>
      <c r="AB398" s="65"/>
      <c r="AC398" s="72"/>
      <c r="AD398" s="72"/>
      <c r="AE398" s="68"/>
      <c r="AF398" s="65"/>
      <c r="AG398" s="65"/>
      <c r="AH398" s="65"/>
      <c r="AI398" s="87">
        <v>2.2200000000000002</v>
      </c>
      <c r="AJ398" s="68"/>
      <c r="AK398" s="98">
        <f t="shared" si="61"/>
        <v>39.67</v>
      </c>
      <c r="AL398" s="96">
        <f>AK398</f>
        <v>39.67</v>
      </c>
      <c r="AM398" s="97"/>
      <c r="AN398" s="582">
        <f>SUM(AL398:AM399)</f>
        <v>39.67</v>
      </c>
      <c r="AO398" s="3"/>
      <c r="AP398" s="3"/>
      <c r="AQ398" s="3"/>
      <c r="AR398" s="3"/>
      <c r="AS398" s="3"/>
    </row>
    <row r="399" spans="3:45" ht="12.75" x14ac:dyDescent="0.2">
      <c r="C399" s="580"/>
      <c r="D399" s="577"/>
      <c r="E399" s="62" t="s">
        <v>19</v>
      </c>
      <c r="F399" s="264"/>
      <c r="G399" s="62"/>
      <c r="H399" s="62"/>
      <c r="I399" s="62"/>
      <c r="J399" s="61"/>
      <c r="K399" s="62"/>
      <c r="L399" s="62"/>
      <c r="M399" s="62"/>
      <c r="N399" s="62"/>
      <c r="O399" s="62"/>
      <c r="P399" s="62"/>
      <c r="Q399" s="61"/>
      <c r="R399" s="62"/>
      <c r="S399" s="62"/>
      <c r="T399" s="62"/>
      <c r="U399" s="62"/>
      <c r="V399" s="62"/>
      <c r="W399" s="62"/>
      <c r="X399" s="61"/>
      <c r="Y399" s="62"/>
      <c r="Z399" s="62"/>
      <c r="AA399" s="62"/>
      <c r="AB399" s="62"/>
      <c r="AC399" s="62"/>
      <c r="AD399" s="62"/>
      <c r="AE399" s="61"/>
      <c r="AF399" s="62"/>
      <c r="AG399" s="62"/>
      <c r="AH399" s="62"/>
      <c r="AI399" s="62"/>
      <c r="AJ399" s="61"/>
      <c r="AK399" s="128">
        <f t="shared" si="61"/>
        <v>0</v>
      </c>
      <c r="AL399" s="93"/>
      <c r="AM399" s="94">
        <f>AK399</f>
        <v>0</v>
      </c>
      <c r="AN399" s="583"/>
      <c r="AO399" s="3"/>
      <c r="AP399" s="3"/>
      <c r="AQ399" s="3"/>
      <c r="AR399" s="3"/>
      <c r="AS399" s="3"/>
    </row>
    <row r="400" spans="3:45" ht="12.75" x14ac:dyDescent="0.2">
      <c r="C400" s="580"/>
      <c r="D400" s="591" t="s">
        <v>49</v>
      </c>
      <c r="E400" s="65" t="s">
        <v>18</v>
      </c>
      <c r="F400" s="114"/>
      <c r="G400" s="65"/>
      <c r="H400" s="65"/>
      <c r="I400" s="70">
        <v>10</v>
      </c>
      <c r="J400" s="88"/>
      <c r="K400" s="65"/>
      <c r="L400" s="65"/>
      <c r="M400" s="65"/>
      <c r="N400" s="87">
        <v>1.78</v>
      </c>
      <c r="O400" s="87">
        <v>4</v>
      </c>
      <c r="P400" s="65"/>
      <c r="Q400" s="95">
        <v>4</v>
      </c>
      <c r="R400" s="65"/>
      <c r="S400" s="65">
        <f>4+5.5</f>
        <v>9.5</v>
      </c>
      <c r="T400" s="87">
        <v>8</v>
      </c>
      <c r="U400" s="65"/>
      <c r="V400" s="72"/>
      <c r="W400" s="72"/>
      <c r="X400" s="99">
        <v>8</v>
      </c>
      <c r="Y400" s="65"/>
      <c r="Z400" s="65"/>
      <c r="AA400" s="65">
        <f>4+5</f>
        <v>9</v>
      </c>
      <c r="AB400" s="72"/>
      <c r="AC400" s="72"/>
      <c r="AD400" s="87">
        <v>10</v>
      </c>
      <c r="AE400" s="88"/>
      <c r="AF400" s="65"/>
      <c r="AG400" s="65"/>
      <c r="AH400" s="65"/>
      <c r="AI400" s="65"/>
      <c r="AJ400" s="68"/>
      <c r="AK400" s="98">
        <f t="shared" si="61"/>
        <v>64.28</v>
      </c>
      <c r="AL400" s="96">
        <f>AK400</f>
        <v>64.28</v>
      </c>
      <c r="AM400" s="97"/>
      <c r="AN400" s="582">
        <f>SUM(AL400:AM401)</f>
        <v>80.28</v>
      </c>
      <c r="AO400" s="3"/>
      <c r="AP400" s="3"/>
      <c r="AQ400" s="3"/>
      <c r="AR400" s="3"/>
      <c r="AS400" s="3"/>
    </row>
    <row r="401" spans="3:45" ht="12.75" x14ac:dyDescent="0.2">
      <c r="C401" s="580"/>
      <c r="D401" s="577"/>
      <c r="E401" s="62" t="s">
        <v>19</v>
      </c>
      <c r="F401" s="272"/>
      <c r="G401" s="63">
        <v>3</v>
      </c>
      <c r="H401" s="62"/>
      <c r="I401" s="62"/>
      <c r="J401" s="61"/>
      <c r="K401" s="91">
        <v>5</v>
      </c>
      <c r="L401" s="66"/>
      <c r="M401" s="66"/>
      <c r="N401" s="66"/>
      <c r="O401" s="66"/>
      <c r="P401" s="66"/>
      <c r="Q401" s="92"/>
      <c r="R401" s="62"/>
      <c r="S401" s="62"/>
      <c r="T401" s="62"/>
      <c r="U401" s="62"/>
      <c r="V401" s="62"/>
      <c r="W401" s="62"/>
      <c r="X401" s="61"/>
      <c r="Y401" s="62"/>
      <c r="Z401" s="62"/>
      <c r="AA401" s="62"/>
      <c r="AB401" s="62"/>
      <c r="AC401" s="62"/>
      <c r="AD401" s="62"/>
      <c r="AE401" s="61"/>
      <c r="AF401" s="62"/>
      <c r="AG401" s="91">
        <v>4</v>
      </c>
      <c r="AH401" s="62"/>
      <c r="AI401" s="91">
        <v>4</v>
      </c>
      <c r="AJ401" s="61"/>
      <c r="AK401" s="128">
        <f t="shared" si="61"/>
        <v>16</v>
      </c>
      <c r="AL401" s="93"/>
      <c r="AM401" s="94">
        <f>AK401</f>
        <v>16</v>
      </c>
      <c r="AN401" s="583"/>
      <c r="AO401" s="3"/>
      <c r="AP401" s="3"/>
      <c r="AQ401" s="3"/>
      <c r="AR401" s="3"/>
      <c r="AS401" s="3"/>
    </row>
    <row r="402" spans="3:45" ht="12.75" x14ac:dyDescent="0.2">
      <c r="C402" s="580"/>
      <c r="D402" s="592" t="s">
        <v>50</v>
      </c>
      <c r="E402" s="65" t="s">
        <v>18</v>
      </c>
      <c r="F402" s="267">
        <v>1.3</v>
      </c>
      <c r="G402" s="70">
        <v>6.3</v>
      </c>
      <c r="H402" s="72"/>
      <c r="I402" s="70">
        <v>12.6</v>
      </c>
      <c r="J402" s="68"/>
      <c r="K402" s="70">
        <v>6.3</v>
      </c>
      <c r="L402" s="87">
        <v>6.3</v>
      </c>
      <c r="M402" s="87">
        <v>6.3</v>
      </c>
      <c r="N402" s="70">
        <v>6.3</v>
      </c>
      <c r="O402" s="70">
        <v>6.3</v>
      </c>
      <c r="P402" s="70">
        <v>6.3</v>
      </c>
      <c r="Q402" s="68"/>
      <c r="R402" s="72"/>
      <c r="S402" s="87">
        <v>6.3</v>
      </c>
      <c r="T402" s="72"/>
      <c r="U402" s="70">
        <v>12.6</v>
      </c>
      <c r="V402" s="72"/>
      <c r="W402" s="70">
        <v>16.09</v>
      </c>
      <c r="X402" s="88"/>
      <c r="Y402" s="70">
        <v>44.1</v>
      </c>
      <c r="Z402" s="72"/>
      <c r="AA402" s="72"/>
      <c r="AB402" s="72"/>
      <c r="AC402" s="72"/>
      <c r="AD402" s="72"/>
      <c r="AE402" s="88"/>
      <c r="AF402" s="87">
        <v>6.3</v>
      </c>
      <c r="AG402" s="65"/>
      <c r="AH402" s="87">
        <v>6.3</v>
      </c>
      <c r="AI402" s="65">
        <f>6.3+1.3</f>
        <v>7.6</v>
      </c>
      <c r="AJ402" s="68"/>
      <c r="AK402" s="98">
        <f t="shared" si="61"/>
        <v>157.29</v>
      </c>
      <c r="AL402" s="96">
        <f>AK402</f>
        <v>157.29</v>
      </c>
      <c r="AM402" s="97"/>
      <c r="AN402" s="582">
        <f>SUM(AL402:AM403)</f>
        <v>167.29</v>
      </c>
      <c r="AO402" s="3"/>
      <c r="AP402" s="3"/>
      <c r="AQ402" s="3"/>
      <c r="AR402" s="3"/>
      <c r="AS402" s="3"/>
    </row>
    <row r="403" spans="3:45" ht="12.75" x14ac:dyDescent="0.2">
      <c r="C403" s="580"/>
      <c r="D403" s="577"/>
      <c r="E403" s="62" t="s">
        <v>19</v>
      </c>
      <c r="F403" s="269">
        <v>5</v>
      </c>
      <c r="G403" s="66"/>
      <c r="H403" s="62"/>
      <c r="I403" s="62"/>
      <c r="J403" s="61"/>
      <c r="K403" s="62"/>
      <c r="L403" s="62"/>
      <c r="M403" s="66"/>
      <c r="N403" s="62"/>
      <c r="O403" s="62"/>
      <c r="P403" s="62"/>
      <c r="Q403" s="92"/>
      <c r="R403" s="62"/>
      <c r="S403" s="62"/>
      <c r="T403" s="66"/>
      <c r="U403" s="62"/>
      <c r="V403" s="62"/>
      <c r="W403" s="62"/>
      <c r="X403" s="61"/>
      <c r="Y403" s="62"/>
      <c r="Z403" s="62"/>
      <c r="AA403" s="62"/>
      <c r="AB403" s="62"/>
      <c r="AC403" s="62"/>
      <c r="AD403" s="62"/>
      <c r="AE403" s="61"/>
      <c r="AF403" s="62"/>
      <c r="AG403" s="62"/>
      <c r="AH403" s="62"/>
      <c r="AI403" s="91">
        <v>5</v>
      </c>
      <c r="AJ403" s="61"/>
      <c r="AK403" s="128">
        <f t="shared" si="61"/>
        <v>10</v>
      </c>
      <c r="AL403" s="93"/>
      <c r="AM403" s="94">
        <f>AK403</f>
        <v>10</v>
      </c>
      <c r="AN403" s="583"/>
      <c r="AO403" s="3"/>
      <c r="AP403" s="3"/>
      <c r="AQ403" s="3"/>
      <c r="AR403" s="3"/>
      <c r="AS403" s="3"/>
    </row>
    <row r="404" spans="3:45" ht="12.75" x14ac:dyDescent="0.2">
      <c r="C404" s="580"/>
      <c r="D404" s="592" t="s">
        <v>1</v>
      </c>
      <c r="E404" s="65" t="s">
        <v>18</v>
      </c>
      <c r="F404" s="114"/>
      <c r="G404" s="65"/>
      <c r="H404" s="65"/>
      <c r="I404" s="65">
        <f>3.29*2</f>
        <v>6.58</v>
      </c>
      <c r="J404" s="68"/>
      <c r="K404" s="72">
        <f>9.5+9.5+11+11+5.5</f>
        <v>46.5</v>
      </c>
      <c r="L404" s="65"/>
      <c r="M404" s="65"/>
      <c r="N404" s="65"/>
      <c r="O404" s="65"/>
      <c r="P404" s="65"/>
      <c r="Q404" s="68"/>
      <c r="R404" s="72"/>
      <c r="S404" s="65"/>
      <c r="T404" s="65"/>
      <c r="U404" s="65"/>
      <c r="V404" s="87">
        <v>2.39</v>
      </c>
      <c r="W404" s="87">
        <v>36</v>
      </c>
      <c r="X404" s="68"/>
      <c r="Y404" s="65"/>
      <c r="Z404" s="65"/>
      <c r="AA404" s="87">
        <v>2.89</v>
      </c>
      <c r="AB404" s="65"/>
      <c r="AC404" s="65"/>
      <c r="AD404" s="65"/>
      <c r="AE404" s="68"/>
      <c r="AF404" s="72"/>
      <c r="AG404" s="65"/>
      <c r="AH404" s="65"/>
      <c r="AI404" s="65"/>
      <c r="AJ404" s="68"/>
      <c r="AK404" s="98">
        <f t="shared" si="61"/>
        <v>94.36</v>
      </c>
      <c r="AL404" s="89">
        <f>AK404</f>
        <v>94.36</v>
      </c>
      <c r="AM404" s="62"/>
      <c r="AN404" s="582">
        <f>SUM(AL404:AM405)</f>
        <v>94.36</v>
      </c>
      <c r="AO404" s="3"/>
      <c r="AP404" s="3"/>
      <c r="AQ404" s="3"/>
      <c r="AR404" s="3"/>
      <c r="AS404" s="3"/>
    </row>
    <row r="405" spans="3:45" ht="12.75" x14ac:dyDescent="0.2">
      <c r="C405" s="580"/>
      <c r="D405" s="577"/>
      <c r="E405" s="62" t="s">
        <v>19</v>
      </c>
      <c r="F405" s="264"/>
      <c r="G405" s="62"/>
      <c r="H405" s="62"/>
      <c r="I405" s="62"/>
      <c r="J405" s="92"/>
      <c r="K405" s="62"/>
      <c r="L405" s="62"/>
      <c r="M405" s="62"/>
      <c r="N405" s="62"/>
      <c r="O405" s="62"/>
      <c r="P405" s="62"/>
      <c r="Q405" s="61"/>
      <c r="R405" s="62"/>
      <c r="S405" s="62"/>
      <c r="T405" s="62"/>
      <c r="U405" s="62"/>
      <c r="V405" s="62"/>
      <c r="W405" s="62"/>
      <c r="X405" s="61"/>
      <c r="Y405" s="62"/>
      <c r="Z405" s="62"/>
      <c r="AA405" s="62"/>
      <c r="AB405" s="62"/>
      <c r="AC405" s="62"/>
      <c r="AD405" s="62"/>
      <c r="AE405" s="61"/>
      <c r="AF405" s="62"/>
      <c r="AG405" s="62"/>
      <c r="AH405" s="62"/>
      <c r="AI405" s="62"/>
      <c r="AJ405" s="61"/>
      <c r="AK405" s="128">
        <f t="shared" si="61"/>
        <v>0</v>
      </c>
      <c r="AL405" s="114"/>
      <c r="AM405" s="66">
        <f>AK405</f>
        <v>0</v>
      </c>
      <c r="AN405" s="583"/>
      <c r="AO405" s="3"/>
      <c r="AP405" s="3"/>
      <c r="AQ405" s="3"/>
      <c r="AR405" s="3"/>
      <c r="AS405" s="3"/>
    </row>
    <row r="406" spans="3:45" ht="12.75" x14ac:dyDescent="0.2">
      <c r="C406" s="580"/>
      <c r="D406" s="576" t="s">
        <v>51</v>
      </c>
      <c r="E406" s="65" t="s">
        <v>18</v>
      </c>
      <c r="F406" s="114"/>
      <c r="G406" s="65"/>
      <c r="H406" s="65"/>
      <c r="I406" s="87">
        <v>37.94</v>
      </c>
      <c r="J406" s="68"/>
      <c r="K406" s="65"/>
      <c r="L406" s="65"/>
      <c r="M406" s="87">
        <v>30.47</v>
      </c>
      <c r="N406" s="65"/>
      <c r="O406" s="65"/>
      <c r="P406" s="65"/>
      <c r="Q406" s="68"/>
      <c r="R406" s="65"/>
      <c r="S406" s="65"/>
      <c r="T406" s="65"/>
      <c r="U406" s="65"/>
      <c r="V406" s="65"/>
      <c r="W406" s="65"/>
      <c r="X406" s="68"/>
      <c r="Y406" s="65"/>
      <c r="Z406" s="65"/>
      <c r="AA406" s="65"/>
      <c r="AB406" s="65"/>
      <c r="AC406" s="65"/>
      <c r="AD406" s="65"/>
      <c r="AE406" s="68"/>
      <c r="AF406" s="65"/>
      <c r="AG406" s="65"/>
      <c r="AH406" s="65"/>
      <c r="AI406" s="65"/>
      <c r="AJ406" s="68"/>
      <c r="AK406" s="98">
        <f t="shared" si="61"/>
        <v>68.41</v>
      </c>
      <c r="AL406" s="96">
        <f>AK406</f>
        <v>68.41</v>
      </c>
      <c r="AM406" s="97"/>
      <c r="AN406" s="586">
        <f>SUM(AL406:AM407)</f>
        <v>68.41</v>
      </c>
      <c r="AO406" s="3"/>
      <c r="AP406" s="3"/>
      <c r="AQ406" s="3"/>
      <c r="AR406" s="3"/>
      <c r="AS406" s="3"/>
    </row>
    <row r="407" spans="3:45" ht="12.75" x14ac:dyDescent="0.2">
      <c r="C407" s="580"/>
      <c r="D407" s="577"/>
      <c r="E407" s="62" t="s">
        <v>19</v>
      </c>
      <c r="F407" s="264"/>
      <c r="G407" s="62"/>
      <c r="H407" s="62"/>
      <c r="I407" s="62"/>
      <c r="J407" s="61"/>
      <c r="K407" s="62"/>
      <c r="L407" s="62"/>
      <c r="M407" s="62"/>
      <c r="N407" s="62"/>
      <c r="O407" s="62"/>
      <c r="P407" s="62"/>
      <c r="Q407" s="61"/>
      <c r="R407" s="62"/>
      <c r="S407" s="62"/>
      <c r="T407" s="62"/>
      <c r="U407" s="62"/>
      <c r="V407" s="62"/>
      <c r="W407" s="62"/>
      <c r="X407" s="61"/>
      <c r="Y407" s="62"/>
      <c r="Z407" s="62"/>
      <c r="AA407" s="62"/>
      <c r="AB407" s="62"/>
      <c r="AC407" s="62"/>
      <c r="AD407" s="62"/>
      <c r="AE407" s="61"/>
      <c r="AF407" s="62"/>
      <c r="AG407" s="62"/>
      <c r="AH407" s="62"/>
      <c r="AI407" s="62"/>
      <c r="AJ407" s="61"/>
      <c r="AK407" s="128">
        <f t="shared" si="61"/>
        <v>0</v>
      </c>
      <c r="AL407" s="93"/>
      <c r="AM407" s="94">
        <f>AK407</f>
        <v>0</v>
      </c>
      <c r="AN407" s="583"/>
      <c r="AO407" s="3"/>
      <c r="AP407" s="3"/>
      <c r="AQ407" s="3"/>
      <c r="AR407" s="3"/>
      <c r="AS407" s="3"/>
    </row>
    <row r="408" spans="3:45" ht="12.75" x14ac:dyDescent="0.2">
      <c r="C408" s="580"/>
      <c r="D408" s="576" t="s">
        <v>52</v>
      </c>
      <c r="E408" s="65" t="s">
        <v>18</v>
      </c>
      <c r="F408" s="114"/>
      <c r="G408" s="65"/>
      <c r="H408" s="65"/>
      <c r="I408" s="65"/>
      <c r="J408" s="68"/>
      <c r="K408" s="65"/>
      <c r="L408" s="65"/>
      <c r="M408" s="65"/>
      <c r="N408" s="65"/>
      <c r="O408" s="65"/>
      <c r="P408" s="65"/>
      <c r="Q408" s="68"/>
      <c r="R408" s="65"/>
      <c r="S408" s="65"/>
      <c r="T408" s="65"/>
      <c r="U408" s="65"/>
      <c r="V408" s="65"/>
      <c r="W408" s="87">
        <v>13.99</v>
      </c>
      <c r="X408" s="68"/>
      <c r="Y408" s="65"/>
      <c r="Z408" s="65"/>
      <c r="AA408" s="65"/>
      <c r="AB408" s="65"/>
      <c r="AC408" s="65"/>
      <c r="AD408" s="65"/>
      <c r="AE408" s="68"/>
      <c r="AF408" s="65"/>
      <c r="AG408" s="65"/>
      <c r="AH408" s="65"/>
      <c r="AI408" s="65"/>
      <c r="AJ408" s="68"/>
      <c r="AK408" s="98">
        <f t="shared" si="61"/>
        <v>13.99</v>
      </c>
      <c r="AL408" s="96">
        <f>AK408</f>
        <v>13.99</v>
      </c>
      <c r="AM408" s="97"/>
      <c r="AN408" s="582">
        <f>SUM(AL408:AM409)</f>
        <v>13.99</v>
      </c>
      <c r="AO408" s="3"/>
      <c r="AP408" s="3"/>
      <c r="AQ408" s="3"/>
      <c r="AR408" s="3"/>
      <c r="AS408" s="3"/>
    </row>
    <row r="409" spans="3:45" ht="12.75" x14ac:dyDescent="0.2">
      <c r="C409" s="581"/>
      <c r="D409" s="585"/>
      <c r="E409" s="62" t="s">
        <v>19</v>
      </c>
      <c r="F409" s="264"/>
      <c r="G409" s="62"/>
      <c r="H409" s="62"/>
      <c r="I409" s="62"/>
      <c r="J409" s="61"/>
      <c r="K409" s="62"/>
      <c r="L409" s="62"/>
      <c r="M409" s="62"/>
      <c r="N409" s="62"/>
      <c r="O409" s="62"/>
      <c r="P409" s="62"/>
      <c r="Q409" s="61"/>
      <c r="R409" s="62"/>
      <c r="S409" s="62"/>
      <c r="T409" s="62"/>
      <c r="U409" s="62"/>
      <c r="V409" s="62"/>
      <c r="W409" s="62"/>
      <c r="X409" s="61"/>
      <c r="Y409" s="62"/>
      <c r="Z409" s="62"/>
      <c r="AA409" s="62"/>
      <c r="AB409" s="62"/>
      <c r="AC409" s="62"/>
      <c r="AD409" s="62"/>
      <c r="AE409" s="61"/>
      <c r="AF409" s="62"/>
      <c r="AG409" s="62"/>
      <c r="AH409" s="62"/>
      <c r="AI409" s="62"/>
      <c r="AJ409" s="61"/>
      <c r="AK409" s="128">
        <f t="shared" si="61"/>
        <v>0</v>
      </c>
      <c r="AL409" s="93"/>
      <c r="AM409" s="94">
        <f>AK409</f>
        <v>0</v>
      </c>
      <c r="AN409" s="583"/>
      <c r="AO409" s="3"/>
      <c r="AP409" s="3"/>
      <c r="AQ409" s="3"/>
      <c r="AR409" s="3"/>
      <c r="AS409" s="3"/>
    </row>
    <row r="410" spans="3:45" ht="12.75" x14ac:dyDescent="0.2">
      <c r="C410" s="627" t="s">
        <v>53</v>
      </c>
      <c r="D410" s="115" t="s">
        <v>54</v>
      </c>
      <c r="E410" s="105" t="s">
        <v>18</v>
      </c>
      <c r="F410" s="271"/>
      <c r="G410" s="105"/>
      <c r="H410" s="105"/>
      <c r="I410" s="105"/>
      <c r="J410" s="103"/>
      <c r="K410" s="105"/>
      <c r="L410" s="105"/>
      <c r="M410" s="105"/>
      <c r="N410" s="105"/>
      <c r="O410" s="105"/>
      <c r="P410" s="105"/>
      <c r="Q410" s="103"/>
      <c r="R410" s="105"/>
      <c r="S410" s="105"/>
      <c r="T410" s="108"/>
      <c r="U410" s="105"/>
      <c r="V410" s="105"/>
      <c r="W410" s="108"/>
      <c r="X410" s="103"/>
      <c r="Y410" s="105"/>
      <c r="Z410" s="108"/>
      <c r="AA410" s="105"/>
      <c r="AB410" s="105"/>
      <c r="AC410" s="105"/>
      <c r="AD410" s="105"/>
      <c r="AE410" s="103"/>
      <c r="AF410" s="105"/>
      <c r="AG410" s="105"/>
      <c r="AH410" s="105"/>
      <c r="AI410" s="105"/>
      <c r="AJ410" s="103"/>
      <c r="AK410" s="98">
        <f t="shared" si="61"/>
        <v>0</v>
      </c>
      <c r="AL410" s="72">
        <f t="shared" ref="AL410:AL411" si="64">AK410</f>
        <v>0</v>
      </c>
      <c r="AM410" s="62"/>
      <c r="AN410" s="29">
        <f>AL410</f>
        <v>0</v>
      </c>
      <c r="AO410" s="3"/>
      <c r="AP410" s="3"/>
      <c r="AQ410" s="3"/>
      <c r="AR410" s="3"/>
      <c r="AS410" s="3"/>
    </row>
    <row r="411" spans="3:45" ht="12.75" x14ac:dyDescent="0.2">
      <c r="C411" s="580"/>
      <c r="D411" s="584" t="s">
        <v>55</v>
      </c>
      <c r="E411" s="65" t="s">
        <v>18</v>
      </c>
      <c r="F411" s="114"/>
      <c r="G411" s="65"/>
      <c r="H411" s="65"/>
      <c r="I411" s="65"/>
      <c r="J411" s="68"/>
      <c r="K411" s="65"/>
      <c r="L411" s="65"/>
      <c r="M411" s="65"/>
      <c r="N411" s="65"/>
      <c r="O411" s="65"/>
      <c r="P411" s="65"/>
      <c r="Q411" s="68"/>
      <c r="R411" s="65"/>
      <c r="S411" s="65"/>
      <c r="T411" s="65"/>
      <c r="U411" s="65"/>
      <c r="V411" s="65"/>
      <c r="W411" s="65"/>
      <c r="X411" s="68"/>
      <c r="Y411" s="65"/>
      <c r="Z411" s="65"/>
      <c r="AA411" s="65"/>
      <c r="AB411" s="65"/>
      <c r="AC411" s="65"/>
      <c r="AD411" s="65"/>
      <c r="AE411" s="68"/>
      <c r="AF411" s="65"/>
      <c r="AG411" s="65"/>
      <c r="AH411" s="65"/>
      <c r="AI411" s="65"/>
      <c r="AJ411" s="68"/>
      <c r="AK411" s="98">
        <f t="shared" si="61"/>
        <v>0</v>
      </c>
      <c r="AL411" s="96">
        <f t="shared" si="64"/>
        <v>0</v>
      </c>
      <c r="AM411" s="97"/>
      <c r="AN411" s="582">
        <f>SUM(AL411:AM412)</f>
        <v>0</v>
      </c>
      <c r="AO411" s="3"/>
      <c r="AP411" s="3"/>
      <c r="AQ411" s="3"/>
      <c r="AR411" s="3"/>
      <c r="AS411" s="3"/>
    </row>
    <row r="412" spans="3:45" ht="12.75" x14ac:dyDescent="0.2">
      <c r="C412" s="580"/>
      <c r="D412" s="577"/>
      <c r="E412" s="62" t="s">
        <v>19</v>
      </c>
      <c r="F412" s="264"/>
      <c r="G412" s="62"/>
      <c r="H412" s="62"/>
      <c r="I412" s="62"/>
      <c r="J412" s="61"/>
      <c r="K412" s="62"/>
      <c r="L412" s="62"/>
      <c r="M412" s="62"/>
      <c r="N412" s="62"/>
      <c r="O412" s="62"/>
      <c r="P412" s="62"/>
      <c r="Q412" s="61"/>
      <c r="R412" s="62"/>
      <c r="S412" s="62"/>
      <c r="T412" s="62"/>
      <c r="U412" s="62"/>
      <c r="V412" s="62"/>
      <c r="W412" s="62"/>
      <c r="X412" s="61"/>
      <c r="Y412" s="62"/>
      <c r="Z412" s="62"/>
      <c r="AA412" s="62"/>
      <c r="AB412" s="62"/>
      <c r="AC412" s="62"/>
      <c r="AD412" s="62"/>
      <c r="AE412" s="61"/>
      <c r="AF412" s="62"/>
      <c r="AG412" s="62"/>
      <c r="AH412" s="62"/>
      <c r="AI412" s="62"/>
      <c r="AJ412" s="61"/>
      <c r="AK412" s="128">
        <f t="shared" si="61"/>
        <v>0</v>
      </c>
      <c r="AL412" s="93"/>
      <c r="AM412" s="94">
        <f>AK412</f>
        <v>0</v>
      </c>
      <c r="AN412" s="583"/>
      <c r="AO412" s="3"/>
      <c r="AP412" s="3"/>
      <c r="AQ412" s="3"/>
      <c r="AR412" s="3"/>
      <c r="AS412" s="3"/>
    </row>
    <row r="413" spans="3:45" ht="12.75" x14ac:dyDescent="0.2">
      <c r="C413" s="580"/>
      <c r="D413" s="584" t="s">
        <v>56</v>
      </c>
      <c r="E413" s="65" t="s">
        <v>18</v>
      </c>
      <c r="F413" s="114"/>
      <c r="G413" s="72"/>
      <c r="H413" s="65"/>
      <c r="I413" s="65"/>
      <c r="J413" s="68"/>
      <c r="K413" s="65"/>
      <c r="L413" s="65"/>
      <c r="M413" s="65"/>
      <c r="N413" s="65"/>
      <c r="O413" s="65"/>
      <c r="P413" s="65"/>
      <c r="Q413" s="68"/>
      <c r="R413" s="65"/>
      <c r="S413" s="65"/>
      <c r="T413" s="65"/>
      <c r="U413" s="65"/>
      <c r="V413" s="65"/>
      <c r="W413" s="65"/>
      <c r="X413" s="68"/>
      <c r="Y413" s="65"/>
      <c r="Z413" s="65"/>
      <c r="AA413" s="65"/>
      <c r="AB413" s="65"/>
      <c r="AC413" s="65"/>
      <c r="AD413" s="65"/>
      <c r="AE413" s="68"/>
      <c r="AF413" s="65"/>
      <c r="AG413" s="65"/>
      <c r="AH413" s="65"/>
      <c r="AI413" s="65"/>
      <c r="AJ413" s="68"/>
      <c r="AK413" s="98">
        <f t="shared" si="61"/>
        <v>0</v>
      </c>
      <c r="AL413" s="96">
        <f>AK413</f>
        <v>0</v>
      </c>
      <c r="AM413" s="97"/>
      <c r="AN413" s="582">
        <f>SUM(AL413:AM414)</f>
        <v>0</v>
      </c>
      <c r="AO413" s="3"/>
      <c r="AP413" s="3"/>
      <c r="AQ413" s="3"/>
      <c r="AR413" s="3"/>
      <c r="AS413" s="3"/>
    </row>
    <row r="414" spans="3:45" ht="12.75" x14ac:dyDescent="0.2">
      <c r="C414" s="580"/>
      <c r="D414" s="577"/>
      <c r="E414" s="62" t="s">
        <v>19</v>
      </c>
      <c r="F414" s="264"/>
      <c r="G414" s="62"/>
      <c r="H414" s="62"/>
      <c r="I414" s="62"/>
      <c r="J414" s="61"/>
      <c r="K414" s="62"/>
      <c r="L414" s="62"/>
      <c r="M414" s="62"/>
      <c r="N414" s="62"/>
      <c r="O414" s="62"/>
      <c r="P414" s="62"/>
      <c r="Q414" s="61"/>
      <c r="R414" s="62"/>
      <c r="S414" s="62"/>
      <c r="T414" s="62"/>
      <c r="U414" s="62"/>
      <c r="V414" s="62"/>
      <c r="W414" s="62"/>
      <c r="X414" s="61"/>
      <c r="Y414" s="62"/>
      <c r="Z414" s="62"/>
      <c r="AA414" s="62"/>
      <c r="AB414" s="62"/>
      <c r="AC414" s="62"/>
      <c r="AD414" s="62"/>
      <c r="AE414" s="61"/>
      <c r="AF414" s="62"/>
      <c r="AG414" s="62"/>
      <c r="AH414" s="62"/>
      <c r="AI414" s="62"/>
      <c r="AJ414" s="61"/>
      <c r="AK414" s="128">
        <f t="shared" si="61"/>
        <v>0</v>
      </c>
      <c r="AL414" s="93"/>
      <c r="AM414" s="94">
        <f>AK414</f>
        <v>0</v>
      </c>
      <c r="AN414" s="583"/>
      <c r="AO414" s="3"/>
      <c r="AP414" s="3"/>
      <c r="AQ414" s="3"/>
      <c r="AR414" s="3"/>
      <c r="AS414" s="3"/>
    </row>
    <row r="415" spans="3:45" ht="12.75" x14ac:dyDescent="0.2">
      <c r="C415" s="580"/>
      <c r="D415" s="584" t="s">
        <v>57</v>
      </c>
      <c r="E415" s="65" t="s">
        <v>18</v>
      </c>
      <c r="F415" s="114"/>
      <c r="G415" s="65"/>
      <c r="H415" s="65"/>
      <c r="I415" s="65"/>
      <c r="J415" s="68"/>
      <c r="K415" s="65"/>
      <c r="L415" s="87">
        <v>148.02000000000001</v>
      </c>
      <c r="M415" s="65"/>
      <c r="N415" s="65"/>
      <c r="O415" s="65"/>
      <c r="P415" s="65"/>
      <c r="Q415" s="68"/>
      <c r="R415" s="65"/>
      <c r="S415" s="65"/>
      <c r="T415" s="65"/>
      <c r="U415" s="65"/>
      <c r="V415" s="65"/>
      <c r="W415" s="65"/>
      <c r="X415" s="68"/>
      <c r="Y415" s="65"/>
      <c r="Z415" s="65"/>
      <c r="AA415" s="65"/>
      <c r="AB415" s="65"/>
      <c r="AC415" s="65"/>
      <c r="AD415" s="65"/>
      <c r="AE415" s="68"/>
      <c r="AF415" s="65"/>
      <c r="AG415" s="65"/>
      <c r="AH415" s="65"/>
      <c r="AI415" s="65"/>
      <c r="AJ415" s="68"/>
      <c r="AK415" s="98">
        <f t="shared" si="61"/>
        <v>148.02000000000001</v>
      </c>
      <c r="AL415" s="96">
        <f>AK415</f>
        <v>148.02000000000001</v>
      </c>
      <c r="AM415" s="97"/>
      <c r="AN415" s="582">
        <f>SUM(AL415:AM416)</f>
        <v>148.02000000000001</v>
      </c>
      <c r="AO415" s="3"/>
      <c r="AP415" s="3"/>
      <c r="AQ415" s="3"/>
      <c r="AR415" s="3"/>
      <c r="AS415" s="3"/>
    </row>
    <row r="416" spans="3:45" ht="12.75" x14ac:dyDescent="0.2">
      <c r="C416" s="581"/>
      <c r="D416" s="585"/>
      <c r="E416" s="284" t="s">
        <v>19</v>
      </c>
      <c r="F416" s="265"/>
      <c r="G416" s="284"/>
      <c r="H416" s="62"/>
      <c r="I416" s="62"/>
      <c r="J416" s="92"/>
      <c r="K416" s="62"/>
      <c r="L416" s="62"/>
      <c r="M416" s="62"/>
      <c r="N416" s="62"/>
      <c r="O416" s="62"/>
      <c r="P416" s="62"/>
      <c r="Q416" s="61"/>
      <c r="R416" s="62"/>
      <c r="S416" s="62"/>
      <c r="T416" s="62"/>
      <c r="U416" s="62"/>
      <c r="V416" s="62"/>
      <c r="W416" s="62"/>
      <c r="X416" s="61"/>
      <c r="Y416" s="62"/>
      <c r="Z416" s="62"/>
      <c r="AA416" s="62"/>
      <c r="AB416" s="62"/>
      <c r="AC416" s="62"/>
      <c r="AD416" s="62"/>
      <c r="AE416" s="61"/>
      <c r="AF416" s="62"/>
      <c r="AG416" s="62"/>
      <c r="AH416" s="62"/>
      <c r="AI416" s="62"/>
      <c r="AJ416" s="100"/>
      <c r="AK416" s="128">
        <f t="shared" si="61"/>
        <v>0</v>
      </c>
      <c r="AL416" s="93"/>
      <c r="AM416" s="94">
        <f>AK416</f>
        <v>0</v>
      </c>
      <c r="AN416" s="583"/>
      <c r="AO416" s="3"/>
      <c r="AP416" s="3"/>
      <c r="AQ416" s="3"/>
      <c r="AR416" s="3"/>
      <c r="AS416" s="3"/>
    </row>
    <row r="417" spans="3:45" ht="12.75" x14ac:dyDescent="0.2">
      <c r="C417" s="627" t="s">
        <v>58</v>
      </c>
      <c r="D417" s="604" t="s">
        <v>59</v>
      </c>
      <c r="E417" s="105" t="s">
        <v>18</v>
      </c>
      <c r="F417" s="271"/>
      <c r="G417" s="105"/>
      <c r="H417" s="105"/>
      <c r="I417" s="105"/>
      <c r="J417" s="103"/>
      <c r="K417" s="105"/>
      <c r="L417" s="105"/>
      <c r="M417" s="105"/>
      <c r="N417" s="105"/>
      <c r="O417" s="105"/>
      <c r="P417" s="105"/>
      <c r="Q417" s="103"/>
      <c r="R417" s="105"/>
      <c r="S417" s="105"/>
      <c r="T417" s="105"/>
      <c r="U417" s="105"/>
      <c r="V417" s="105"/>
      <c r="W417" s="109">
        <v>22</v>
      </c>
      <c r="X417" s="103"/>
      <c r="Y417" s="109">
        <v>25</v>
      </c>
      <c r="Z417" s="105"/>
      <c r="AA417" s="105"/>
      <c r="AB417" s="108"/>
      <c r="AC417" s="105"/>
      <c r="AD417" s="105"/>
      <c r="AE417" s="103"/>
      <c r="AF417" s="105"/>
      <c r="AG417" s="105"/>
      <c r="AH417" s="105"/>
      <c r="AI417" s="105"/>
      <c r="AJ417" s="103"/>
      <c r="AK417" s="98">
        <f t="shared" si="61"/>
        <v>47</v>
      </c>
      <c r="AL417" s="96">
        <f>AK417</f>
        <v>47</v>
      </c>
      <c r="AM417" s="97"/>
      <c r="AN417" s="616">
        <f>SUM(AL417:AM418)</f>
        <v>47</v>
      </c>
      <c r="AO417" s="3"/>
      <c r="AP417" s="3"/>
      <c r="AQ417" s="3"/>
      <c r="AR417" s="3"/>
      <c r="AS417" s="3"/>
    </row>
    <row r="418" spans="3:45" ht="12.75" x14ac:dyDescent="0.2">
      <c r="C418" s="580"/>
      <c r="D418" s="577"/>
      <c r="E418" s="62" t="s">
        <v>19</v>
      </c>
      <c r="F418" s="264"/>
      <c r="G418" s="62"/>
      <c r="H418" s="62"/>
      <c r="I418" s="62"/>
      <c r="J418" s="61"/>
      <c r="K418" s="62"/>
      <c r="L418" s="62"/>
      <c r="M418" s="62"/>
      <c r="N418" s="66"/>
      <c r="O418" s="62"/>
      <c r="P418" s="62"/>
      <c r="Q418" s="61"/>
      <c r="R418" s="62"/>
      <c r="S418" s="62"/>
      <c r="T418" s="62"/>
      <c r="U418" s="62"/>
      <c r="V418" s="62"/>
      <c r="W418" s="62"/>
      <c r="X418" s="61"/>
      <c r="Y418" s="62"/>
      <c r="Z418" s="62"/>
      <c r="AA418" s="62"/>
      <c r="AB418" s="62"/>
      <c r="AC418" s="62"/>
      <c r="AD418" s="62"/>
      <c r="AE418" s="61"/>
      <c r="AF418" s="62"/>
      <c r="AG418" s="62"/>
      <c r="AH418" s="62"/>
      <c r="AI418" s="62"/>
      <c r="AJ418" s="61"/>
      <c r="AK418" s="128">
        <f t="shared" si="61"/>
        <v>0</v>
      </c>
      <c r="AL418" s="93"/>
      <c r="AM418" s="94">
        <f>AK418</f>
        <v>0</v>
      </c>
      <c r="AN418" s="585"/>
      <c r="AO418" s="3"/>
      <c r="AP418" s="3"/>
      <c r="AQ418" s="3"/>
      <c r="AR418" s="3"/>
      <c r="AS418" s="3"/>
    </row>
    <row r="419" spans="3:45" ht="12.75" x14ac:dyDescent="0.2">
      <c r="C419" s="580"/>
      <c r="D419" s="584" t="s">
        <v>60</v>
      </c>
      <c r="E419" s="65" t="s">
        <v>18</v>
      </c>
      <c r="F419" s="114"/>
      <c r="G419" s="65"/>
      <c r="H419" s="65"/>
      <c r="I419" s="65"/>
      <c r="J419" s="68"/>
      <c r="K419" s="65"/>
      <c r="L419" s="65"/>
      <c r="M419" s="65"/>
      <c r="N419" s="65"/>
      <c r="O419" s="65"/>
      <c r="P419" s="65"/>
      <c r="Q419" s="68"/>
      <c r="R419" s="65"/>
      <c r="S419" s="65"/>
      <c r="T419" s="65"/>
      <c r="U419" s="65"/>
      <c r="V419" s="65"/>
      <c r="W419" s="65"/>
      <c r="X419" s="68"/>
      <c r="Y419" s="65"/>
      <c r="Z419" s="65"/>
      <c r="AA419" s="65"/>
      <c r="AB419" s="65"/>
      <c r="AC419" s="65"/>
      <c r="AD419" s="65"/>
      <c r="AE419" s="68"/>
      <c r="AF419" s="65"/>
      <c r="AG419" s="65"/>
      <c r="AH419" s="65"/>
      <c r="AI419" s="65"/>
      <c r="AJ419" s="68"/>
      <c r="AK419" s="98">
        <f t="shared" si="61"/>
        <v>0</v>
      </c>
      <c r="AL419" s="89">
        <f>AK419</f>
        <v>0</v>
      </c>
      <c r="AM419" s="62"/>
      <c r="AN419" s="582">
        <f>SUM(AL419:AM420)</f>
        <v>0</v>
      </c>
      <c r="AO419" s="3"/>
      <c r="AP419" s="3"/>
      <c r="AQ419" s="3"/>
      <c r="AR419" s="3"/>
      <c r="AS419" s="3"/>
    </row>
    <row r="420" spans="3:45" ht="12.75" x14ac:dyDescent="0.2">
      <c r="C420" s="580"/>
      <c r="D420" s="577"/>
      <c r="E420" s="62" t="s">
        <v>19</v>
      </c>
      <c r="F420" s="264"/>
      <c r="G420" s="62"/>
      <c r="H420" s="62"/>
      <c r="I420" s="62"/>
      <c r="J420" s="61"/>
      <c r="K420" s="62"/>
      <c r="L420" s="62"/>
      <c r="M420" s="62"/>
      <c r="N420" s="62"/>
      <c r="O420" s="62"/>
      <c r="P420" s="62"/>
      <c r="Q420" s="61"/>
      <c r="R420" s="62"/>
      <c r="S420" s="62"/>
      <c r="T420" s="62"/>
      <c r="U420" s="62"/>
      <c r="V420" s="62"/>
      <c r="W420" s="62"/>
      <c r="X420" s="61"/>
      <c r="Y420" s="62"/>
      <c r="Z420" s="62"/>
      <c r="AA420" s="62"/>
      <c r="AB420" s="62"/>
      <c r="AC420" s="62"/>
      <c r="AD420" s="62"/>
      <c r="AE420" s="61"/>
      <c r="AF420" s="62"/>
      <c r="AG420" s="62"/>
      <c r="AH420" s="62"/>
      <c r="AI420" s="62"/>
      <c r="AJ420" s="61"/>
      <c r="AK420" s="128">
        <f t="shared" si="61"/>
        <v>0</v>
      </c>
      <c r="AL420" s="114"/>
      <c r="AM420" s="66">
        <f>AK420</f>
        <v>0</v>
      </c>
      <c r="AN420" s="583"/>
      <c r="AO420" s="3"/>
      <c r="AP420" s="3"/>
      <c r="AQ420" s="3"/>
      <c r="AR420" s="3"/>
      <c r="AS420" s="3"/>
    </row>
    <row r="421" spans="3:45" ht="12.75" x14ac:dyDescent="0.2">
      <c r="C421" s="580"/>
      <c r="D421" s="584" t="s">
        <v>61</v>
      </c>
      <c r="E421" s="65" t="s">
        <v>18</v>
      </c>
      <c r="F421" s="114"/>
      <c r="G421" s="65"/>
      <c r="H421" s="65"/>
      <c r="I421" s="65"/>
      <c r="J421" s="68"/>
      <c r="K421" s="65">
        <f>67-9.5-9.5</f>
        <v>48</v>
      </c>
      <c r="L421" s="65"/>
      <c r="M421" s="65"/>
      <c r="N421" s="65"/>
      <c r="O421" s="65"/>
      <c r="P421" s="65"/>
      <c r="Q421" s="68"/>
      <c r="R421" s="65"/>
      <c r="S421" s="65"/>
      <c r="T421" s="65"/>
      <c r="U421" s="65"/>
      <c r="V421" s="65"/>
      <c r="W421" s="65"/>
      <c r="X421" s="68"/>
      <c r="Y421" s="65"/>
      <c r="Z421" s="65"/>
      <c r="AA421" s="65"/>
      <c r="AB421" s="65"/>
      <c r="AC421" s="65"/>
      <c r="AD421" s="65"/>
      <c r="AE421" s="68"/>
      <c r="AF421" s="72"/>
      <c r="AG421" s="65"/>
      <c r="AH421" s="65"/>
      <c r="AI421" s="65"/>
      <c r="AJ421" s="68"/>
      <c r="AK421" s="88">
        <f t="shared" si="61"/>
        <v>48</v>
      </c>
      <c r="AL421" s="96">
        <f>AK421</f>
        <v>48</v>
      </c>
      <c r="AM421" s="97"/>
      <c r="AN421" s="616">
        <f>SUM(AL421:AM422)</f>
        <v>48</v>
      </c>
      <c r="AO421" s="3"/>
      <c r="AP421" s="3"/>
      <c r="AQ421" s="3"/>
      <c r="AR421" s="3"/>
      <c r="AS421" s="3"/>
    </row>
    <row r="422" spans="3:45" ht="12.75" x14ac:dyDescent="0.2">
      <c r="C422" s="580"/>
      <c r="D422" s="577"/>
      <c r="E422" s="62" t="s">
        <v>19</v>
      </c>
      <c r="F422" s="264"/>
      <c r="G422" s="62"/>
      <c r="H422" s="62"/>
      <c r="I422" s="62"/>
      <c r="J422" s="61"/>
      <c r="K422" s="62"/>
      <c r="L422" s="62"/>
      <c r="M422" s="62"/>
      <c r="N422" s="62"/>
      <c r="O422" s="62"/>
      <c r="P422" s="62"/>
      <c r="Q422" s="61"/>
      <c r="R422" s="66"/>
      <c r="S422" s="62"/>
      <c r="T422" s="62"/>
      <c r="U422" s="62"/>
      <c r="V422" s="62"/>
      <c r="W422" s="62"/>
      <c r="X422" s="61"/>
      <c r="Y422" s="62"/>
      <c r="Z422" s="62"/>
      <c r="AA422" s="62"/>
      <c r="AB422" s="62"/>
      <c r="AC422" s="62"/>
      <c r="AD422" s="62"/>
      <c r="AE422" s="61"/>
      <c r="AF422" s="62"/>
      <c r="AG422" s="62"/>
      <c r="AH422" s="62"/>
      <c r="AI422" s="62"/>
      <c r="AJ422" s="61"/>
      <c r="AK422" s="92">
        <f t="shared" si="61"/>
        <v>0</v>
      </c>
      <c r="AL422" s="93"/>
      <c r="AM422" s="94">
        <f>AK422</f>
        <v>0</v>
      </c>
      <c r="AN422" s="585"/>
      <c r="AO422" s="3"/>
      <c r="AP422" s="3"/>
      <c r="AQ422" s="3"/>
      <c r="AR422" s="3"/>
      <c r="AS422" s="3"/>
    </row>
    <row r="423" spans="3:45" ht="12.75" x14ac:dyDescent="0.2">
      <c r="C423" s="580"/>
      <c r="D423" s="584" t="s">
        <v>62</v>
      </c>
      <c r="E423" s="65" t="s">
        <v>18</v>
      </c>
      <c r="F423" s="114"/>
      <c r="G423" s="65"/>
      <c r="H423" s="65"/>
      <c r="I423" s="65"/>
      <c r="J423" s="68"/>
      <c r="K423" s="65"/>
      <c r="L423" s="65"/>
      <c r="M423" s="65"/>
      <c r="N423" s="65"/>
      <c r="O423" s="65"/>
      <c r="P423" s="65"/>
      <c r="Q423" s="68"/>
      <c r="R423" s="65"/>
      <c r="S423" s="65"/>
      <c r="T423" s="65"/>
      <c r="U423" s="65"/>
      <c r="V423" s="65"/>
      <c r="W423" s="65"/>
      <c r="X423" s="68"/>
      <c r="Y423" s="65"/>
      <c r="Z423" s="65"/>
      <c r="AA423" s="65"/>
      <c r="AB423" s="65"/>
      <c r="AC423" s="65"/>
      <c r="AD423" s="65"/>
      <c r="AE423" s="68"/>
      <c r="AF423" s="65"/>
      <c r="AG423" s="65"/>
      <c r="AH423" s="65"/>
      <c r="AI423" s="65"/>
      <c r="AJ423" s="68"/>
      <c r="AK423" s="88">
        <f t="shared" si="61"/>
        <v>0</v>
      </c>
      <c r="AL423" s="96">
        <f>AK423</f>
        <v>0</v>
      </c>
      <c r="AM423" s="97"/>
      <c r="AN423" s="582">
        <f>SUM(AL423:AM424)</f>
        <v>0</v>
      </c>
      <c r="AO423" s="3"/>
      <c r="AP423" s="3"/>
      <c r="AQ423" s="3"/>
      <c r="AR423" s="3"/>
      <c r="AS423" s="3"/>
    </row>
    <row r="424" spans="3:45" ht="12.75" x14ac:dyDescent="0.2">
      <c r="C424" s="581"/>
      <c r="D424" s="577"/>
      <c r="E424" s="62" t="s">
        <v>19</v>
      </c>
      <c r="F424" s="264"/>
      <c r="G424" s="62"/>
      <c r="H424" s="62"/>
      <c r="I424" s="62"/>
      <c r="J424" s="61"/>
      <c r="K424" s="62"/>
      <c r="L424" s="62"/>
      <c r="M424" s="62"/>
      <c r="N424" s="62"/>
      <c r="O424" s="62"/>
      <c r="P424" s="62"/>
      <c r="Q424" s="61"/>
      <c r="R424" s="62"/>
      <c r="S424" s="62"/>
      <c r="T424" s="62"/>
      <c r="U424" s="62"/>
      <c r="V424" s="62"/>
      <c r="W424" s="62"/>
      <c r="X424" s="61"/>
      <c r="Y424" s="62"/>
      <c r="Z424" s="62"/>
      <c r="AA424" s="62"/>
      <c r="AB424" s="62"/>
      <c r="AC424" s="62"/>
      <c r="AD424" s="62"/>
      <c r="AE424" s="61"/>
      <c r="AF424" s="62"/>
      <c r="AG424" s="62"/>
      <c r="AH424" s="62"/>
      <c r="AI424" s="62"/>
      <c r="AJ424" s="61"/>
      <c r="AK424" s="92">
        <f t="shared" si="61"/>
        <v>0</v>
      </c>
      <c r="AL424" s="93"/>
      <c r="AM424" s="94">
        <f>AK424</f>
        <v>0</v>
      </c>
      <c r="AN424" s="583"/>
      <c r="AO424" s="3"/>
      <c r="AP424" s="3"/>
      <c r="AQ424" s="3"/>
      <c r="AR424" s="3"/>
      <c r="AS424" s="3"/>
    </row>
    <row r="425" spans="3:45" ht="12.75" x14ac:dyDescent="0.2">
      <c r="C425" s="627" t="s">
        <v>63</v>
      </c>
      <c r="D425" s="604" t="s">
        <v>64</v>
      </c>
      <c r="E425" s="105" t="s">
        <v>18</v>
      </c>
      <c r="F425" s="271"/>
      <c r="G425" s="105"/>
      <c r="H425" s="105"/>
      <c r="I425" s="105"/>
      <c r="J425" s="103"/>
      <c r="K425" s="105"/>
      <c r="L425" s="105"/>
      <c r="M425" s="105"/>
      <c r="N425" s="105"/>
      <c r="O425" s="105"/>
      <c r="P425" s="105"/>
      <c r="Q425" s="103"/>
      <c r="R425" s="105"/>
      <c r="S425" s="105"/>
      <c r="T425" s="105"/>
      <c r="U425" s="105"/>
      <c r="V425" s="105"/>
      <c r="W425" s="105"/>
      <c r="X425" s="103"/>
      <c r="Y425" s="105"/>
      <c r="Z425" s="105"/>
      <c r="AA425" s="105"/>
      <c r="AB425" s="105"/>
      <c r="AC425" s="105"/>
      <c r="AD425" s="105"/>
      <c r="AE425" s="103"/>
      <c r="AF425" s="105"/>
      <c r="AG425" s="105"/>
      <c r="AH425" s="105"/>
      <c r="AI425" s="105"/>
      <c r="AJ425" s="103"/>
      <c r="AK425" s="98">
        <f t="shared" si="61"/>
        <v>0</v>
      </c>
      <c r="AL425" s="108">
        <f>AK425</f>
        <v>0</v>
      </c>
      <c r="AM425" s="97"/>
      <c r="AN425" s="582">
        <f>SUM(AL425:AM426)</f>
        <v>0</v>
      </c>
      <c r="AO425" s="3"/>
      <c r="AP425" s="3"/>
      <c r="AQ425" s="3"/>
      <c r="AR425" s="3"/>
      <c r="AS425" s="3"/>
    </row>
    <row r="426" spans="3:45" ht="12.75" x14ac:dyDescent="0.2">
      <c r="C426" s="580"/>
      <c r="D426" s="577"/>
      <c r="E426" s="62" t="s">
        <v>19</v>
      </c>
      <c r="F426" s="264"/>
      <c r="G426" s="62"/>
      <c r="H426" s="62"/>
      <c r="I426" s="62"/>
      <c r="J426" s="61"/>
      <c r="K426" s="62"/>
      <c r="L426" s="62"/>
      <c r="M426" s="62"/>
      <c r="N426" s="62"/>
      <c r="O426" s="62"/>
      <c r="P426" s="62"/>
      <c r="Q426" s="61"/>
      <c r="R426" s="62"/>
      <c r="S426" s="62"/>
      <c r="T426" s="62"/>
      <c r="U426" s="62"/>
      <c r="V426" s="62"/>
      <c r="W426" s="62"/>
      <c r="X426" s="61"/>
      <c r="Y426" s="62"/>
      <c r="Z426" s="62"/>
      <c r="AA426" s="62"/>
      <c r="AB426" s="62"/>
      <c r="AC426" s="62"/>
      <c r="AD426" s="62"/>
      <c r="AE426" s="61"/>
      <c r="AF426" s="62"/>
      <c r="AG426" s="62"/>
      <c r="AH426" s="62"/>
      <c r="AI426" s="62"/>
      <c r="AJ426" s="61"/>
      <c r="AK426" s="128">
        <f t="shared" si="61"/>
        <v>0</v>
      </c>
      <c r="AL426" s="93"/>
      <c r="AM426" s="94">
        <f>AK426</f>
        <v>0</v>
      </c>
      <c r="AN426" s="583"/>
      <c r="AO426" s="3"/>
      <c r="AP426" s="3"/>
      <c r="AQ426" s="3"/>
      <c r="AR426" s="3"/>
      <c r="AS426" s="3"/>
    </row>
    <row r="427" spans="3:45" ht="12.75" x14ac:dyDescent="0.2">
      <c r="C427" s="580"/>
      <c r="D427" s="584" t="s">
        <v>65</v>
      </c>
      <c r="E427" s="65" t="s">
        <v>18</v>
      </c>
      <c r="F427" s="114"/>
      <c r="G427" s="65"/>
      <c r="H427" s="65"/>
      <c r="I427" s="65"/>
      <c r="J427" s="68"/>
      <c r="K427" s="65"/>
      <c r="L427" s="65"/>
      <c r="M427" s="65"/>
      <c r="N427" s="65"/>
      <c r="O427" s="65"/>
      <c r="P427" s="65"/>
      <c r="Q427" s="68"/>
      <c r="R427" s="65"/>
      <c r="S427" s="65"/>
      <c r="T427" s="65"/>
      <c r="U427" s="65"/>
      <c r="V427" s="65"/>
      <c r="W427" s="65"/>
      <c r="X427" s="68"/>
      <c r="Y427" s="65"/>
      <c r="Z427" s="65"/>
      <c r="AA427" s="65"/>
      <c r="AB427" s="65"/>
      <c r="AC427" s="65"/>
      <c r="AD427" s="65"/>
      <c r="AE427" s="68"/>
      <c r="AF427" s="65"/>
      <c r="AG427" s="65"/>
      <c r="AH427" s="65"/>
      <c r="AI427" s="65"/>
      <c r="AJ427" s="68"/>
      <c r="AK427" s="98">
        <f t="shared" si="61"/>
        <v>0</v>
      </c>
      <c r="AL427" s="96">
        <f>AK427</f>
        <v>0</v>
      </c>
      <c r="AM427" s="97"/>
      <c r="AN427" s="582">
        <f>SUM(AL427:AM428)</f>
        <v>0</v>
      </c>
      <c r="AO427" s="3"/>
      <c r="AP427" s="3"/>
      <c r="AQ427" s="3"/>
      <c r="AR427" s="3"/>
      <c r="AS427" s="3"/>
    </row>
    <row r="428" spans="3:45" ht="12.75" x14ac:dyDescent="0.2">
      <c r="C428" s="581"/>
      <c r="D428" s="585"/>
      <c r="E428" s="284" t="s">
        <v>19</v>
      </c>
      <c r="F428" s="265"/>
      <c r="G428" s="284"/>
      <c r="H428" s="62"/>
      <c r="I428" s="62"/>
      <c r="J428" s="61"/>
      <c r="K428" s="62"/>
      <c r="L428" s="62"/>
      <c r="M428" s="62"/>
      <c r="N428" s="62"/>
      <c r="O428" s="62"/>
      <c r="P428" s="62"/>
      <c r="Q428" s="61"/>
      <c r="R428" s="62"/>
      <c r="S428" s="62"/>
      <c r="T428" s="62"/>
      <c r="U428" s="62"/>
      <c r="V428" s="62"/>
      <c r="W428" s="62"/>
      <c r="X428" s="61"/>
      <c r="Y428" s="62"/>
      <c r="Z428" s="62"/>
      <c r="AA428" s="62"/>
      <c r="AB428" s="62"/>
      <c r="AC428" s="62"/>
      <c r="AD428" s="62"/>
      <c r="AE428" s="61"/>
      <c r="AF428" s="62"/>
      <c r="AG428" s="62"/>
      <c r="AH428" s="62"/>
      <c r="AI428" s="62"/>
      <c r="AJ428" s="100"/>
      <c r="AK428" s="317">
        <f t="shared" si="61"/>
        <v>0</v>
      </c>
      <c r="AL428" s="93"/>
      <c r="AM428" s="94">
        <f>AK428</f>
        <v>0</v>
      </c>
      <c r="AN428" s="583"/>
      <c r="AO428" s="3"/>
      <c r="AP428" s="3"/>
      <c r="AQ428" s="3"/>
      <c r="AR428" s="3"/>
      <c r="AS428" s="3"/>
    </row>
    <row r="429" spans="3:45" ht="12.75" x14ac:dyDescent="0.2">
      <c r="C429" s="318" t="s">
        <v>66</v>
      </c>
      <c r="D429" s="118"/>
      <c r="E429" s="119"/>
      <c r="F429" s="126">
        <f>4+0.18</f>
        <v>4.18</v>
      </c>
      <c r="G429" s="118"/>
      <c r="H429" s="118"/>
      <c r="I429" s="118"/>
      <c r="J429" s="119"/>
      <c r="K429" s="118"/>
      <c r="L429" s="329">
        <f>4+4.58</f>
        <v>8.58</v>
      </c>
      <c r="M429" s="329">
        <v>4</v>
      </c>
      <c r="N429" s="329">
        <v>0.81</v>
      </c>
      <c r="O429" s="118"/>
      <c r="P429" s="118"/>
      <c r="Q429" s="119"/>
      <c r="R429" s="118"/>
      <c r="S429" s="118"/>
      <c r="T429" s="118"/>
      <c r="U429" s="118"/>
      <c r="V429" s="329">
        <v>0.56999999999999995</v>
      </c>
      <c r="W429" s="118"/>
      <c r="X429" s="119"/>
      <c r="Y429" s="118"/>
      <c r="Z429" s="287"/>
      <c r="AA429" s="118"/>
      <c r="AB429" s="118"/>
      <c r="AC429" s="118"/>
      <c r="AD429" s="118"/>
      <c r="AE429" s="119"/>
      <c r="AF429" s="337">
        <v>1.63</v>
      </c>
      <c r="AG429" s="118"/>
      <c r="AH429" s="118"/>
      <c r="AI429" s="118"/>
      <c r="AJ429" s="119"/>
      <c r="AK429" s="119">
        <f>SUM(F429:AJ429)</f>
        <v>19.769999999999996</v>
      </c>
      <c r="AL429" s="126"/>
      <c r="AM429" s="118"/>
      <c r="AN429" s="119"/>
      <c r="AO429" s="3"/>
      <c r="AP429" s="3"/>
      <c r="AQ429" s="3"/>
      <c r="AR429" s="3"/>
      <c r="AS429" s="3"/>
    </row>
    <row r="430" spans="3:45" ht="12.75" x14ac:dyDescent="0.2">
      <c r="C430" s="330" t="s">
        <v>32</v>
      </c>
      <c r="D430" s="62"/>
      <c r="E430" s="62"/>
      <c r="F430" s="331">
        <f t="shared" ref="F430:AM430" si="65">SUM(F378:F428)</f>
        <v>20.93</v>
      </c>
      <c r="G430" s="94">
        <f t="shared" si="65"/>
        <v>32.53</v>
      </c>
      <c r="H430" s="94">
        <f t="shared" si="65"/>
        <v>0</v>
      </c>
      <c r="I430" s="94">
        <f t="shared" si="65"/>
        <v>247.17000000000002</v>
      </c>
      <c r="J430" s="102">
        <f t="shared" si="65"/>
        <v>0</v>
      </c>
      <c r="K430" s="94">
        <f t="shared" si="65"/>
        <v>110.33</v>
      </c>
      <c r="L430" s="94">
        <f t="shared" si="65"/>
        <v>179.83</v>
      </c>
      <c r="M430" s="94">
        <f t="shared" si="65"/>
        <v>36.769999999999996</v>
      </c>
      <c r="N430" s="94">
        <f t="shared" si="65"/>
        <v>122.49</v>
      </c>
      <c r="O430" s="94">
        <f t="shared" si="65"/>
        <v>118.38</v>
      </c>
      <c r="P430" s="94">
        <f t="shared" si="65"/>
        <v>143.13000000000002</v>
      </c>
      <c r="Q430" s="102">
        <f t="shared" si="65"/>
        <v>179</v>
      </c>
      <c r="R430" s="94">
        <f t="shared" si="65"/>
        <v>0</v>
      </c>
      <c r="S430" s="94">
        <f t="shared" si="65"/>
        <v>31.360000000000003</v>
      </c>
      <c r="T430" s="94">
        <f t="shared" si="65"/>
        <v>33.590000000000003</v>
      </c>
      <c r="U430" s="94">
        <f t="shared" si="65"/>
        <v>28.799999999999997</v>
      </c>
      <c r="V430" s="94">
        <f t="shared" si="65"/>
        <v>47.05</v>
      </c>
      <c r="W430" s="94">
        <f t="shared" si="65"/>
        <v>113.27999999999999</v>
      </c>
      <c r="X430" s="102">
        <f t="shared" si="65"/>
        <v>166.69</v>
      </c>
      <c r="Y430" s="94">
        <f t="shared" si="65"/>
        <v>133.31</v>
      </c>
      <c r="Z430" s="94">
        <f t="shared" si="65"/>
        <v>0</v>
      </c>
      <c r="AA430" s="94">
        <f t="shared" si="65"/>
        <v>121.05</v>
      </c>
      <c r="AB430" s="94">
        <f t="shared" si="65"/>
        <v>120</v>
      </c>
      <c r="AC430" s="94">
        <f t="shared" si="65"/>
        <v>110</v>
      </c>
      <c r="AD430" s="94">
        <f t="shared" si="65"/>
        <v>63.76</v>
      </c>
      <c r="AE430" s="102">
        <f t="shared" si="65"/>
        <v>22.690000000000005</v>
      </c>
      <c r="AF430" s="94">
        <f t="shared" si="65"/>
        <v>26.710000000000004</v>
      </c>
      <c r="AG430" s="94">
        <f t="shared" si="65"/>
        <v>22.98</v>
      </c>
      <c r="AH430" s="94">
        <f t="shared" si="65"/>
        <v>41.029999999999994</v>
      </c>
      <c r="AI430" s="94">
        <f t="shared" si="65"/>
        <v>22.740000000000002</v>
      </c>
      <c r="AJ430" s="102">
        <f t="shared" si="65"/>
        <v>150</v>
      </c>
      <c r="AK430" s="131">
        <f t="shared" si="65"/>
        <v>2418.5999999999995</v>
      </c>
      <c r="AL430" s="72">
        <f t="shared" si="65"/>
        <v>2325.5999999999995</v>
      </c>
      <c r="AM430" s="66">
        <f t="shared" si="65"/>
        <v>120</v>
      </c>
      <c r="AN430" s="3"/>
      <c r="AO430" s="3"/>
      <c r="AP430" s="3"/>
      <c r="AQ430" s="3"/>
      <c r="AR430" s="3"/>
      <c r="AS430" s="3"/>
    </row>
    <row r="431" spans="3:45" ht="16.5" x14ac:dyDescent="0.25">
      <c r="C431" s="334"/>
      <c r="D431" s="3"/>
      <c r="E431" s="3"/>
      <c r="F431" s="606">
        <f>SUM(F430:J430)</f>
        <v>300.63</v>
      </c>
      <c r="G431" s="577"/>
      <c r="H431" s="577"/>
      <c r="I431" s="577"/>
      <c r="J431" s="607"/>
      <c r="K431" s="606">
        <f>SUM(K430:Q430)</f>
        <v>889.93</v>
      </c>
      <c r="L431" s="577"/>
      <c r="M431" s="577"/>
      <c r="N431" s="577"/>
      <c r="O431" s="577"/>
      <c r="P431" s="577"/>
      <c r="Q431" s="607"/>
      <c r="R431" s="606">
        <f>SUM(R430:X430)</f>
        <v>420.77</v>
      </c>
      <c r="S431" s="577"/>
      <c r="T431" s="577"/>
      <c r="U431" s="577"/>
      <c r="V431" s="577"/>
      <c r="W431" s="577"/>
      <c r="X431" s="607"/>
      <c r="Y431" s="606">
        <f>SUM(Y430:AE430)</f>
        <v>570.81000000000006</v>
      </c>
      <c r="Z431" s="577"/>
      <c r="AA431" s="577"/>
      <c r="AB431" s="577"/>
      <c r="AC431" s="577"/>
      <c r="AD431" s="577"/>
      <c r="AE431" s="607"/>
      <c r="AF431" s="606">
        <f>SUM(AF430:AJ430)</f>
        <v>263.46000000000004</v>
      </c>
      <c r="AG431" s="577"/>
      <c r="AH431" s="577"/>
      <c r="AI431" s="577"/>
      <c r="AJ431" s="577"/>
      <c r="AK431" s="335"/>
      <c r="AL431" s="335"/>
      <c r="AM431" s="335"/>
      <c r="AN431" s="3"/>
      <c r="AO431" s="3"/>
      <c r="AP431" s="3"/>
      <c r="AQ431" s="3"/>
      <c r="AR431" s="3"/>
      <c r="AS431" s="3"/>
    </row>
    <row r="433" spans="3:45" ht="12.75" x14ac:dyDescent="0.2">
      <c r="C433" s="3"/>
      <c r="D433" s="3"/>
      <c r="E433" s="3"/>
      <c r="F433" s="578" t="s">
        <v>71</v>
      </c>
      <c r="G433" s="577"/>
      <c r="H433" s="577"/>
      <c r="I433" s="577"/>
      <c r="J433" s="577"/>
      <c r="K433" s="577"/>
      <c r="L433" s="577"/>
      <c r="M433" s="577"/>
      <c r="N433" s="577"/>
      <c r="O433" s="577"/>
      <c r="P433" s="577"/>
      <c r="Q433" s="577"/>
      <c r="R433" s="577"/>
      <c r="S433" s="577"/>
      <c r="T433" s="577"/>
      <c r="U433" s="577"/>
      <c r="V433" s="577"/>
      <c r="W433" s="577"/>
      <c r="X433" s="577"/>
      <c r="Y433" s="577"/>
      <c r="Z433" s="577"/>
      <c r="AA433" s="577"/>
      <c r="AB433" s="577"/>
      <c r="AC433" s="577"/>
      <c r="AD433" s="577"/>
      <c r="AE433" s="577"/>
      <c r="AF433" s="577"/>
      <c r="AG433" s="577"/>
      <c r="AH433" s="577"/>
      <c r="AI433" s="577"/>
      <c r="AJ433" s="577"/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3:45" ht="12.75" x14ac:dyDescent="0.2">
      <c r="C434" s="3"/>
      <c r="D434" s="3"/>
      <c r="E434" s="5" t="s">
        <v>9</v>
      </c>
      <c r="F434" s="255" t="s">
        <v>11</v>
      </c>
      <c r="G434" s="7" t="s">
        <v>12</v>
      </c>
      <c r="H434" s="7" t="s">
        <v>13</v>
      </c>
      <c r="I434" s="7" t="s">
        <v>14</v>
      </c>
      <c r="J434" s="7" t="s">
        <v>15</v>
      </c>
      <c r="K434" s="7" t="s">
        <v>16</v>
      </c>
      <c r="L434" s="8" t="s">
        <v>10</v>
      </c>
      <c r="M434" s="7" t="s">
        <v>11</v>
      </c>
      <c r="N434" s="7" t="s">
        <v>12</v>
      </c>
      <c r="O434" s="7" t="s">
        <v>13</v>
      </c>
      <c r="P434" s="7" t="s">
        <v>14</v>
      </c>
      <c r="Q434" s="7" t="s">
        <v>15</v>
      </c>
      <c r="R434" s="7" t="s">
        <v>16</v>
      </c>
      <c r="S434" s="8" t="s">
        <v>10</v>
      </c>
      <c r="T434" s="7" t="s">
        <v>11</v>
      </c>
      <c r="U434" s="7" t="s">
        <v>12</v>
      </c>
      <c r="V434" s="7" t="s">
        <v>13</v>
      </c>
      <c r="W434" s="7" t="s">
        <v>14</v>
      </c>
      <c r="X434" s="7" t="s">
        <v>15</v>
      </c>
      <c r="Y434" s="7" t="s">
        <v>16</v>
      </c>
      <c r="Z434" s="8" t="s">
        <v>10</v>
      </c>
      <c r="AA434" s="7" t="s">
        <v>11</v>
      </c>
      <c r="AB434" s="7" t="s">
        <v>12</v>
      </c>
      <c r="AC434" s="7" t="s">
        <v>13</v>
      </c>
      <c r="AD434" s="7" t="s">
        <v>14</v>
      </c>
      <c r="AE434" s="7" t="s">
        <v>15</v>
      </c>
      <c r="AF434" s="7" t="s">
        <v>16</v>
      </c>
      <c r="AG434" s="8" t="s">
        <v>10</v>
      </c>
      <c r="AH434" s="7" t="s">
        <v>11</v>
      </c>
      <c r="AI434" s="7" t="s">
        <v>12</v>
      </c>
      <c r="AJ434" s="338"/>
      <c r="AK434" s="9"/>
      <c r="AL434" s="10"/>
      <c r="AM434" s="9"/>
      <c r="AN434" s="11"/>
      <c r="AO434" s="3"/>
      <c r="AP434" s="10"/>
      <c r="AQ434" s="12" t="s">
        <v>17</v>
      </c>
      <c r="AR434" s="12" t="s">
        <v>18</v>
      </c>
      <c r="AS434" s="12" t="s">
        <v>19</v>
      </c>
    </row>
    <row r="435" spans="3:45" ht="12.75" x14ac:dyDescent="0.2">
      <c r="C435" s="3"/>
      <c r="D435" s="3"/>
      <c r="E435" s="5" t="s">
        <v>20</v>
      </c>
      <c r="F435" s="289">
        <v>1</v>
      </c>
      <c r="G435" s="5">
        <v>2</v>
      </c>
      <c r="H435" s="5">
        <v>3</v>
      </c>
      <c r="I435" s="5">
        <v>4</v>
      </c>
      <c r="J435" s="5">
        <v>5</v>
      </c>
      <c r="K435" s="5">
        <v>6</v>
      </c>
      <c r="L435" s="290">
        <v>7</v>
      </c>
      <c r="M435" s="5">
        <v>8</v>
      </c>
      <c r="N435" s="5">
        <v>9</v>
      </c>
      <c r="O435" s="5">
        <v>10</v>
      </c>
      <c r="P435" s="5">
        <v>11</v>
      </c>
      <c r="Q435" s="5">
        <v>12</v>
      </c>
      <c r="R435" s="5">
        <v>13</v>
      </c>
      <c r="S435" s="290">
        <v>14</v>
      </c>
      <c r="T435" s="5">
        <v>15</v>
      </c>
      <c r="U435" s="5">
        <v>16</v>
      </c>
      <c r="V435" s="5">
        <v>17</v>
      </c>
      <c r="W435" s="5">
        <v>18</v>
      </c>
      <c r="X435" s="5">
        <v>19</v>
      </c>
      <c r="Y435" s="5">
        <v>20</v>
      </c>
      <c r="Z435" s="290">
        <v>21</v>
      </c>
      <c r="AA435" s="5">
        <v>22</v>
      </c>
      <c r="AB435" s="5">
        <v>23</v>
      </c>
      <c r="AC435" s="5">
        <v>24</v>
      </c>
      <c r="AD435" s="5">
        <v>25</v>
      </c>
      <c r="AE435" s="5">
        <v>26</v>
      </c>
      <c r="AF435" s="5">
        <v>27</v>
      </c>
      <c r="AG435" s="290">
        <v>28</v>
      </c>
      <c r="AH435" s="5">
        <v>29</v>
      </c>
      <c r="AI435" s="5">
        <v>30</v>
      </c>
      <c r="AJ435" s="339"/>
      <c r="AK435" s="5" t="s">
        <v>21</v>
      </c>
      <c r="AL435" s="10" t="s">
        <v>18</v>
      </c>
      <c r="AM435" s="9" t="s">
        <v>19</v>
      </c>
      <c r="AN435" s="11" t="s">
        <v>22</v>
      </c>
      <c r="AO435" s="3"/>
      <c r="AP435" s="12" t="s">
        <v>23</v>
      </c>
      <c r="AQ435" s="19">
        <f>AK448-AK501</f>
        <v>-562.96999999999957</v>
      </c>
      <c r="AR435" s="19">
        <f t="shared" ref="AR435:AS435" si="66">(AL448-AL501)</f>
        <v>-285.58000000000015</v>
      </c>
      <c r="AS435" s="19">
        <f t="shared" si="66"/>
        <v>-304.39</v>
      </c>
    </row>
    <row r="436" spans="3:45" ht="12.75" x14ac:dyDescent="0.2">
      <c r="C436" s="579" t="s">
        <v>24</v>
      </c>
      <c r="D436" s="20" t="s">
        <v>25</v>
      </c>
      <c r="E436" s="23" t="s">
        <v>18</v>
      </c>
      <c r="F436" s="257"/>
      <c r="G436" s="23"/>
      <c r="H436" s="23"/>
      <c r="I436" s="23"/>
      <c r="J436" s="24">
        <v>446</v>
      </c>
      <c r="K436" s="23"/>
      <c r="L436" s="21"/>
      <c r="M436" s="23"/>
      <c r="N436" s="23"/>
      <c r="O436" s="23"/>
      <c r="P436" s="23"/>
      <c r="Q436" s="23"/>
      <c r="R436" s="23"/>
      <c r="S436" s="21"/>
      <c r="T436" s="23"/>
      <c r="U436" s="23"/>
      <c r="V436" s="23"/>
      <c r="W436" s="23"/>
      <c r="X436" s="25">
        <v>630</v>
      </c>
      <c r="Y436" s="274"/>
      <c r="Z436" s="21"/>
      <c r="AA436" s="23"/>
      <c r="AB436" s="23"/>
      <c r="AC436" s="23"/>
      <c r="AD436" s="23"/>
      <c r="AE436" s="23"/>
      <c r="AF436" s="23"/>
      <c r="AG436" s="21"/>
      <c r="AH436" s="23"/>
      <c r="AI436" s="23"/>
      <c r="AJ436" s="21"/>
      <c r="AK436" s="296">
        <f t="shared" ref="AK436:AK447" si="67">SUM(F436:AJ436)</f>
        <v>1076</v>
      </c>
      <c r="AL436" s="28">
        <f t="shared" ref="AL436:AL437" si="68">AK436</f>
        <v>1076</v>
      </c>
      <c r="AM436" s="9"/>
      <c r="AN436" s="29">
        <f>AL436</f>
        <v>1076</v>
      </c>
      <c r="AO436" s="3"/>
      <c r="AP436" s="3"/>
      <c r="AQ436" s="3"/>
      <c r="AR436" s="3"/>
      <c r="AS436" s="3"/>
    </row>
    <row r="437" spans="3:45" ht="12.75" x14ac:dyDescent="0.2">
      <c r="C437" s="580"/>
      <c r="D437" s="576" t="s">
        <v>26</v>
      </c>
      <c r="E437" s="10" t="s">
        <v>18</v>
      </c>
      <c r="F437" s="45"/>
      <c r="G437" s="10"/>
      <c r="H437" s="10"/>
      <c r="I437" s="10"/>
      <c r="J437" s="10"/>
      <c r="K437" s="10"/>
      <c r="L437" s="31"/>
      <c r="M437" s="10"/>
      <c r="N437" s="10"/>
      <c r="O437" s="10"/>
      <c r="P437" s="10"/>
      <c r="Q437" s="10"/>
      <c r="R437" s="10"/>
      <c r="S437" s="31"/>
      <c r="T437" s="10"/>
      <c r="U437" s="10"/>
      <c r="V437" s="10"/>
      <c r="W437" s="10"/>
      <c r="X437" s="10"/>
      <c r="Y437" s="10"/>
      <c r="Z437" s="31"/>
      <c r="AA437" s="10"/>
      <c r="AB437" s="10"/>
      <c r="AC437" s="10"/>
      <c r="AD437" s="10"/>
      <c r="AE437" s="10"/>
      <c r="AF437" s="10"/>
      <c r="AG437" s="31"/>
      <c r="AH437" s="10"/>
      <c r="AI437" s="10"/>
      <c r="AJ437" s="31"/>
      <c r="AK437" s="297">
        <f t="shared" si="67"/>
        <v>0</v>
      </c>
      <c r="AL437" s="34">
        <f t="shared" si="68"/>
        <v>0</v>
      </c>
      <c r="AM437" s="35"/>
      <c r="AN437" s="582">
        <f>SUM(AL437:AM438)</f>
        <v>0</v>
      </c>
      <c r="AO437" s="3"/>
      <c r="AP437" s="3"/>
      <c r="AQ437" s="3"/>
      <c r="AR437" s="3"/>
      <c r="AS437" s="3"/>
    </row>
    <row r="438" spans="3:45" ht="12.75" x14ac:dyDescent="0.2">
      <c r="C438" s="580"/>
      <c r="D438" s="577"/>
      <c r="E438" s="9" t="s">
        <v>19</v>
      </c>
      <c r="F438" s="259"/>
      <c r="G438" s="9"/>
      <c r="H438" s="9"/>
      <c r="I438" s="9"/>
      <c r="J438" s="9"/>
      <c r="K438" s="9"/>
      <c r="L438" s="36"/>
      <c r="M438" s="9"/>
      <c r="N438" s="9"/>
      <c r="O438" s="9"/>
      <c r="P438" s="9"/>
      <c r="Q438" s="9"/>
      <c r="R438" s="9"/>
      <c r="S438" s="36"/>
      <c r="T438" s="9"/>
      <c r="U438" s="9"/>
      <c r="V438" s="9"/>
      <c r="W438" s="9"/>
      <c r="X438" s="9"/>
      <c r="Y438" s="9"/>
      <c r="Z438" s="36"/>
      <c r="AA438" s="9"/>
      <c r="AB438" s="9"/>
      <c r="AC438" s="9"/>
      <c r="AD438" s="9"/>
      <c r="AE438" s="9"/>
      <c r="AF438" s="9"/>
      <c r="AG438" s="36"/>
      <c r="AH438" s="9"/>
      <c r="AI438" s="9"/>
      <c r="AJ438" s="36"/>
      <c r="AK438" s="298">
        <f t="shared" si="67"/>
        <v>0</v>
      </c>
      <c r="AL438" s="39"/>
      <c r="AM438" s="40">
        <f t="shared" ref="AM438:AM439" si="69">AK438</f>
        <v>0</v>
      </c>
      <c r="AN438" s="583"/>
      <c r="AO438" s="3"/>
      <c r="AP438" s="3"/>
      <c r="AQ438" s="3"/>
      <c r="AR438" s="3"/>
      <c r="AS438" s="3"/>
    </row>
    <row r="439" spans="3:45" ht="12.75" x14ac:dyDescent="0.2">
      <c r="C439" s="580"/>
      <c r="D439" s="30" t="s">
        <v>27</v>
      </c>
      <c r="E439" s="9" t="s">
        <v>19</v>
      </c>
      <c r="F439" s="259"/>
      <c r="G439" s="9"/>
      <c r="H439" s="9"/>
      <c r="I439" s="9"/>
      <c r="J439" s="9"/>
      <c r="K439" s="9"/>
      <c r="L439" s="36"/>
      <c r="M439" s="9"/>
      <c r="N439" s="9"/>
      <c r="O439" s="9"/>
      <c r="P439" s="9"/>
      <c r="Q439" s="9"/>
      <c r="R439" s="9"/>
      <c r="S439" s="36"/>
      <c r="T439" s="9"/>
      <c r="U439" s="9"/>
      <c r="V439" s="9"/>
      <c r="W439" s="9"/>
      <c r="X439" s="9"/>
      <c r="Y439" s="9"/>
      <c r="Z439" s="36"/>
      <c r="AA439" s="9"/>
      <c r="AB439" s="9"/>
      <c r="AC439" s="9"/>
      <c r="AD439" s="9"/>
      <c r="AE439" s="9"/>
      <c r="AF439" s="9"/>
      <c r="AG439" s="36"/>
      <c r="AH439" s="9"/>
      <c r="AI439" s="9"/>
      <c r="AJ439" s="36"/>
      <c r="AK439" s="298">
        <f t="shared" si="67"/>
        <v>0</v>
      </c>
      <c r="AL439" s="10"/>
      <c r="AM439" s="19">
        <f t="shared" si="69"/>
        <v>0</v>
      </c>
      <c r="AN439" s="29">
        <f>AM439</f>
        <v>0</v>
      </c>
      <c r="AO439" s="3"/>
      <c r="AP439" s="3"/>
      <c r="AQ439" s="3"/>
      <c r="AR439" s="3"/>
      <c r="AS439" s="3"/>
    </row>
    <row r="440" spans="3:45" ht="12.75" x14ac:dyDescent="0.2">
      <c r="C440" s="580"/>
      <c r="D440" s="576" t="s">
        <v>28</v>
      </c>
      <c r="E440" s="10" t="s">
        <v>18</v>
      </c>
      <c r="F440" s="45"/>
      <c r="G440" s="28"/>
      <c r="H440" s="41">
        <v>8</v>
      </c>
      <c r="I440" s="10"/>
      <c r="J440" s="10"/>
      <c r="K440" s="10"/>
      <c r="L440" s="31"/>
      <c r="M440" s="10"/>
      <c r="N440" s="10"/>
      <c r="O440" s="10"/>
      <c r="P440" s="10"/>
      <c r="Q440" s="10"/>
      <c r="R440" s="10"/>
      <c r="S440" s="31"/>
      <c r="T440" s="10"/>
      <c r="U440" s="10"/>
      <c r="V440" s="10"/>
      <c r="W440" s="10"/>
      <c r="X440" s="10"/>
      <c r="Y440" s="10"/>
      <c r="Z440" s="31"/>
      <c r="AA440" s="10"/>
      <c r="AB440" s="28"/>
      <c r="AC440" s="10"/>
      <c r="AD440" s="10"/>
      <c r="AE440" s="10"/>
      <c r="AF440" s="10"/>
      <c r="AG440" s="31"/>
      <c r="AH440" s="10"/>
      <c r="AI440" s="10"/>
      <c r="AJ440" s="31"/>
      <c r="AK440" s="297">
        <f t="shared" si="67"/>
        <v>8</v>
      </c>
      <c r="AL440" s="34">
        <f>AK440</f>
        <v>8</v>
      </c>
      <c r="AM440" s="35"/>
      <c r="AN440" s="582">
        <f>SUM(AL440:AM441)</f>
        <v>48</v>
      </c>
      <c r="AO440" s="3"/>
      <c r="AP440" s="3"/>
      <c r="AQ440" s="3"/>
      <c r="AR440" s="3"/>
      <c r="AS440" s="3"/>
    </row>
    <row r="441" spans="3:45" ht="12.75" x14ac:dyDescent="0.2">
      <c r="C441" s="580"/>
      <c r="D441" s="577"/>
      <c r="E441" s="9" t="s">
        <v>19</v>
      </c>
      <c r="F441" s="259"/>
      <c r="G441" s="9"/>
      <c r="H441" s="9"/>
      <c r="I441" s="9"/>
      <c r="J441" s="9"/>
      <c r="K441" s="42">
        <v>20</v>
      </c>
      <c r="L441" s="340">
        <v>20</v>
      </c>
      <c r="M441" s="9"/>
      <c r="N441" s="9"/>
      <c r="O441" s="9"/>
      <c r="P441" s="9"/>
      <c r="Q441" s="9"/>
      <c r="R441" s="9"/>
      <c r="S441" s="36"/>
      <c r="T441" s="9"/>
      <c r="U441" s="9"/>
      <c r="V441" s="9"/>
      <c r="W441" s="19"/>
      <c r="X441" s="9"/>
      <c r="Y441" s="19"/>
      <c r="Z441" s="36"/>
      <c r="AA441" s="9"/>
      <c r="AB441" s="9"/>
      <c r="AC441" s="9"/>
      <c r="AD441" s="9"/>
      <c r="AE441" s="9"/>
      <c r="AF441" s="19"/>
      <c r="AG441" s="38"/>
      <c r="AH441" s="9"/>
      <c r="AI441" s="9"/>
      <c r="AJ441" s="36"/>
      <c r="AK441" s="298">
        <f t="shared" si="67"/>
        <v>40</v>
      </c>
      <c r="AL441" s="39"/>
      <c r="AM441" s="40">
        <f>AK441</f>
        <v>40</v>
      </c>
      <c r="AN441" s="583"/>
      <c r="AO441" s="3"/>
      <c r="AP441" s="3"/>
      <c r="AQ441" s="3"/>
      <c r="AR441" s="3"/>
      <c r="AS441" s="3"/>
    </row>
    <row r="442" spans="3:45" ht="12.75" x14ac:dyDescent="0.2">
      <c r="C442" s="580"/>
      <c r="D442" s="576" t="s">
        <v>29</v>
      </c>
      <c r="E442" s="10" t="s">
        <v>18</v>
      </c>
      <c r="F442" s="45"/>
      <c r="G442" s="10"/>
      <c r="H442" s="10"/>
      <c r="I442" s="10"/>
      <c r="J442" s="10"/>
      <c r="K442" s="10"/>
      <c r="L442" s="31"/>
      <c r="M442" s="10"/>
      <c r="N442" s="10"/>
      <c r="O442" s="10"/>
      <c r="P442" s="10"/>
      <c r="Q442" s="10"/>
      <c r="R442" s="10"/>
      <c r="S442" s="26">
        <v>887.8</v>
      </c>
      <c r="T442" s="10"/>
      <c r="U442" s="10"/>
      <c r="V442" s="10"/>
      <c r="W442" s="10"/>
      <c r="X442" s="10"/>
      <c r="Y442" s="10"/>
      <c r="Z442" s="31"/>
      <c r="AA442" s="10"/>
      <c r="AB442" s="10"/>
      <c r="AC442" s="10"/>
      <c r="AD442" s="10"/>
      <c r="AE442" s="10"/>
      <c r="AF442" s="10"/>
      <c r="AG442" s="31"/>
      <c r="AH442" s="10"/>
      <c r="AI442" s="10"/>
      <c r="AJ442" s="31"/>
      <c r="AK442" s="297">
        <f t="shared" si="67"/>
        <v>887.8</v>
      </c>
      <c r="AL442" s="34">
        <f>AK442</f>
        <v>887.8</v>
      </c>
      <c r="AM442" s="35"/>
      <c r="AN442" s="582">
        <f>SUM(AL442:AM443)</f>
        <v>887.8</v>
      </c>
      <c r="AO442" s="3"/>
      <c r="AP442" s="3"/>
      <c r="AQ442" s="3"/>
      <c r="AR442" s="3"/>
      <c r="AS442" s="3"/>
    </row>
    <row r="443" spans="3:45" ht="12.75" x14ac:dyDescent="0.2">
      <c r="C443" s="580"/>
      <c r="D443" s="577"/>
      <c r="E443" s="9" t="s">
        <v>19</v>
      </c>
      <c r="F443" s="259"/>
      <c r="G443" s="9"/>
      <c r="H443" s="9"/>
      <c r="I443" s="9"/>
      <c r="J443" s="9"/>
      <c r="K443" s="9"/>
      <c r="L443" s="36"/>
      <c r="M443" s="9"/>
      <c r="N443" s="9"/>
      <c r="O443" s="9"/>
      <c r="P443" s="9"/>
      <c r="Q443" s="9"/>
      <c r="R443" s="9"/>
      <c r="S443" s="36"/>
      <c r="T443" s="9"/>
      <c r="U443" s="9"/>
      <c r="V443" s="9"/>
      <c r="W443" s="9"/>
      <c r="X443" s="9"/>
      <c r="Y443" s="9"/>
      <c r="Z443" s="36"/>
      <c r="AA443" s="9"/>
      <c r="AB443" s="9"/>
      <c r="AC443" s="9"/>
      <c r="AD443" s="9"/>
      <c r="AE443" s="9"/>
      <c r="AF443" s="9"/>
      <c r="AG443" s="36"/>
      <c r="AH443" s="9"/>
      <c r="AI443" s="9"/>
      <c r="AJ443" s="36"/>
      <c r="AK443" s="298">
        <f t="shared" si="67"/>
        <v>0</v>
      </c>
      <c r="AL443" s="39"/>
      <c r="AM443" s="40">
        <f>AK443</f>
        <v>0</v>
      </c>
      <c r="AN443" s="583"/>
      <c r="AO443" s="3"/>
      <c r="AP443" s="3"/>
      <c r="AQ443" s="3"/>
      <c r="AR443" s="3"/>
      <c r="AS443" s="3"/>
    </row>
    <row r="444" spans="3:45" ht="12.75" x14ac:dyDescent="0.2">
      <c r="C444" s="580"/>
      <c r="D444" s="576" t="s">
        <v>30</v>
      </c>
      <c r="E444" s="10" t="s">
        <v>18</v>
      </c>
      <c r="F444" s="45"/>
      <c r="G444" s="10"/>
      <c r="H444" s="10"/>
      <c r="I444" s="10"/>
      <c r="J444" s="10"/>
      <c r="K444" s="10"/>
      <c r="L444" s="31"/>
      <c r="M444" s="10"/>
      <c r="N444" s="10"/>
      <c r="O444" s="10"/>
      <c r="P444" s="10"/>
      <c r="Q444" s="10"/>
      <c r="R444" s="10"/>
      <c r="S444" s="31"/>
      <c r="T444" s="10"/>
      <c r="U444" s="10"/>
      <c r="V444" s="10"/>
      <c r="W444" s="10"/>
      <c r="X444" s="10"/>
      <c r="Y444" s="10"/>
      <c r="Z444" s="31"/>
      <c r="AA444" s="10"/>
      <c r="AB444" s="10"/>
      <c r="AC444" s="10"/>
      <c r="AD444" s="10"/>
      <c r="AE444" s="10"/>
      <c r="AF444" s="10"/>
      <c r="AG444" s="31"/>
      <c r="AH444" s="10"/>
      <c r="AI444" s="10"/>
      <c r="AJ444" s="31"/>
      <c r="AK444" s="297">
        <f t="shared" si="67"/>
        <v>0</v>
      </c>
      <c r="AL444" s="34">
        <f>AK444</f>
        <v>0</v>
      </c>
      <c r="AM444" s="9"/>
      <c r="AN444" s="582">
        <f>SUM(AL444:AM445)</f>
        <v>0</v>
      </c>
      <c r="AO444" s="3"/>
      <c r="AP444" s="3"/>
      <c r="AQ444" s="3"/>
      <c r="AR444" s="3"/>
      <c r="AS444" s="3"/>
    </row>
    <row r="445" spans="3:45" ht="12.75" x14ac:dyDescent="0.2">
      <c r="C445" s="580"/>
      <c r="D445" s="577"/>
      <c r="E445" s="9" t="s">
        <v>19</v>
      </c>
      <c r="F445" s="259"/>
      <c r="G445" s="9"/>
      <c r="H445" s="9"/>
      <c r="I445" s="9"/>
      <c r="J445" s="9"/>
      <c r="K445" s="9"/>
      <c r="L445" s="36"/>
      <c r="M445" s="9"/>
      <c r="N445" s="9"/>
      <c r="O445" s="9"/>
      <c r="P445" s="9"/>
      <c r="Q445" s="9"/>
      <c r="R445" s="9"/>
      <c r="S445" s="36"/>
      <c r="T445" s="9"/>
      <c r="U445" s="9"/>
      <c r="V445" s="9"/>
      <c r="W445" s="9"/>
      <c r="X445" s="9"/>
      <c r="Y445" s="9"/>
      <c r="Z445" s="36"/>
      <c r="AA445" s="9"/>
      <c r="AB445" s="9"/>
      <c r="AC445" s="9"/>
      <c r="AD445" s="9"/>
      <c r="AE445" s="9"/>
      <c r="AF445" s="9"/>
      <c r="AG445" s="36"/>
      <c r="AH445" s="9"/>
      <c r="AI445" s="9"/>
      <c r="AJ445" s="36"/>
      <c r="AK445" s="298">
        <f t="shared" si="67"/>
        <v>0</v>
      </c>
      <c r="AL445" s="45"/>
      <c r="AM445" s="40">
        <f>AK445</f>
        <v>0</v>
      </c>
      <c r="AN445" s="583"/>
      <c r="AO445" s="3"/>
      <c r="AP445" s="3"/>
      <c r="AQ445" s="3"/>
      <c r="AR445" s="3"/>
      <c r="AS445" s="3"/>
    </row>
    <row r="446" spans="3:45" ht="12.75" x14ac:dyDescent="0.2">
      <c r="C446" s="580"/>
      <c r="D446" s="576" t="s">
        <v>31</v>
      </c>
      <c r="E446" s="10" t="s">
        <v>18</v>
      </c>
      <c r="F446" s="45"/>
      <c r="G446" s="10"/>
      <c r="H446" s="10"/>
      <c r="I446" s="10"/>
      <c r="J446" s="10"/>
      <c r="K446" s="10"/>
      <c r="L446" s="31"/>
      <c r="M446" s="10"/>
      <c r="N446" s="10"/>
      <c r="O446" s="10"/>
      <c r="P446" s="10"/>
      <c r="Q446" s="10"/>
      <c r="R446" s="10"/>
      <c r="S446" s="31"/>
      <c r="T446" s="10"/>
      <c r="U446" s="10"/>
      <c r="V446" s="10"/>
      <c r="W446" s="10"/>
      <c r="X446" s="10"/>
      <c r="Y446" s="10"/>
      <c r="Z446" s="31"/>
      <c r="AA446" s="10"/>
      <c r="AB446" s="10"/>
      <c r="AC446" s="10"/>
      <c r="AD446" s="10"/>
      <c r="AE446" s="10"/>
      <c r="AF446" s="10"/>
      <c r="AG446" s="31"/>
      <c r="AH446" s="10"/>
      <c r="AI446" s="10"/>
      <c r="AJ446" s="31"/>
      <c r="AK446" s="297">
        <f t="shared" si="67"/>
        <v>0</v>
      </c>
      <c r="AL446" s="34">
        <f>AK446</f>
        <v>0</v>
      </c>
      <c r="AM446" s="35"/>
      <c r="AN446" s="586">
        <f>SUM(AL446:AM447)</f>
        <v>0</v>
      </c>
      <c r="AO446" s="3"/>
      <c r="AP446" s="3"/>
      <c r="AQ446" s="3"/>
      <c r="AR446" s="3"/>
      <c r="AS446" s="3"/>
    </row>
    <row r="447" spans="3:45" ht="12.75" x14ac:dyDescent="0.2">
      <c r="C447" s="581"/>
      <c r="D447" s="585"/>
      <c r="E447" s="277" t="s">
        <v>19</v>
      </c>
      <c r="F447" s="261"/>
      <c r="G447" s="277"/>
      <c r="H447" s="277"/>
      <c r="I447" s="277"/>
      <c r="J447" s="277"/>
      <c r="K447" s="277"/>
      <c r="L447" s="46"/>
      <c r="M447" s="277"/>
      <c r="N447" s="277"/>
      <c r="O447" s="9"/>
      <c r="P447" s="9"/>
      <c r="Q447" s="277"/>
      <c r="R447" s="277"/>
      <c r="S447" s="46"/>
      <c r="T447" s="277"/>
      <c r="U447" s="277"/>
      <c r="V447" s="277"/>
      <c r="W447" s="277"/>
      <c r="X447" s="277"/>
      <c r="Y447" s="9"/>
      <c r="Z447" s="36"/>
      <c r="AA447" s="277"/>
      <c r="AB447" s="277"/>
      <c r="AC447" s="277"/>
      <c r="AD447" s="277"/>
      <c r="AE447" s="277"/>
      <c r="AF447" s="277"/>
      <c r="AG447" s="46"/>
      <c r="AH447" s="277"/>
      <c r="AI447" s="277"/>
      <c r="AJ447" s="46"/>
      <c r="AK447" s="301">
        <f t="shared" si="67"/>
        <v>0</v>
      </c>
      <c r="AL447" s="39"/>
      <c r="AM447" s="40">
        <f>AK447</f>
        <v>0</v>
      </c>
      <c r="AN447" s="583"/>
      <c r="AO447" s="3"/>
      <c r="AP447" s="3"/>
      <c r="AQ447" s="3"/>
      <c r="AR447" s="3"/>
      <c r="AS447" s="3"/>
    </row>
    <row r="448" spans="3:45" ht="12.75" x14ac:dyDescent="0.2">
      <c r="C448" s="49" t="s">
        <v>32</v>
      </c>
      <c r="D448" s="9"/>
      <c r="E448" s="9"/>
      <c r="F448" s="259"/>
      <c r="G448" s="9"/>
      <c r="H448" s="9"/>
      <c r="I448" s="9"/>
      <c r="J448" s="9"/>
      <c r="K448" s="9"/>
      <c r="L448" s="36"/>
      <c r="M448" s="9"/>
      <c r="N448" s="9"/>
      <c r="O448" s="35"/>
      <c r="P448" s="35"/>
      <c r="Q448" s="35"/>
      <c r="R448" s="35"/>
      <c r="S448" s="50"/>
      <c r="T448" s="35"/>
      <c r="U448" s="35"/>
      <c r="V448" s="35"/>
      <c r="W448" s="35"/>
      <c r="X448" s="35"/>
      <c r="Y448" s="35"/>
      <c r="Z448" s="50"/>
      <c r="AA448" s="9"/>
      <c r="AB448" s="9"/>
      <c r="AC448" s="9"/>
      <c r="AD448" s="9"/>
      <c r="AE448" s="9"/>
      <c r="AF448" s="9"/>
      <c r="AG448" s="36"/>
      <c r="AH448" s="9"/>
      <c r="AI448" s="9"/>
      <c r="AJ448" s="36"/>
      <c r="AK448" s="51">
        <f t="shared" ref="AK448:AM448" si="70">SUM(AK436:AK447)</f>
        <v>2011.8</v>
      </c>
      <c r="AL448" s="28">
        <f t="shared" si="70"/>
        <v>1971.8</v>
      </c>
      <c r="AM448" s="19">
        <f t="shared" si="70"/>
        <v>40</v>
      </c>
      <c r="AN448" s="11"/>
      <c r="AO448" s="3"/>
      <c r="AP448" s="3"/>
      <c r="AQ448" s="3"/>
      <c r="AR448" s="3"/>
      <c r="AS448" s="3"/>
    </row>
    <row r="449" spans="3:45" ht="12.75" x14ac:dyDescent="0.2">
      <c r="C449" s="594" t="s">
        <v>33</v>
      </c>
      <c r="D449" s="304" t="s">
        <v>34</v>
      </c>
      <c r="E449" s="305" t="s">
        <v>19</v>
      </c>
      <c r="F449" s="306"/>
      <c r="G449" s="305"/>
      <c r="H449" s="305"/>
      <c r="I449" s="305"/>
      <c r="J449" s="309">
        <v>60</v>
      </c>
      <c r="K449" s="305"/>
      <c r="L449" s="307"/>
      <c r="M449" s="305"/>
      <c r="N449" s="305"/>
      <c r="O449" s="281"/>
      <c r="P449" s="281"/>
      <c r="Q449" s="281"/>
      <c r="R449" s="281"/>
      <c r="S449" s="279"/>
      <c r="T449" s="281"/>
      <c r="U449" s="281"/>
      <c r="V449" s="281"/>
      <c r="W449" s="281"/>
      <c r="X449" s="281"/>
      <c r="Y449" s="281"/>
      <c r="Z449" s="279"/>
      <c r="AA449" s="305"/>
      <c r="AB449" s="305"/>
      <c r="AC449" s="305"/>
      <c r="AD449" s="305"/>
      <c r="AE449" s="305"/>
      <c r="AF449" s="305"/>
      <c r="AG449" s="307"/>
      <c r="AH449" s="305"/>
      <c r="AI449" s="305"/>
      <c r="AJ449" s="307"/>
      <c r="AK449" s="310">
        <f t="shared" ref="AK449:AK450" si="71">SUM(F449:AJ449)</f>
        <v>60</v>
      </c>
      <c r="AL449" s="58"/>
      <c r="AM449" s="59">
        <f>AK449</f>
        <v>60</v>
      </c>
      <c r="AN449" s="60">
        <f>AM449</f>
        <v>60</v>
      </c>
      <c r="AO449" s="3"/>
      <c r="AP449" s="3"/>
      <c r="AQ449" s="3"/>
      <c r="AR449" s="3"/>
      <c r="AS449" s="3"/>
    </row>
    <row r="450" spans="3:45" ht="12.75" x14ac:dyDescent="0.2">
      <c r="C450" s="580"/>
      <c r="D450" s="311" t="s">
        <v>35</v>
      </c>
      <c r="E450" s="65" t="s">
        <v>18</v>
      </c>
      <c r="F450" s="114"/>
      <c r="G450" s="65"/>
      <c r="H450" s="65"/>
      <c r="I450" s="65"/>
      <c r="J450" s="70">
        <v>10</v>
      </c>
      <c r="K450" s="65"/>
      <c r="L450" s="68"/>
      <c r="M450" s="65"/>
      <c r="N450" s="65"/>
      <c r="O450" s="65"/>
      <c r="P450" s="65"/>
      <c r="Q450" s="65"/>
      <c r="R450" s="65"/>
      <c r="S450" s="68"/>
      <c r="T450" s="65"/>
      <c r="U450" s="65"/>
      <c r="V450" s="65"/>
      <c r="W450" s="65"/>
      <c r="X450" s="65"/>
      <c r="Y450" s="65"/>
      <c r="Z450" s="68"/>
      <c r="AA450" s="65"/>
      <c r="AB450" s="65"/>
      <c r="AC450" s="65"/>
      <c r="AD450" s="65"/>
      <c r="AE450" s="65"/>
      <c r="AF450" s="65"/>
      <c r="AG450" s="68"/>
      <c r="AH450" s="65"/>
      <c r="AI450" s="65"/>
      <c r="AJ450" s="68"/>
      <c r="AK450" s="98">
        <f t="shared" si="71"/>
        <v>10</v>
      </c>
      <c r="AL450" s="72">
        <f>AK450</f>
        <v>10</v>
      </c>
      <c r="AM450" s="62"/>
      <c r="AN450" s="73">
        <f>AL450</f>
        <v>10</v>
      </c>
      <c r="AO450" s="3"/>
      <c r="AP450" s="3"/>
      <c r="AQ450" s="3"/>
      <c r="AR450" s="3"/>
      <c r="AS450" s="3"/>
    </row>
    <row r="451" spans="3:45" ht="12.75" x14ac:dyDescent="0.2">
      <c r="C451" s="580"/>
      <c r="D451" s="649" t="s">
        <v>36</v>
      </c>
      <c r="E451" s="65" t="s">
        <v>18</v>
      </c>
      <c r="F451" s="114"/>
      <c r="G451" s="65"/>
      <c r="H451" s="65"/>
      <c r="I451" s="65"/>
      <c r="J451" s="70">
        <v>27</v>
      </c>
      <c r="K451" s="65"/>
      <c r="L451" s="68"/>
      <c r="M451" s="65"/>
      <c r="N451" s="65"/>
      <c r="O451" s="65"/>
      <c r="P451" s="65"/>
      <c r="Q451" s="65"/>
      <c r="R451" s="65"/>
      <c r="S451" s="68"/>
      <c r="T451" s="65"/>
      <c r="U451" s="65"/>
      <c r="V451" s="65"/>
      <c r="W451" s="65"/>
      <c r="X451" s="65"/>
      <c r="Y451" s="65"/>
      <c r="Z451" s="68"/>
      <c r="AA451" s="65"/>
      <c r="AB451" s="65"/>
      <c r="AC451" s="65"/>
      <c r="AD451" s="65"/>
      <c r="AE451" s="65"/>
      <c r="AF451" s="65"/>
      <c r="AG451" s="68"/>
      <c r="AH451" s="65"/>
      <c r="AI451" s="65"/>
      <c r="AJ451" s="68"/>
      <c r="AK451" s="69"/>
      <c r="AL451" s="72">
        <f>SUM(F451:AJ451)</f>
        <v>27</v>
      </c>
      <c r="AM451" s="62"/>
      <c r="AN451" s="589">
        <f>SUM(AL451:AM452)</f>
        <v>27</v>
      </c>
      <c r="AO451" s="3"/>
      <c r="AP451" s="3"/>
      <c r="AQ451" s="3"/>
      <c r="AR451" s="3"/>
      <c r="AS451" s="3"/>
    </row>
    <row r="452" spans="3:45" ht="12.75" x14ac:dyDescent="0.2">
      <c r="C452" s="580"/>
      <c r="D452" s="650"/>
      <c r="E452" s="312" t="s">
        <v>19</v>
      </c>
      <c r="F452" s="313"/>
      <c r="G452" s="312"/>
      <c r="H452" s="312"/>
      <c r="I452" s="312"/>
      <c r="J452" s="312"/>
      <c r="K452" s="312"/>
      <c r="L452" s="314"/>
      <c r="M452" s="312"/>
      <c r="N452" s="312"/>
      <c r="O452" s="62"/>
      <c r="P452" s="62"/>
      <c r="Q452" s="62"/>
      <c r="R452" s="62"/>
      <c r="S452" s="61"/>
      <c r="T452" s="62"/>
      <c r="U452" s="62"/>
      <c r="V452" s="62"/>
      <c r="W452" s="62"/>
      <c r="X452" s="62"/>
      <c r="Y452" s="62"/>
      <c r="Z452" s="61"/>
      <c r="AA452" s="312"/>
      <c r="AB452" s="312"/>
      <c r="AC452" s="312"/>
      <c r="AD452" s="312"/>
      <c r="AE452" s="312"/>
      <c r="AF452" s="312"/>
      <c r="AG452" s="314"/>
      <c r="AH452" s="312"/>
      <c r="AI452" s="312"/>
      <c r="AJ452" s="314"/>
      <c r="AK452" s="315">
        <f t="shared" ref="AK452:AK499" si="72">SUM(F452:AJ452)</f>
        <v>0</v>
      </c>
      <c r="AL452" s="79"/>
      <c r="AM452" s="80">
        <f>AK452</f>
        <v>0</v>
      </c>
      <c r="AN452" s="590"/>
      <c r="AO452" s="3"/>
      <c r="AP452" s="3"/>
      <c r="AQ452" s="3"/>
      <c r="AR452" s="3"/>
      <c r="AS452" s="3"/>
    </row>
    <row r="453" spans="3:45" ht="12.75" x14ac:dyDescent="0.2">
      <c r="C453" s="580"/>
      <c r="D453" s="584" t="s">
        <v>37</v>
      </c>
      <c r="E453" s="65" t="s">
        <v>18</v>
      </c>
      <c r="F453" s="89"/>
      <c r="G453" s="65"/>
      <c r="H453" s="65"/>
      <c r="I453" s="87">
        <v>6.8</v>
      </c>
      <c r="J453" s="87">
        <v>5</v>
      </c>
      <c r="K453" s="65">
        <f>30.5+37.2</f>
        <v>67.7</v>
      </c>
      <c r="L453" s="68"/>
      <c r="M453" s="65"/>
      <c r="N453" s="65"/>
      <c r="O453" s="55"/>
      <c r="P453" s="55"/>
      <c r="Q453" s="55"/>
      <c r="R453" s="55">
        <f>3.4+3.1+4.53</f>
        <v>11.030000000000001</v>
      </c>
      <c r="S453" s="341">
        <v>20.6</v>
      </c>
      <c r="T453" s="55"/>
      <c r="U453" s="55"/>
      <c r="V453" s="55"/>
      <c r="W453" s="55"/>
      <c r="X453" s="55"/>
      <c r="Y453" s="55"/>
      <c r="Z453" s="53"/>
      <c r="AA453" s="65"/>
      <c r="AB453" s="72"/>
      <c r="AC453" s="87">
        <v>21.5</v>
      </c>
      <c r="AD453" s="65"/>
      <c r="AE453" s="87">
        <v>5</v>
      </c>
      <c r="AF453" s="65">
        <f>1.74+5.76</f>
        <v>7.5</v>
      </c>
      <c r="AG453" s="68"/>
      <c r="AH453" s="87">
        <v>2.66</v>
      </c>
      <c r="AI453" s="72"/>
      <c r="AJ453" s="68"/>
      <c r="AK453" s="98">
        <f t="shared" si="72"/>
        <v>147.79</v>
      </c>
      <c r="AL453" s="89">
        <f>AK453</f>
        <v>147.79</v>
      </c>
      <c r="AM453" s="62"/>
      <c r="AN453" s="586">
        <f>SUM(AL453:AM454)</f>
        <v>147.79</v>
      </c>
      <c r="AO453" s="3"/>
      <c r="AP453" s="3"/>
      <c r="AQ453" s="3"/>
      <c r="AR453" s="3"/>
      <c r="AS453" s="3"/>
    </row>
    <row r="454" spans="3:45" ht="12.75" x14ac:dyDescent="0.2">
      <c r="C454" s="580"/>
      <c r="D454" s="577"/>
      <c r="E454" s="62" t="s">
        <v>19</v>
      </c>
      <c r="F454" s="264"/>
      <c r="G454" s="62"/>
      <c r="H454" s="62"/>
      <c r="I454" s="62"/>
      <c r="J454" s="62"/>
      <c r="K454" s="62"/>
      <c r="L454" s="61"/>
      <c r="M454" s="62"/>
      <c r="N454" s="62"/>
      <c r="O454" s="62"/>
      <c r="P454" s="62"/>
      <c r="Q454" s="62"/>
      <c r="R454" s="62"/>
      <c r="S454" s="61"/>
      <c r="T454" s="62"/>
      <c r="U454" s="62"/>
      <c r="V454" s="62"/>
      <c r="W454" s="62"/>
      <c r="X454" s="62"/>
      <c r="Y454" s="62"/>
      <c r="Z454" s="61"/>
      <c r="AA454" s="62"/>
      <c r="AB454" s="62"/>
      <c r="AC454" s="62"/>
      <c r="AD454" s="62"/>
      <c r="AE454" s="62"/>
      <c r="AF454" s="62"/>
      <c r="AG454" s="61"/>
      <c r="AH454" s="62"/>
      <c r="AI454" s="62"/>
      <c r="AJ454" s="61"/>
      <c r="AK454" s="128">
        <f t="shared" si="72"/>
        <v>0</v>
      </c>
      <c r="AL454" s="93"/>
      <c r="AM454" s="94">
        <f>AK454</f>
        <v>0</v>
      </c>
      <c r="AN454" s="583"/>
      <c r="AO454" s="3"/>
      <c r="AP454" s="3"/>
      <c r="AQ454" s="3"/>
      <c r="AR454" s="3"/>
      <c r="AS454" s="3"/>
    </row>
    <row r="455" spans="3:45" ht="12.75" x14ac:dyDescent="0.2">
      <c r="C455" s="580"/>
      <c r="D455" s="81" t="s">
        <v>38</v>
      </c>
      <c r="E455" s="65" t="s">
        <v>18</v>
      </c>
      <c r="F455" s="114"/>
      <c r="G455" s="65"/>
      <c r="H455" s="65"/>
      <c r="I455" s="65"/>
      <c r="J455" s="65"/>
      <c r="K455" s="65"/>
      <c r="L455" s="68"/>
      <c r="M455" s="65"/>
      <c r="N455" s="65"/>
      <c r="O455" s="65"/>
      <c r="P455" s="65"/>
      <c r="Q455" s="65"/>
      <c r="R455" s="65"/>
      <c r="S455" s="68"/>
      <c r="T455" s="72"/>
      <c r="U455" s="65"/>
      <c r="V455" s="65"/>
      <c r="W455" s="65"/>
      <c r="X455" s="65"/>
      <c r="Y455" s="65"/>
      <c r="Z455" s="68"/>
      <c r="AA455" s="70">
        <v>92.98</v>
      </c>
      <c r="AB455" s="65"/>
      <c r="AC455" s="65"/>
      <c r="AD455" s="65"/>
      <c r="AE455" s="65"/>
      <c r="AF455" s="65"/>
      <c r="AG455" s="68"/>
      <c r="AH455" s="65"/>
      <c r="AI455" s="65"/>
      <c r="AJ455" s="68"/>
      <c r="AK455" s="98">
        <f t="shared" si="72"/>
        <v>92.98</v>
      </c>
      <c r="AL455" s="72">
        <f t="shared" ref="AL455:AL457" si="73">AK455</f>
        <v>92.98</v>
      </c>
      <c r="AM455" s="62"/>
      <c r="AN455" s="29">
        <f t="shared" ref="AN455:AN456" si="74">AL455</f>
        <v>92.98</v>
      </c>
      <c r="AO455" s="3"/>
      <c r="AP455" s="3"/>
      <c r="AQ455" s="3"/>
      <c r="AR455" s="3"/>
      <c r="AS455" s="3"/>
    </row>
    <row r="456" spans="3:45" ht="12.75" x14ac:dyDescent="0.2">
      <c r="C456" s="580"/>
      <c r="D456" s="81" t="s">
        <v>39</v>
      </c>
      <c r="E456" s="65" t="s">
        <v>18</v>
      </c>
      <c r="F456" s="114"/>
      <c r="G456" s="65"/>
      <c r="H456" s="65"/>
      <c r="I456" s="65"/>
      <c r="J456" s="72"/>
      <c r="K456" s="65"/>
      <c r="L456" s="68"/>
      <c r="M456" s="65"/>
      <c r="N456" s="65"/>
      <c r="O456" s="65"/>
      <c r="P456" s="65"/>
      <c r="Q456" s="65"/>
      <c r="R456" s="65"/>
      <c r="S456" s="68"/>
      <c r="T456" s="65"/>
      <c r="U456" s="65"/>
      <c r="V456" s="65"/>
      <c r="W456" s="65"/>
      <c r="X456" s="87">
        <v>24.78</v>
      </c>
      <c r="Y456" s="65"/>
      <c r="Z456" s="68"/>
      <c r="AA456" s="65"/>
      <c r="AB456" s="65"/>
      <c r="AC456" s="65"/>
      <c r="AD456" s="65"/>
      <c r="AE456" s="65"/>
      <c r="AF456" s="65"/>
      <c r="AG456" s="68"/>
      <c r="AH456" s="65"/>
      <c r="AI456" s="65"/>
      <c r="AJ456" s="68"/>
      <c r="AK456" s="98">
        <f t="shared" si="72"/>
        <v>24.78</v>
      </c>
      <c r="AL456" s="72">
        <f t="shared" si="73"/>
        <v>24.78</v>
      </c>
      <c r="AM456" s="62"/>
      <c r="AN456" s="29">
        <f t="shared" si="74"/>
        <v>24.78</v>
      </c>
      <c r="AO456" s="3"/>
      <c r="AP456" s="3"/>
      <c r="AQ456" s="3"/>
      <c r="AR456" s="3"/>
      <c r="AS456" s="3"/>
    </row>
    <row r="457" spans="3:45" ht="12.75" x14ac:dyDescent="0.2">
      <c r="C457" s="580"/>
      <c r="D457" s="584" t="s">
        <v>40</v>
      </c>
      <c r="E457" s="65" t="s">
        <v>18</v>
      </c>
      <c r="F457" s="114"/>
      <c r="G457" s="65"/>
      <c r="H457" s="65"/>
      <c r="I457" s="65"/>
      <c r="J457" s="65"/>
      <c r="K457" s="65"/>
      <c r="L457" s="68"/>
      <c r="M457" s="65"/>
      <c r="N457" s="65"/>
      <c r="O457" s="65"/>
      <c r="P457" s="65"/>
      <c r="Q457" s="65"/>
      <c r="R457" s="65"/>
      <c r="S457" s="68"/>
      <c r="T457" s="65"/>
      <c r="U457" s="65"/>
      <c r="V457" s="65"/>
      <c r="W457" s="65"/>
      <c r="X457" s="65"/>
      <c r="Y457" s="65"/>
      <c r="Z457" s="68"/>
      <c r="AA457" s="65"/>
      <c r="AB457" s="65"/>
      <c r="AC457" s="65"/>
      <c r="AD457" s="65"/>
      <c r="AE457" s="65"/>
      <c r="AF457" s="65"/>
      <c r="AG457" s="68"/>
      <c r="AH457" s="65"/>
      <c r="AI457" s="65"/>
      <c r="AJ457" s="68"/>
      <c r="AK457" s="98">
        <f t="shared" si="72"/>
        <v>0</v>
      </c>
      <c r="AL457" s="96">
        <f t="shared" si="73"/>
        <v>0</v>
      </c>
      <c r="AM457" s="97"/>
      <c r="AN457" s="582">
        <f>SUM(AL457:AM458)</f>
        <v>0</v>
      </c>
      <c r="AO457" s="3"/>
      <c r="AP457" s="3"/>
      <c r="AQ457" s="3"/>
      <c r="AR457" s="3"/>
      <c r="AS457" s="3"/>
    </row>
    <row r="458" spans="3:45" ht="12.75" x14ac:dyDescent="0.2">
      <c r="C458" s="580"/>
      <c r="D458" s="577"/>
      <c r="E458" s="62" t="s">
        <v>19</v>
      </c>
      <c r="F458" s="264"/>
      <c r="G458" s="62"/>
      <c r="H458" s="62"/>
      <c r="I458" s="62"/>
      <c r="J458" s="62"/>
      <c r="K458" s="62"/>
      <c r="L458" s="61"/>
      <c r="M458" s="62"/>
      <c r="N458" s="62"/>
      <c r="O458" s="62"/>
      <c r="P458" s="62"/>
      <c r="Q458" s="62"/>
      <c r="R458" s="62"/>
      <c r="S458" s="61"/>
      <c r="T458" s="62"/>
      <c r="U458" s="62"/>
      <c r="V458" s="62"/>
      <c r="W458" s="62"/>
      <c r="X458" s="62"/>
      <c r="Y458" s="62"/>
      <c r="Z458" s="61"/>
      <c r="AA458" s="62"/>
      <c r="AB458" s="62"/>
      <c r="AC458" s="62"/>
      <c r="AD458" s="62"/>
      <c r="AE458" s="62"/>
      <c r="AF458" s="62"/>
      <c r="AG458" s="61"/>
      <c r="AH458" s="62"/>
      <c r="AI458" s="62"/>
      <c r="AJ458" s="61"/>
      <c r="AK458" s="128">
        <f t="shared" si="72"/>
        <v>0</v>
      </c>
      <c r="AL458" s="93"/>
      <c r="AM458" s="94">
        <f>AK458</f>
        <v>0</v>
      </c>
      <c r="AN458" s="583"/>
      <c r="AO458" s="3"/>
      <c r="AP458" s="3"/>
      <c r="AQ458" s="3"/>
      <c r="AR458" s="3"/>
      <c r="AS458" s="3"/>
    </row>
    <row r="459" spans="3:45" ht="12.75" x14ac:dyDescent="0.2">
      <c r="C459" s="580"/>
      <c r="D459" s="584" t="s">
        <v>41</v>
      </c>
      <c r="E459" s="65" t="s">
        <v>18</v>
      </c>
      <c r="F459" s="114"/>
      <c r="G459" s="87">
        <v>50</v>
      </c>
      <c r="H459" s="65"/>
      <c r="I459" s="72"/>
      <c r="J459" s="65"/>
      <c r="K459" s="65"/>
      <c r="L459" s="68"/>
      <c r="M459" s="65"/>
      <c r="N459" s="65"/>
      <c r="O459" s="65"/>
      <c r="P459" s="65"/>
      <c r="Q459" s="65"/>
      <c r="R459" s="65"/>
      <c r="S459" s="68"/>
      <c r="T459" s="65"/>
      <c r="U459" s="65"/>
      <c r="V459" s="65"/>
      <c r="W459" s="65"/>
      <c r="X459" s="65"/>
      <c r="Y459" s="65"/>
      <c r="Z459" s="68"/>
      <c r="AA459" s="87">
        <v>300</v>
      </c>
      <c r="AB459" s="65"/>
      <c r="AC459" s="65"/>
      <c r="AD459" s="72"/>
      <c r="AE459" s="65"/>
      <c r="AF459" s="65"/>
      <c r="AG459" s="68"/>
      <c r="AH459" s="65"/>
      <c r="AI459" s="65"/>
      <c r="AJ459" s="68"/>
      <c r="AK459" s="98">
        <f t="shared" si="72"/>
        <v>350</v>
      </c>
      <c r="AL459" s="96">
        <f>AK459</f>
        <v>350</v>
      </c>
      <c r="AM459" s="97"/>
      <c r="AN459" s="582">
        <f>SUM(AL459:AM460)</f>
        <v>350</v>
      </c>
      <c r="AO459" s="3"/>
      <c r="AP459" s="3"/>
      <c r="AQ459" s="3"/>
      <c r="AR459" s="3"/>
      <c r="AS459" s="3"/>
    </row>
    <row r="460" spans="3:45" ht="12.75" x14ac:dyDescent="0.2">
      <c r="C460" s="580"/>
      <c r="D460" s="577"/>
      <c r="E460" s="62" t="s">
        <v>19</v>
      </c>
      <c r="F460" s="264"/>
      <c r="G460" s="62"/>
      <c r="H460" s="62"/>
      <c r="I460" s="62"/>
      <c r="J460" s="62"/>
      <c r="K460" s="62"/>
      <c r="L460" s="61"/>
      <c r="M460" s="62"/>
      <c r="N460" s="62"/>
      <c r="O460" s="62"/>
      <c r="P460" s="62"/>
      <c r="Q460" s="62"/>
      <c r="R460" s="62"/>
      <c r="S460" s="61"/>
      <c r="T460" s="62"/>
      <c r="U460" s="62"/>
      <c r="V460" s="62"/>
      <c r="W460" s="62"/>
      <c r="X460" s="62"/>
      <c r="Y460" s="62"/>
      <c r="Z460" s="61"/>
      <c r="AA460" s="62"/>
      <c r="AB460" s="62"/>
      <c r="AC460" s="62"/>
      <c r="AD460" s="62"/>
      <c r="AE460" s="62"/>
      <c r="AF460" s="62"/>
      <c r="AG460" s="61"/>
      <c r="AH460" s="62"/>
      <c r="AI460" s="62"/>
      <c r="AJ460" s="61"/>
      <c r="AK460" s="128">
        <f t="shared" si="72"/>
        <v>0</v>
      </c>
      <c r="AL460" s="93"/>
      <c r="AM460" s="94">
        <f>AK460</f>
        <v>0</v>
      </c>
      <c r="AN460" s="583"/>
      <c r="AO460" s="3"/>
      <c r="AP460" s="3"/>
      <c r="AQ460" s="3"/>
      <c r="AR460" s="3"/>
      <c r="AS460" s="3"/>
    </row>
    <row r="461" spans="3:45" ht="12.75" x14ac:dyDescent="0.2">
      <c r="C461" s="580"/>
      <c r="D461" s="81" t="s">
        <v>42</v>
      </c>
      <c r="E461" s="65" t="s">
        <v>18</v>
      </c>
      <c r="F461" s="114"/>
      <c r="G461" s="87">
        <v>3.73</v>
      </c>
      <c r="H461" s="65"/>
      <c r="I461" s="65"/>
      <c r="J461" s="65"/>
      <c r="K461" s="65"/>
      <c r="L461" s="68"/>
      <c r="M461" s="65"/>
      <c r="N461" s="87">
        <v>7.36</v>
      </c>
      <c r="O461" s="65"/>
      <c r="P461" s="87">
        <v>96.16</v>
      </c>
      <c r="Q461" s="87">
        <v>418.44</v>
      </c>
      <c r="R461" s="65"/>
      <c r="S461" s="68"/>
      <c r="T461" s="65"/>
      <c r="U461" s="65"/>
      <c r="V461" s="87">
        <v>18.75</v>
      </c>
      <c r="W461" s="65"/>
      <c r="X461" s="65"/>
      <c r="Y461" s="65"/>
      <c r="Z461" s="68"/>
      <c r="AA461" s="65"/>
      <c r="AB461" s="65"/>
      <c r="AC461" s="65"/>
      <c r="AD461" s="65"/>
      <c r="AE461" s="65"/>
      <c r="AF461" s="65"/>
      <c r="AG461" s="68"/>
      <c r="AH461" s="65"/>
      <c r="AI461" s="65"/>
      <c r="AJ461" s="68"/>
      <c r="AK461" s="98">
        <f t="shared" si="72"/>
        <v>544.44000000000005</v>
      </c>
      <c r="AL461" s="72">
        <f>AK461</f>
        <v>544.44000000000005</v>
      </c>
      <c r="AM461" s="62"/>
      <c r="AN461" s="29">
        <f>AL461</f>
        <v>544.44000000000005</v>
      </c>
      <c r="AO461" s="3"/>
      <c r="AP461" s="3"/>
      <c r="AQ461" s="3"/>
      <c r="AR461" s="3"/>
      <c r="AS461" s="3"/>
    </row>
    <row r="462" spans="3:45" ht="12.75" x14ac:dyDescent="0.2">
      <c r="C462" s="580"/>
      <c r="D462" s="81" t="s">
        <v>43</v>
      </c>
      <c r="E462" s="62" t="s">
        <v>19</v>
      </c>
      <c r="F462" s="264"/>
      <c r="G462" s="62"/>
      <c r="H462" s="62"/>
      <c r="I462" s="62"/>
      <c r="J462" s="62"/>
      <c r="K462" s="62"/>
      <c r="L462" s="61"/>
      <c r="M462" s="62"/>
      <c r="N462" s="62"/>
      <c r="O462" s="62"/>
      <c r="P462" s="62"/>
      <c r="Q462" s="62"/>
      <c r="R462" s="62"/>
      <c r="S462" s="61"/>
      <c r="T462" s="62"/>
      <c r="U462" s="62"/>
      <c r="V462" s="62"/>
      <c r="W462" s="62"/>
      <c r="X462" s="62"/>
      <c r="Y462" s="62"/>
      <c r="Z462" s="61"/>
      <c r="AA462" s="62"/>
      <c r="AB462" s="62"/>
      <c r="AC462" s="62"/>
      <c r="AD462" s="62"/>
      <c r="AE462" s="62"/>
      <c r="AF462" s="62"/>
      <c r="AG462" s="61"/>
      <c r="AH462" s="62"/>
      <c r="AI462" s="62"/>
      <c r="AJ462" s="61"/>
      <c r="AK462" s="128">
        <f t="shared" si="72"/>
        <v>0</v>
      </c>
      <c r="AL462" s="65"/>
      <c r="AM462" s="66">
        <f>AK462</f>
        <v>0</v>
      </c>
      <c r="AN462" s="29">
        <f>AM462</f>
        <v>0</v>
      </c>
      <c r="AO462" s="3"/>
      <c r="AP462" s="3"/>
      <c r="AQ462" s="3"/>
      <c r="AR462" s="3"/>
      <c r="AS462" s="3"/>
    </row>
    <row r="463" spans="3:45" ht="12.75" x14ac:dyDescent="0.2">
      <c r="C463" s="580"/>
      <c r="D463" s="584" t="s">
        <v>44</v>
      </c>
      <c r="E463" s="65" t="s">
        <v>18</v>
      </c>
      <c r="F463" s="114"/>
      <c r="G463" s="65"/>
      <c r="H463" s="65"/>
      <c r="I463" s="65"/>
      <c r="J463" s="65"/>
      <c r="K463" s="65"/>
      <c r="L463" s="68"/>
      <c r="M463" s="65"/>
      <c r="N463" s="65"/>
      <c r="O463" s="65"/>
      <c r="P463" s="65"/>
      <c r="Q463" s="65"/>
      <c r="R463" s="65"/>
      <c r="S463" s="68"/>
      <c r="T463" s="65"/>
      <c r="U463" s="65"/>
      <c r="V463" s="65"/>
      <c r="W463" s="65"/>
      <c r="X463" s="65"/>
      <c r="Y463" s="65"/>
      <c r="Z463" s="68"/>
      <c r="AA463" s="65"/>
      <c r="AB463" s="65"/>
      <c r="AC463" s="65"/>
      <c r="AD463" s="65"/>
      <c r="AE463" s="65"/>
      <c r="AF463" s="65"/>
      <c r="AG463" s="68"/>
      <c r="AH463" s="65"/>
      <c r="AI463" s="65"/>
      <c r="AJ463" s="68"/>
      <c r="AK463" s="98">
        <f t="shared" si="72"/>
        <v>0</v>
      </c>
      <c r="AL463" s="96">
        <f>AK463</f>
        <v>0</v>
      </c>
      <c r="AM463" s="97"/>
      <c r="AN463" s="582">
        <f>SUM(AL463:AM464)</f>
        <v>0</v>
      </c>
      <c r="AO463" s="3"/>
      <c r="AP463" s="3"/>
      <c r="AQ463" s="3"/>
      <c r="AR463" s="3"/>
      <c r="AS463" s="3"/>
    </row>
    <row r="464" spans="3:45" ht="12.75" x14ac:dyDescent="0.2">
      <c r="C464" s="581"/>
      <c r="D464" s="585"/>
      <c r="E464" s="62" t="s">
        <v>19</v>
      </c>
      <c r="F464" s="265"/>
      <c r="G464" s="284"/>
      <c r="H464" s="284"/>
      <c r="I464" s="284"/>
      <c r="J464" s="284"/>
      <c r="K464" s="284"/>
      <c r="L464" s="100"/>
      <c r="M464" s="284"/>
      <c r="N464" s="284"/>
      <c r="O464" s="62"/>
      <c r="P464" s="62"/>
      <c r="Q464" s="284"/>
      <c r="R464" s="284"/>
      <c r="S464" s="100"/>
      <c r="T464" s="284"/>
      <c r="U464" s="284"/>
      <c r="V464" s="284"/>
      <c r="W464" s="284"/>
      <c r="X464" s="284"/>
      <c r="Y464" s="62"/>
      <c r="Z464" s="61"/>
      <c r="AA464" s="284"/>
      <c r="AB464" s="284"/>
      <c r="AC464" s="284"/>
      <c r="AD464" s="284"/>
      <c r="AE464" s="284"/>
      <c r="AF464" s="284"/>
      <c r="AG464" s="100"/>
      <c r="AH464" s="284"/>
      <c r="AI464" s="284"/>
      <c r="AJ464" s="100"/>
      <c r="AK464" s="128">
        <f t="shared" si="72"/>
        <v>0</v>
      </c>
      <c r="AL464" s="93"/>
      <c r="AM464" s="94">
        <f>AK464</f>
        <v>0</v>
      </c>
      <c r="AN464" s="583"/>
      <c r="AO464" s="3"/>
      <c r="AP464" s="3"/>
      <c r="AQ464" s="3"/>
      <c r="AR464" s="3"/>
      <c r="AS464" s="3"/>
    </row>
    <row r="465" spans="3:45" ht="12.75" x14ac:dyDescent="0.2">
      <c r="C465" s="594" t="s">
        <v>45</v>
      </c>
      <c r="D465" s="599" t="s">
        <v>46</v>
      </c>
      <c r="E465" s="105" t="s">
        <v>18</v>
      </c>
      <c r="F465" s="342">
        <v>20.28</v>
      </c>
      <c r="G465" s="105"/>
      <c r="H465" s="105"/>
      <c r="I465" s="109">
        <v>14.99</v>
      </c>
      <c r="J465" s="105">
        <f>1.97-0.05</f>
        <v>1.92</v>
      </c>
      <c r="K465" s="108">
        <f>21.72+21.94</f>
        <v>43.66</v>
      </c>
      <c r="L465" s="107">
        <f>3.51+6.32-0.02</f>
        <v>9.81</v>
      </c>
      <c r="M465" s="105"/>
      <c r="N465" s="105"/>
      <c r="O465" s="108">
        <f>1.4+1.23+5.27+4.28+3.62</f>
        <v>15.8</v>
      </c>
      <c r="P465" s="105"/>
      <c r="Q465" s="105"/>
      <c r="R465" s="109">
        <v>14.47</v>
      </c>
      <c r="S465" s="107"/>
      <c r="T465" s="109">
        <v>8.01</v>
      </c>
      <c r="U465" s="105"/>
      <c r="V465" s="105">
        <f>2.8+3.62+5.45</f>
        <v>11.870000000000001</v>
      </c>
      <c r="W465" s="108">
        <f>5.69+4.5</f>
        <v>10.190000000000001</v>
      </c>
      <c r="X465" s="108">
        <f>9.72+5.3</f>
        <v>15.02</v>
      </c>
      <c r="Y465" s="105">
        <f>4.48+14.99</f>
        <v>19.47</v>
      </c>
      <c r="Z465" s="107">
        <f>2.8-0.28+6-0.6</f>
        <v>7.92</v>
      </c>
      <c r="AA465" s="106">
        <v>6</v>
      </c>
      <c r="AB465" s="105"/>
      <c r="AC465" s="108">
        <f>2.8</f>
        <v>2.8</v>
      </c>
      <c r="AD465" s="106">
        <v>2.37</v>
      </c>
      <c r="AE465" s="108"/>
      <c r="AF465" s="108"/>
      <c r="AG465" s="103"/>
      <c r="AH465" s="105"/>
      <c r="AI465" s="105"/>
      <c r="AJ465" s="103"/>
      <c r="AK465" s="98">
        <f t="shared" si="72"/>
        <v>204.58</v>
      </c>
      <c r="AL465" s="96">
        <f>AK465</f>
        <v>204.58</v>
      </c>
      <c r="AM465" s="97"/>
      <c r="AN465" s="582">
        <f>SUM(AL465:AM466)</f>
        <v>211.43</v>
      </c>
      <c r="AO465" s="3"/>
      <c r="AP465" s="3"/>
      <c r="AQ465" s="3"/>
      <c r="AR465" s="3"/>
      <c r="AS465" s="3"/>
    </row>
    <row r="466" spans="3:45" ht="12.75" x14ac:dyDescent="0.2">
      <c r="C466" s="580"/>
      <c r="D466" s="577"/>
      <c r="E466" s="62" t="s">
        <v>19</v>
      </c>
      <c r="F466" s="272"/>
      <c r="G466" s="62"/>
      <c r="H466" s="62"/>
      <c r="I466" s="62"/>
      <c r="J466" s="62"/>
      <c r="K466" s="62"/>
      <c r="L466" s="61"/>
      <c r="M466" s="62"/>
      <c r="N466" s="62"/>
      <c r="O466" s="62"/>
      <c r="P466" s="62"/>
      <c r="Q466" s="62"/>
      <c r="R466" s="62"/>
      <c r="S466" s="61"/>
      <c r="T466" s="62"/>
      <c r="U466" s="62"/>
      <c r="V466" s="62"/>
      <c r="W466" s="62"/>
      <c r="X466" s="62"/>
      <c r="Y466" s="62"/>
      <c r="Z466" s="61"/>
      <c r="AA466" s="62"/>
      <c r="AB466" s="62"/>
      <c r="AC466" s="62"/>
      <c r="AD466" s="62"/>
      <c r="AE466" s="62"/>
      <c r="AF466" s="62"/>
      <c r="AG466" s="61"/>
      <c r="AH466" s="62"/>
      <c r="AI466" s="62">
        <f>5.45+1.4</f>
        <v>6.85</v>
      </c>
      <c r="AJ466" s="61"/>
      <c r="AK466" s="128">
        <f t="shared" si="72"/>
        <v>6.85</v>
      </c>
      <c r="AL466" s="93"/>
      <c r="AM466" s="94">
        <f>AK466</f>
        <v>6.85</v>
      </c>
      <c r="AN466" s="583"/>
      <c r="AO466" s="3"/>
      <c r="AP466" s="3"/>
      <c r="AQ466" s="3"/>
      <c r="AR466" s="3"/>
      <c r="AS466" s="3"/>
    </row>
    <row r="467" spans="3:45" ht="12.75" x14ac:dyDescent="0.2">
      <c r="C467" s="580"/>
      <c r="D467" s="591" t="s">
        <v>47</v>
      </c>
      <c r="E467" s="65" t="s">
        <v>18</v>
      </c>
      <c r="F467" s="89"/>
      <c r="G467" s="72">
        <f>5.09+19.02</f>
        <v>24.11</v>
      </c>
      <c r="H467" s="72">
        <f>5.9+1.76+3.89+15.9+8.97</f>
        <v>36.42</v>
      </c>
      <c r="I467" s="70">
        <v>14.81</v>
      </c>
      <c r="J467" s="87">
        <f>0.19+9.44+2.21+3.89-0.29-0.06-0.11</f>
        <v>15.270000000000001</v>
      </c>
      <c r="K467" s="72"/>
      <c r="L467" s="88"/>
      <c r="M467" s="70">
        <v>0.19</v>
      </c>
      <c r="N467" s="87">
        <v>11.74</v>
      </c>
      <c r="O467" s="72">
        <f>1.29</f>
        <v>1.29</v>
      </c>
      <c r="P467" s="70">
        <v>0.53</v>
      </c>
      <c r="Q467" s="87">
        <v>0.83</v>
      </c>
      <c r="R467" s="87">
        <v>4.99</v>
      </c>
      <c r="S467" s="88"/>
      <c r="T467" s="72">
        <f>0.53+4.99+6.09</f>
        <v>11.61</v>
      </c>
      <c r="U467" s="65">
        <f>0.63+9.49</f>
        <v>10.120000000000001</v>
      </c>
      <c r="V467" s="72">
        <f>4.53+2.89</f>
        <v>7.42</v>
      </c>
      <c r="W467" s="72">
        <f>4.53+2.89+3.99</f>
        <v>11.41</v>
      </c>
      <c r="X467" s="72">
        <f>6.75+(14.39-2.16)+(7.03-1.05)+(4.21-0.63)+(2.88)+(6.09*2)</f>
        <v>43.599999999999994</v>
      </c>
      <c r="Y467" s="72">
        <f>1.89+1.29+7.59</f>
        <v>10.77</v>
      </c>
      <c r="Z467" s="88">
        <f>7.59+4.38</f>
        <v>11.969999999999999</v>
      </c>
      <c r="AA467" s="65">
        <f>3.39+2.89</f>
        <v>6.28</v>
      </c>
      <c r="AB467" s="70">
        <v>8.89</v>
      </c>
      <c r="AC467" s="65">
        <f>2.89+9.49</f>
        <v>12.38</v>
      </c>
      <c r="AD467" s="65">
        <f>7.59+7.89+2.89</f>
        <v>18.37</v>
      </c>
      <c r="AE467" s="65">
        <f>7.59+2.89</f>
        <v>10.48</v>
      </c>
      <c r="AF467" s="72">
        <f>5.38-2.39+12.9+8+24.47</f>
        <v>48.36</v>
      </c>
      <c r="AG467" s="88"/>
      <c r="AH467" s="87">
        <v>27.35</v>
      </c>
      <c r="AI467" s="87">
        <v>3.52</v>
      </c>
      <c r="AJ467" s="88"/>
      <c r="AK467" s="98">
        <f t="shared" si="72"/>
        <v>352.71000000000004</v>
      </c>
      <c r="AL467" s="96">
        <f>AK467</f>
        <v>352.71000000000004</v>
      </c>
      <c r="AM467" s="97"/>
      <c r="AN467" s="593">
        <f>SUM(AL467:AM468)</f>
        <v>393.55000000000007</v>
      </c>
      <c r="AO467" s="3"/>
      <c r="AP467" s="3"/>
      <c r="AQ467" s="3"/>
      <c r="AR467" s="3"/>
      <c r="AS467" s="3"/>
    </row>
    <row r="468" spans="3:45" ht="12.75" x14ac:dyDescent="0.2">
      <c r="C468" s="580"/>
      <c r="D468" s="577"/>
      <c r="E468" s="62" t="s">
        <v>19</v>
      </c>
      <c r="F468" s="264"/>
      <c r="G468" s="62"/>
      <c r="H468" s="62"/>
      <c r="I468" s="62"/>
      <c r="J468" s="62">
        <f>1.29+2.89-0.19</f>
        <v>3.9899999999999998</v>
      </c>
      <c r="K468" s="62"/>
      <c r="L468" s="61"/>
      <c r="M468" s="91">
        <v>6</v>
      </c>
      <c r="N468" s="62"/>
      <c r="O468" s="62"/>
      <c r="P468" s="91">
        <v>4</v>
      </c>
      <c r="Q468" s="91">
        <v>3.7</v>
      </c>
      <c r="R468" s="62"/>
      <c r="S468" s="112"/>
      <c r="T468" s="91">
        <v>4</v>
      </c>
      <c r="U468" s="91">
        <v>6</v>
      </c>
      <c r="V468" s="62"/>
      <c r="W468" s="62"/>
      <c r="X468" s="62"/>
      <c r="Y468" s="62"/>
      <c r="Z468" s="61"/>
      <c r="AA468" s="62"/>
      <c r="AB468" s="62"/>
      <c r="AC468" s="62"/>
      <c r="AD468" s="62"/>
      <c r="AE468" s="62"/>
      <c r="AF468" s="62"/>
      <c r="AG468" s="92"/>
      <c r="AH468" s="62"/>
      <c r="AI468" s="62">
        <f>9.49+4.29+2.89-3.52</f>
        <v>13.150000000000002</v>
      </c>
      <c r="AJ468" s="61"/>
      <c r="AK468" s="128">
        <f t="shared" si="72"/>
        <v>40.840000000000003</v>
      </c>
      <c r="AL468" s="93"/>
      <c r="AM468" s="94">
        <f>AK468</f>
        <v>40.840000000000003</v>
      </c>
      <c r="AN468" s="583"/>
      <c r="AO468" s="3"/>
      <c r="AP468" s="3"/>
      <c r="AQ468" s="3"/>
      <c r="AR468" s="3"/>
      <c r="AS468" s="3"/>
    </row>
    <row r="469" spans="3:45" ht="12.75" x14ac:dyDescent="0.2">
      <c r="C469" s="580"/>
      <c r="D469" s="591" t="s">
        <v>48</v>
      </c>
      <c r="E469" s="65" t="s">
        <v>18</v>
      </c>
      <c r="F469" s="114"/>
      <c r="G469" s="65"/>
      <c r="H469" s="65"/>
      <c r="I469" s="72"/>
      <c r="J469" s="65"/>
      <c r="K469" s="65"/>
      <c r="L469" s="68"/>
      <c r="M469" s="65"/>
      <c r="N469" s="65"/>
      <c r="O469" s="65"/>
      <c r="P469" s="65"/>
      <c r="Q469" s="65"/>
      <c r="R469" s="65"/>
      <c r="S469" s="68"/>
      <c r="T469" s="65"/>
      <c r="U469" s="65"/>
      <c r="V469" s="65"/>
      <c r="W469" s="65"/>
      <c r="X469" s="65"/>
      <c r="Y469" s="65"/>
      <c r="Z469" s="68"/>
      <c r="AA469" s="65"/>
      <c r="AB469" s="65"/>
      <c r="AC469" s="65">
        <f>4.53</f>
        <v>4.53</v>
      </c>
      <c r="AD469" s="87">
        <v>4.53</v>
      </c>
      <c r="AE469" s="65"/>
      <c r="AF469" s="65"/>
      <c r="AG469" s="68"/>
      <c r="AH469" s="87">
        <f>4.53+2.22</f>
        <v>6.75</v>
      </c>
      <c r="AI469" s="65"/>
      <c r="AJ469" s="68"/>
      <c r="AK469" s="98">
        <f t="shared" si="72"/>
        <v>15.81</v>
      </c>
      <c r="AL469" s="96">
        <f>AK469</f>
        <v>15.81</v>
      </c>
      <c r="AM469" s="97"/>
      <c r="AN469" s="582">
        <f>SUM(AL469:AM470)</f>
        <v>15.81</v>
      </c>
      <c r="AO469" s="3"/>
      <c r="AP469" s="3"/>
      <c r="AQ469" s="3"/>
      <c r="AR469" s="3"/>
      <c r="AS469" s="3"/>
    </row>
    <row r="470" spans="3:45" ht="12.75" x14ac:dyDescent="0.2">
      <c r="C470" s="580"/>
      <c r="D470" s="577"/>
      <c r="E470" s="62" t="s">
        <v>19</v>
      </c>
      <c r="F470" s="264"/>
      <c r="G470" s="62"/>
      <c r="H470" s="62"/>
      <c r="I470" s="62"/>
      <c r="J470" s="62"/>
      <c r="K470" s="62"/>
      <c r="L470" s="61"/>
      <c r="M470" s="62"/>
      <c r="N470" s="62"/>
      <c r="O470" s="62"/>
      <c r="P470" s="62"/>
      <c r="Q470" s="62"/>
      <c r="R470" s="62"/>
      <c r="S470" s="61"/>
      <c r="T470" s="62"/>
      <c r="U470" s="62"/>
      <c r="V470" s="62"/>
      <c r="W470" s="62"/>
      <c r="X470" s="62"/>
      <c r="Y470" s="62"/>
      <c r="Z470" s="61"/>
      <c r="AA470" s="62"/>
      <c r="AB470" s="62"/>
      <c r="AC470" s="62"/>
      <c r="AD470" s="62"/>
      <c r="AE470" s="62"/>
      <c r="AF470" s="62"/>
      <c r="AG470" s="61"/>
      <c r="AH470" s="62"/>
      <c r="AI470" s="62"/>
      <c r="AJ470" s="61"/>
      <c r="AK470" s="128">
        <f t="shared" si="72"/>
        <v>0</v>
      </c>
      <c r="AL470" s="93"/>
      <c r="AM470" s="94">
        <f>AK470</f>
        <v>0</v>
      </c>
      <c r="AN470" s="583"/>
      <c r="AO470" s="3"/>
      <c r="AP470" s="3"/>
      <c r="AQ470" s="3"/>
      <c r="AR470" s="3"/>
      <c r="AS470" s="3"/>
    </row>
    <row r="471" spans="3:45" ht="12.75" x14ac:dyDescent="0.2">
      <c r="C471" s="580"/>
      <c r="D471" s="591" t="s">
        <v>49</v>
      </c>
      <c r="E471" s="65" t="s">
        <v>18</v>
      </c>
      <c r="F471" s="114"/>
      <c r="G471" s="65"/>
      <c r="H471" s="65"/>
      <c r="I471" s="87">
        <v>3</v>
      </c>
      <c r="J471" s="87">
        <v>4</v>
      </c>
      <c r="K471" s="65"/>
      <c r="L471" s="88"/>
      <c r="M471" s="65"/>
      <c r="N471" s="65"/>
      <c r="O471" s="65"/>
      <c r="P471" s="65"/>
      <c r="Q471" s="72"/>
      <c r="R471" s="72"/>
      <c r="S471" s="88"/>
      <c r="T471" s="72"/>
      <c r="U471" s="72"/>
      <c r="V471" s="70">
        <v>3</v>
      </c>
      <c r="W471" s="70">
        <v>4</v>
      </c>
      <c r="X471" s="70">
        <v>3</v>
      </c>
      <c r="Y471" s="65"/>
      <c r="Z471" s="88"/>
      <c r="AA471" s="72"/>
      <c r="AB471" s="70">
        <v>3</v>
      </c>
      <c r="AC471" s="70">
        <v>10</v>
      </c>
      <c r="AD471" s="72"/>
      <c r="AE471" s="70">
        <v>4</v>
      </c>
      <c r="AF471" s="72"/>
      <c r="AG471" s="68"/>
      <c r="AH471" s="87">
        <v>10</v>
      </c>
      <c r="AI471" s="65"/>
      <c r="AJ471" s="68"/>
      <c r="AK471" s="98">
        <f t="shared" si="72"/>
        <v>44</v>
      </c>
      <c r="AL471" s="96">
        <f>AK471</f>
        <v>44</v>
      </c>
      <c r="AM471" s="97"/>
      <c r="AN471" s="582">
        <f>SUM(AL471:AM472)</f>
        <v>86.19</v>
      </c>
      <c r="AO471" s="3"/>
      <c r="AP471" s="3"/>
      <c r="AQ471" s="3"/>
      <c r="AR471" s="3"/>
      <c r="AS471" s="3"/>
    </row>
    <row r="472" spans="3:45" ht="12.75" x14ac:dyDescent="0.2">
      <c r="C472" s="580"/>
      <c r="D472" s="577"/>
      <c r="E472" s="62" t="s">
        <v>19</v>
      </c>
      <c r="F472" s="269">
        <v>10</v>
      </c>
      <c r="G472" s="91">
        <v>3</v>
      </c>
      <c r="H472" s="66"/>
      <c r="I472" s="66"/>
      <c r="J472" s="66"/>
      <c r="K472" s="62"/>
      <c r="L472" s="112">
        <v>3.19</v>
      </c>
      <c r="M472" s="63">
        <v>3</v>
      </c>
      <c r="N472" s="91">
        <v>10</v>
      </c>
      <c r="O472" s="91">
        <v>3</v>
      </c>
      <c r="P472" s="91">
        <v>3</v>
      </c>
      <c r="Q472" s="91">
        <v>3</v>
      </c>
      <c r="R472" s="62"/>
      <c r="S472" s="61"/>
      <c r="T472" s="62"/>
      <c r="U472" s="62"/>
      <c r="V472" s="62"/>
      <c r="W472" s="62"/>
      <c r="X472" s="62"/>
      <c r="Y472" s="62"/>
      <c r="Z472" s="92"/>
      <c r="AA472" s="62"/>
      <c r="AB472" s="62"/>
      <c r="AC472" s="62"/>
      <c r="AD472" s="62"/>
      <c r="AE472" s="62"/>
      <c r="AF472" s="62"/>
      <c r="AG472" s="61"/>
      <c r="AH472" s="66"/>
      <c r="AI472" s="63">
        <v>4</v>
      </c>
      <c r="AJ472" s="92"/>
      <c r="AK472" s="128">
        <f t="shared" si="72"/>
        <v>42.19</v>
      </c>
      <c r="AL472" s="93"/>
      <c r="AM472" s="94">
        <f>AK472</f>
        <v>42.19</v>
      </c>
      <c r="AN472" s="583"/>
      <c r="AO472" s="3"/>
      <c r="AP472" s="3"/>
      <c r="AQ472" s="3"/>
      <c r="AR472" s="3"/>
      <c r="AS472" s="3"/>
    </row>
    <row r="473" spans="3:45" ht="12.75" x14ac:dyDescent="0.2">
      <c r="C473" s="580"/>
      <c r="D473" s="592" t="s">
        <v>50</v>
      </c>
      <c r="E473" s="65" t="s">
        <v>18</v>
      </c>
      <c r="F473" s="89"/>
      <c r="G473" s="70">
        <v>1.3</v>
      </c>
      <c r="H473" s="87">
        <v>12.6</v>
      </c>
      <c r="I473" s="70">
        <v>12.6</v>
      </c>
      <c r="J473" s="65"/>
      <c r="K473" s="65">
        <f>6.3*3</f>
        <v>18.899999999999999</v>
      </c>
      <c r="L473" s="88"/>
      <c r="M473" s="70"/>
      <c r="N473" s="87">
        <v>6.3</v>
      </c>
      <c r="O473" s="87">
        <v>6.3</v>
      </c>
      <c r="P473" s="70">
        <v>6.3</v>
      </c>
      <c r="Q473" s="70"/>
      <c r="R473" s="87">
        <v>12.6</v>
      </c>
      <c r="S473" s="88"/>
      <c r="T473" s="70">
        <v>0.3</v>
      </c>
      <c r="U473" s="70">
        <v>6.3</v>
      </c>
      <c r="V473" s="70">
        <v>6.3</v>
      </c>
      <c r="W473" s="87">
        <v>6.3</v>
      </c>
      <c r="X473" s="70">
        <v>6.3</v>
      </c>
      <c r="Y473" s="70">
        <v>6.3</v>
      </c>
      <c r="Z473" s="99">
        <v>6.3</v>
      </c>
      <c r="AA473" s="70">
        <v>6.3</v>
      </c>
      <c r="AB473" s="70">
        <v>6.3</v>
      </c>
      <c r="AC473" s="70">
        <v>6.3</v>
      </c>
      <c r="AD473" s="70">
        <v>6.3</v>
      </c>
      <c r="AE473" s="70">
        <v>6.3</v>
      </c>
      <c r="AF473" s="72"/>
      <c r="AG473" s="88"/>
      <c r="AH473" s="87">
        <v>6.3</v>
      </c>
      <c r="AI473" s="87">
        <v>1.3</v>
      </c>
      <c r="AJ473" s="68"/>
      <c r="AK473" s="98">
        <f t="shared" si="72"/>
        <v>154.10000000000002</v>
      </c>
      <c r="AL473" s="96">
        <f>AK473</f>
        <v>154.10000000000002</v>
      </c>
      <c r="AM473" s="97"/>
      <c r="AN473" s="582">
        <f>SUM(AL473:AM474)</f>
        <v>201.60000000000002</v>
      </c>
      <c r="AO473" s="3"/>
      <c r="AP473" s="3"/>
      <c r="AQ473" s="3"/>
      <c r="AR473" s="3"/>
      <c r="AS473" s="3"/>
    </row>
    <row r="474" spans="3:45" ht="12.75" x14ac:dyDescent="0.2">
      <c r="C474" s="580"/>
      <c r="D474" s="577"/>
      <c r="E474" s="62" t="s">
        <v>19</v>
      </c>
      <c r="F474" s="269">
        <v>12.6</v>
      </c>
      <c r="G474" s="91">
        <v>5</v>
      </c>
      <c r="H474" s="62"/>
      <c r="I474" s="62"/>
      <c r="J474" s="62"/>
      <c r="K474" s="62"/>
      <c r="L474" s="61"/>
      <c r="M474" s="63">
        <v>6.3</v>
      </c>
      <c r="N474" s="62"/>
      <c r="O474" s="62"/>
      <c r="P474" s="62"/>
      <c r="Q474" s="91">
        <f>6.3*2</f>
        <v>12.6</v>
      </c>
      <c r="R474" s="62"/>
      <c r="S474" s="61"/>
      <c r="T474" s="91">
        <v>6</v>
      </c>
      <c r="U474" s="62"/>
      <c r="V474" s="62"/>
      <c r="W474" s="62"/>
      <c r="X474" s="62"/>
      <c r="Y474" s="62"/>
      <c r="Z474" s="61"/>
      <c r="AA474" s="62"/>
      <c r="AB474" s="62"/>
      <c r="AC474" s="62"/>
      <c r="AD474" s="62"/>
      <c r="AE474" s="62"/>
      <c r="AF474" s="62"/>
      <c r="AG474" s="61"/>
      <c r="AH474" s="62"/>
      <c r="AI474" s="63">
        <v>5</v>
      </c>
      <c r="AJ474" s="61"/>
      <c r="AK474" s="128">
        <f t="shared" si="72"/>
        <v>47.5</v>
      </c>
      <c r="AL474" s="93"/>
      <c r="AM474" s="94">
        <f>AK474</f>
        <v>47.5</v>
      </c>
      <c r="AN474" s="583"/>
      <c r="AO474" s="3"/>
      <c r="AP474" s="3"/>
      <c r="AQ474" s="3"/>
      <c r="AR474" s="3"/>
      <c r="AS474" s="3"/>
    </row>
    <row r="475" spans="3:45" ht="12.75" x14ac:dyDescent="0.2">
      <c r="C475" s="580"/>
      <c r="D475" s="592" t="s">
        <v>1</v>
      </c>
      <c r="E475" s="65" t="s">
        <v>18</v>
      </c>
      <c r="F475" s="114"/>
      <c r="G475" s="72"/>
      <c r="H475" s="65"/>
      <c r="I475" s="65"/>
      <c r="J475" s="65"/>
      <c r="K475" s="65">
        <f>2.39+4.84+(4.29*3)</f>
        <v>20.100000000000001</v>
      </c>
      <c r="L475" s="88"/>
      <c r="M475" s="72"/>
      <c r="N475" s="65"/>
      <c r="O475" s="65"/>
      <c r="P475" s="65"/>
      <c r="Q475" s="65"/>
      <c r="R475" s="87">
        <v>2.69</v>
      </c>
      <c r="S475" s="68"/>
      <c r="T475" s="65"/>
      <c r="U475" s="72"/>
      <c r="V475" s="72"/>
      <c r="W475" s="65"/>
      <c r="X475" s="65"/>
      <c r="Y475" s="72"/>
      <c r="Z475" s="68"/>
      <c r="AA475" s="65"/>
      <c r="AB475" s="72"/>
      <c r="AC475" s="65"/>
      <c r="AD475" s="65"/>
      <c r="AE475" s="65"/>
      <c r="AF475" s="70">
        <f>20+2.39+10</f>
        <v>32.39</v>
      </c>
      <c r="AG475" s="68"/>
      <c r="AH475" s="65"/>
      <c r="AI475" s="65"/>
      <c r="AJ475" s="68"/>
      <c r="AK475" s="98">
        <f t="shared" si="72"/>
        <v>55.180000000000007</v>
      </c>
      <c r="AL475" s="89">
        <f>AK475</f>
        <v>55.180000000000007</v>
      </c>
      <c r="AM475" s="62"/>
      <c r="AN475" s="582">
        <f>SUM(AL475:AM476)</f>
        <v>70.190000000000012</v>
      </c>
      <c r="AO475" s="3"/>
      <c r="AP475" s="3"/>
      <c r="AQ475" s="3"/>
      <c r="AR475" s="3"/>
      <c r="AS475" s="3"/>
    </row>
    <row r="476" spans="3:45" ht="12.75" x14ac:dyDescent="0.2">
      <c r="C476" s="580"/>
      <c r="D476" s="577"/>
      <c r="E476" s="62" t="s">
        <v>19</v>
      </c>
      <c r="F476" s="272"/>
      <c r="G476" s="62"/>
      <c r="H476" s="62"/>
      <c r="I476" s="62"/>
      <c r="J476" s="91">
        <v>15.01</v>
      </c>
      <c r="K476" s="62"/>
      <c r="L476" s="61"/>
      <c r="M476" s="62"/>
      <c r="N476" s="62"/>
      <c r="O476" s="62"/>
      <c r="P476" s="62"/>
      <c r="Q476" s="62"/>
      <c r="R476" s="62"/>
      <c r="S476" s="61"/>
      <c r="T476" s="62"/>
      <c r="U476" s="62"/>
      <c r="V476" s="62"/>
      <c r="W476" s="62"/>
      <c r="X476" s="62"/>
      <c r="Y476" s="62"/>
      <c r="Z476" s="61"/>
      <c r="AA476" s="62"/>
      <c r="AB476" s="62"/>
      <c r="AC476" s="62"/>
      <c r="AD476" s="62"/>
      <c r="AE476" s="62"/>
      <c r="AF476" s="66"/>
      <c r="AG476" s="61"/>
      <c r="AH476" s="62"/>
      <c r="AI476" s="62"/>
      <c r="AJ476" s="61"/>
      <c r="AK476" s="128">
        <f t="shared" si="72"/>
        <v>15.01</v>
      </c>
      <c r="AL476" s="114"/>
      <c r="AM476" s="66">
        <f>AK476</f>
        <v>15.01</v>
      </c>
      <c r="AN476" s="583"/>
      <c r="AO476" s="3"/>
      <c r="AP476" s="3"/>
      <c r="AQ476" s="3"/>
      <c r="AR476" s="3"/>
      <c r="AS476" s="3"/>
    </row>
    <row r="477" spans="3:45" ht="12.75" x14ac:dyDescent="0.2">
      <c r="C477" s="580"/>
      <c r="D477" s="576" t="s">
        <v>51</v>
      </c>
      <c r="E477" s="65" t="s">
        <v>18</v>
      </c>
      <c r="F477" s="114"/>
      <c r="G477" s="65"/>
      <c r="H477" s="65"/>
      <c r="I477" s="65"/>
      <c r="J477" s="72"/>
      <c r="K477" s="65"/>
      <c r="L477" s="68"/>
      <c r="M477" s="65"/>
      <c r="N477" s="65"/>
      <c r="O477" s="65"/>
      <c r="P477" s="65"/>
      <c r="Q477" s="65"/>
      <c r="R477" s="72"/>
      <c r="S477" s="68"/>
      <c r="T477" s="65"/>
      <c r="U477" s="65"/>
      <c r="V477" s="65"/>
      <c r="W477" s="65"/>
      <c r="X477" s="65"/>
      <c r="Y477" s="65"/>
      <c r="Z477" s="68"/>
      <c r="AA477" s="65"/>
      <c r="AB477" s="65"/>
      <c r="AC477" s="65"/>
      <c r="AD477" s="65"/>
      <c r="AE477" s="65"/>
      <c r="AF477" s="72"/>
      <c r="AG477" s="68"/>
      <c r="AH477" s="65"/>
      <c r="AI477" s="65"/>
      <c r="AJ477" s="68"/>
      <c r="AK477" s="98">
        <f t="shared" si="72"/>
        <v>0</v>
      </c>
      <c r="AL477" s="96">
        <f>AK477</f>
        <v>0</v>
      </c>
      <c r="AM477" s="97"/>
      <c r="AN477" s="586">
        <f>SUM(AL477:AM478)</f>
        <v>0</v>
      </c>
      <c r="AO477" s="3"/>
      <c r="AP477" s="3"/>
      <c r="AQ477" s="3"/>
      <c r="AR477" s="3"/>
      <c r="AS477" s="3"/>
    </row>
    <row r="478" spans="3:45" ht="12.75" x14ac:dyDescent="0.2">
      <c r="C478" s="580"/>
      <c r="D478" s="577"/>
      <c r="E478" s="62" t="s">
        <v>19</v>
      </c>
      <c r="F478" s="264"/>
      <c r="G478" s="62"/>
      <c r="H478" s="62"/>
      <c r="I478" s="62"/>
      <c r="J478" s="62"/>
      <c r="K478" s="62"/>
      <c r="L478" s="61"/>
      <c r="M478" s="62"/>
      <c r="N478" s="62"/>
      <c r="O478" s="62"/>
      <c r="P478" s="62"/>
      <c r="Q478" s="62"/>
      <c r="R478" s="62"/>
      <c r="S478" s="61"/>
      <c r="T478" s="62"/>
      <c r="U478" s="62"/>
      <c r="V478" s="62"/>
      <c r="W478" s="62"/>
      <c r="X478" s="62"/>
      <c r="Y478" s="62"/>
      <c r="Z478" s="61"/>
      <c r="AA478" s="62"/>
      <c r="AB478" s="62"/>
      <c r="AC478" s="62"/>
      <c r="AD478" s="62"/>
      <c r="AE478" s="62"/>
      <c r="AF478" s="66"/>
      <c r="AG478" s="61"/>
      <c r="AH478" s="62"/>
      <c r="AI478" s="62"/>
      <c r="AJ478" s="61"/>
      <c r="AK478" s="128">
        <f t="shared" si="72"/>
        <v>0</v>
      </c>
      <c r="AL478" s="93"/>
      <c r="AM478" s="94">
        <f>AK478</f>
        <v>0</v>
      </c>
      <c r="AN478" s="583"/>
      <c r="AO478" s="3"/>
      <c r="AP478" s="3"/>
      <c r="AQ478" s="3"/>
      <c r="AR478" s="3"/>
      <c r="AS478" s="3"/>
    </row>
    <row r="479" spans="3:45" ht="12.75" x14ac:dyDescent="0.2">
      <c r="C479" s="580"/>
      <c r="D479" s="576" t="s">
        <v>52</v>
      </c>
      <c r="E479" s="65" t="s">
        <v>18</v>
      </c>
      <c r="F479" s="114"/>
      <c r="G479" s="65"/>
      <c r="H479" s="65"/>
      <c r="I479" s="65"/>
      <c r="J479" s="65"/>
      <c r="K479" s="65"/>
      <c r="L479" s="68"/>
      <c r="M479" s="65"/>
      <c r="N479" s="65"/>
      <c r="O479" s="65"/>
      <c r="P479" s="65"/>
      <c r="Q479" s="65"/>
      <c r="R479" s="65"/>
      <c r="S479" s="68"/>
      <c r="T479" s="65"/>
      <c r="U479" s="65"/>
      <c r="V479" s="65"/>
      <c r="W479" s="65"/>
      <c r="X479" s="65"/>
      <c r="Y479" s="65"/>
      <c r="Z479" s="68"/>
      <c r="AA479" s="65"/>
      <c r="AB479" s="65"/>
      <c r="AC479" s="65"/>
      <c r="AD479" s="65"/>
      <c r="AE479" s="65"/>
      <c r="AF479" s="65"/>
      <c r="AG479" s="68"/>
      <c r="AH479" s="65"/>
      <c r="AI479" s="65"/>
      <c r="AJ479" s="68"/>
      <c r="AK479" s="98">
        <f t="shared" si="72"/>
        <v>0</v>
      </c>
      <c r="AL479" s="96">
        <f>AK479</f>
        <v>0</v>
      </c>
      <c r="AM479" s="97"/>
      <c r="AN479" s="582">
        <f>SUM(AL479:AM480)</f>
        <v>0</v>
      </c>
      <c r="AO479" s="3"/>
      <c r="AP479" s="3"/>
      <c r="AQ479" s="3"/>
      <c r="AR479" s="3"/>
      <c r="AS479" s="3"/>
    </row>
    <row r="480" spans="3:45" ht="12.75" x14ac:dyDescent="0.2">
      <c r="C480" s="581"/>
      <c r="D480" s="585"/>
      <c r="E480" s="62" t="s">
        <v>19</v>
      </c>
      <c r="F480" s="264"/>
      <c r="G480" s="62"/>
      <c r="H480" s="62"/>
      <c r="I480" s="62"/>
      <c r="J480" s="62"/>
      <c r="K480" s="62"/>
      <c r="L480" s="61"/>
      <c r="M480" s="62"/>
      <c r="N480" s="62"/>
      <c r="O480" s="62"/>
      <c r="P480" s="62"/>
      <c r="Q480" s="62"/>
      <c r="R480" s="62"/>
      <c r="S480" s="61"/>
      <c r="T480" s="62"/>
      <c r="U480" s="62"/>
      <c r="V480" s="62"/>
      <c r="W480" s="62"/>
      <c r="X480" s="62"/>
      <c r="Y480" s="62"/>
      <c r="Z480" s="61"/>
      <c r="AA480" s="62"/>
      <c r="AB480" s="62"/>
      <c r="AC480" s="62"/>
      <c r="AD480" s="62"/>
      <c r="AE480" s="62"/>
      <c r="AF480" s="62"/>
      <c r="AG480" s="61"/>
      <c r="AH480" s="62"/>
      <c r="AI480" s="62"/>
      <c r="AJ480" s="61"/>
      <c r="AK480" s="128">
        <f t="shared" si="72"/>
        <v>0</v>
      </c>
      <c r="AL480" s="93"/>
      <c r="AM480" s="94">
        <f>AK480</f>
        <v>0</v>
      </c>
      <c r="AN480" s="583"/>
      <c r="AO480" s="3"/>
      <c r="AP480" s="3"/>
      <c r="AQ480" s="3"/>
      <c r="AR480" s="3"/>
      <c r="AS480" s="3"/>
    </row>
    <row r="481" spans="3:45" ht="12.75" x14ac:dyDescent="0.2">
      <c r="C481" s="594" t="s">
        <v>53</v>
      </c>
      <c r="D481" s="115" t="s">
        <v>54</v>
      </c>
      <c r="E481" s="105" t="s">
        <v>18</v>
      </c>
      <c r="F481" s="271"/>
      <c r="G481" s="105"/>
      <c r="H481" s="105"/>
      <c r="I481" s="105"/>
      <c r="J481" s="105"/>
      <c r="K481" s="105"/>
      <c r="L481" s="103"/>
      <c r="M481" s="105"/>
      <c r="N481" s="105"/>
      <c r="O481" s="105"/>
      <c r="P481" s="105"/>
      <c r="Q481" s="105"/>
      <c r="R481" s="105"/>
      <c r="S481" s="103"/>
      <c r="T481" s="109">
        <v>23.67</v>
      </c>
      <c r="U481" s="105"/>
      <c r="V481" s="105"/>
      <c r="W481" s="109">
        <v>18.420000000000002</v>
      </c>
      <c r="X481" s="105"/>
      <c r="Y481" s="105"/>
      <c r="Z481" s="266">
        <v>43.31</v>
      </c>
      <c r="AA481" s="108"/>
      <c r="AB481" s="105"/>
      <c r="AC481" s="105"/>
      <c r="AD481" s="105"/>
      <c r="AE481" s="105"/>
      <c r="AF481" s="105"/>
      <c r="AG481" s="103"/>
      <c r="AH481" s="109">
        <v>17.62</v>
      </c>
      <c r="AI481" s="105"/>
      <c r="AJ481" s="103"/>
      <c r="AK481" s="98">
        <f t="shared" si="72"/>
        <v>103.02000000000001</v>
      </c>
      <c r="AL481" s="72">
        <f t="shared" ref="AL481:AL482" si="75">AK481</f>
        <v>103.02000000000001</v>
      </c>
      <c r="AM481" s="62"/>
      <c r="AN481" s="29">
        <f>AL481</f>
        <v>103.02000000000001</v>
      </c>
      <c r="AO481" s="3"/>
      <c r="AP481" s="3"/>
      <c r="AQ481" s="3"/>
      <c r="AR481" s="3"/>
      <c r="AS481" s="3"/>
    </row>
    <row r="482" spans="3:45" ht="12.75" x14ac:dyDescent="0.2">
      <c r="C482" s="580"/>
      <c r="D482" s="584" t="s">
        <v>55</v>
      </c>
      <c r="E482" s="65" t="s">
        <v>18</v>
      </c>
      <c r="F482" s="114"/>
      <c r="G482" s="65"/>
      <c r="H482" s="65"/>
      <c r="I482" s="65"/>
      <c r="J482" s="65"/>
      <c r="K482" s="65"/>
      <c r="L482" s="68"/>
      <c r="M482" s="65"/>
      <c r="N482" s="65"/>
      <c r="O482" s="72"/>
      <c r="P482" s="65"/>
      <c r="Q482" s="65"/>
      <c r="R482" s="65"/>
      <c r="S482" s="68"/>
      <c r="T482" s="65"/>
      <c r="U482" s="65"/>
      <c r="V482" s="65"/>
      <c r="W482" s="65"/>
      <c r="X482" s="65"/>
      <c r="Y482" s="65"/>
      <c r="Z482" s="68"/>
      <c r="AA482" s="65"/>
      <c r="AB482" s="65"/>
      <c r="AC482" s="65"/>
      <c r="AD482" s="65"/>
      <c r="AE482" s="65"/>
      <c r="AF482" s="65"/>
      <c r="AG482" s="68"/>
      <c r="AH482" s="65"/>
      <c r="AI482" s="65"/>
      <c r="AJ482" s="68"/>
      <c r="AK482" s="98">
        <f t="shared" si="72"/>
        <v>0</v>
      </c>
      <c r="AL482" s="96">
        <f t="shared" si="75"/>
        <v>0</v>
      </c>
      <c r="AM482" s="97"/>
      <c r="AN482" s="582">
        <f>SUM(AL482:AM483)</f>
        <v>0</v>
      </c>
      <c r="AO482" s="3"/>
      <c r="AP482" s="3"/>
      <c r="AQ482" s="3"/>
      <c r="AR482" s="3"/>
      <c r="AS482" s="3"/>
    </row>
    <row r="483" spans="3:45" ht="12.75" x14ac:dyDescent="0.2">
      <c r="C483" s="580"/>
      <c r="D483" s="577"/>
      <c r="E483" s="62" t="s">
        <v>19</v>
      </c>
      <c r="F483" s="264"/>
      <c r="G483" s="62"/>
      <c r="H483" s="62"/>
      <c r="I483" s="62"/>
      <c r="J483" s="62"/>
      <c r="K483" s="62"/>
      <c r="L483" s="61"/>
      <c r="M483" s="62"/>
      <c r="N483" s="62"/>
      <c r="O483" s="62"/>
      <c r="P483" s="62"/>
      <c r="Q483" s="62"/>
      <c r="R483" s="62"/>
      <c r="S483" s="61"/>
      <c r="T483" s="62"/>
      <c r="U483" s="62"/>
      <c r="V483" s="62"/>
      <c r="W483" s="62"/>
      <c r="X483" s="62"/>
      <c r="Y483" s="62"/>
      <c r="Z483" s="61"/>
      <c r="AA483" s="62"/>
      <c r="AB483" s="62"/>
      <c r="AC483" s="62"/>
      <c r="AD483" s="62"/>
      <c r="AE483" s="62"/>
      <c r="AF483" s="62"/>
      <c r="AG483" s="61"/>
      <c r="AH483" s="62"/>
      <c r="AI483" s="62"/>
      <c r="AJ483" s="61"/>
      <c r="AK483" s="128">
        <f t="shared" si="72"/>
        <v>0</v>
      </c>
      <c r="AL483" s="93"/>
      <c r="AM483" s="94">
        <f>AK483</f>
        <v>0</v>
      </c>
      <c r="AN483" s="583"/>
      <c r="AO483" s="3"/>
      <c r="AP483" s="3"/>
      <c r="AQ483" s="3"/>
      <c r="AR483" s="3"/>
      <c r="AS483" s="3"/>
    </row>
    <row r="484" spans="3:45" ht="12.75" x14ac:dyDescent="0.2">
      <c r="C484" s="580"/>
      <c r="D484" s="584" t="s">
        <v>56</v>
      </c>
      <c r="E484" s="65" t="s">
        <v>18</v>
      </c>
      <c r="F484" s="114"/>
      <c r="G484" s="87">
        <v>75.989999999999995</v>
      </c>
      <c r="H484" s="65"/>
      <c r="I484" s="65"/>
      <c r="J484" s="65"/>
      <c r="K484" s="65"/>
      <c r="L484" s="68"/>
      <c r="M484" s="65"/>
      <c r="N484" s="65"/>
      <c r="O484" s="65"/>
      <c r="P484" s="65"/>
      <c r="Q484" s="65"/>
      <c r="R484" s="65"/>
      <c r="S484" s="68"/>
      <c r="T484" s="65"/>
      <c r="U484" s="65"/>
      <c r="V484" s="65"/>
      <c r="W484" s="65"/>
      <c r="X484" s="65"/>
      <c r="Y484" s="65"/>
      <c r="Z484" s="68"/>
      <c r="AA484" s="65"/>
      <c r="AB484" s="65"/>
      <c r="AC484" s="65"/>
      <c r="AD484" s="65"/>
      <c r="AE484" s="65"/>
      <c r="AF484" s="65"/>
      <c r="AG484" s="68"/>
      <c r="AH484" s="65"/>
      <c r="AI484" s="65"/>
      <c r="AJ484" s="68"/>
      <c r="AK484" s="98">
        <f t="shared" si="72"/>
        <v>75.989999999999995</v>
      </c>
      <c r="AL484" s="96">
        <f>AK484</f>
        <v>75.989999999999995</v>
      </c>
      <c r="AM484" s="97"/>
      <c r="AN484" s="582">
        <f>SUM(AL484:AM485)</f>
        <v>75.989999999999995</v>
      </c>
      <c r="AO484" s="3"/>
      <c r="AP484" s="3"/>
      <c r="AQ484" s="3"/>
      <c r="AR484" s="3"/>
      <c r="AS484" s="3"/>
    </row>
    <row r="485" spans="3:45" ht="12.75" x14ac:dyDescent="0.2">
      <c r="C485" s="580"/>
      <c r="D485" s="577"/>
      <c r="E485" s="62" t="s">
        <v>19</v>
      </c>
      <c r="F485" s="264"/>
      <c r="G485" s="62"/>
      <c r="H485" s="62"/>
      <c r="I485" s="62"/>
      <c r="J485" s="62"/>
      <c r="K485" s="62"/>
      <c r="L485" s="61"/>
      <c r="M485" s="62"/>
      <c r="N485" s="62"/>
      <c r="O485" s="62"/>
      <c r="P485" s="62"/>
      <c r="Q485" s="62"/>
      <c r="R485" s="62"/>
      <c r="S485" s="61"/>
      <c r="T485" s="62"/>
      <c r="U485" s="62"/>
      <c r="V485" s="62"/>
      <c r="W485" s="62"/>
      <c r="X485" s="62"/>
      <c r="Y485" s="62"/>
      <c r="Z485" s="61"/>
      <c r="AA485" s="62"/>
      <c r="AB485" s="62"/>
      <c r="AC485" s="62"/>
      <c r="AD485" s="62"/>
      <c r="AE485" s="62"/>
      <c r="AF485" s="62"/>
      <c r="AG485" s="61"/>
      <c r="AH485" s="62"/>
      <c r="AI485" s="62"/>
      <c r="AJ485" s="61"/>
      <c r="AK485" s="128">
        <f t="shared" si="72"/>
        <v>0</v>
      </c>
      <c r="AL485" s="93"/>
      <c r="AM485" s="94">
        <f>AK485</f>
        <v>0</v>
      </c>
      <c r="AN485" s="583"/>
      <c r="AO485" s="3"/>
      <c r="AP485" s="3"/>
      <c r="AQ485" s="3"/>
      <c r="AR485" s="3"/>
      <c r="AS485" s="3"/>
    </row>
    <row r="486" spans="3:45" ht="12.75" x14ac:dyDescent="0.2">
      <c r="C486" s="580"/>
      <c r="D486" s="584" t="s">
        <v>57</v>
      </c>
      <c r="E486" s="65" t="s">
        <v>18</v>
      </c>
      <c r="F486" s="114"/>
      <c r="G486" s="65"/>
      <c r="H486" s="65"/>
      <c r="I486" s="65"/>
      <c r="J486" s="65"/>
      <c r="K486" s="65"/>
      <c r="L486" s="68"/>
      <c r="M486" s="65"/>
      <c r="N486" s="65"/>
      <c r="O486" s="65"/>
      <c r="P486" s="65"/>
      <c r="Q486" s="65"/>
      <c r="R486" s="65"/>
      <c r="S486" s="68"/>
      <c r="T486" s="65"/>
      <c r="U486" s="65"/>
      <c r="V486" s="65"/>
      <c r="W486" s="65"/>
      <c r="X486" s="65"/>
      <c r="Y486" s="65"/>
      <c r="Z486" s="68"/>
      <c r="AA486" s="65"/>
      <c r="AB486" s="65"/>
      <c r="AC486" s="65"/>
      <c r="AD486" s="65"/>
      <c r="AE486" s="65"/>
      <c r="AF486" s="65"/>
      <c r="AG486" s="68"/>
      <c r="AH486" s="65"/>
      <c r="AI486" s="65"/>
      <c r="AJ486" s="68"/>
      <c r="AK486" s="98">
        <f t="shared" si="72"/>
        <v>0</v>
      </c>
      <c r="AL486" s="96">
        <f>AK486</f>
        <v>0</v>
      </c>
      <c r="AM486" s="97"/>
      <c r="AN486" s="582">
        <f>SUM(AL486:AM487)</f>
        <v>105</v>
      </c>
      <c r="AO486" s="3"/>
      <c r="AP486" s="3"/>
      <c r="AQ486" s="3"/>
      <c r="AR486" s="3"/>
      <c r="AS486" s="3"/>
    </row>
    <row r="487" spans="3:45" ht="12.75" x14ac:dyDescent="0.2">
      <c r="C487" s="581"/>
      <c r="D487" s="585"/>
      <c r="E487" s="284" t="s">
        <v>19</v>
      </c>
      <c r="F487" s="265"/>
      <c r="G487" s="284"/>
      <c r="H487" s="284"/>
      <c r="I487" s="284"/>
      <c r="J487" s="286">
        <v>105</v>
      </c>
      <c r="K487" s="284"/>
      <c r="L487" s="100"/>
      <c r="M487" s="284"/>
      <c r="N487" s="284"/>
      <c r="O487" s="62"/>
      <c r="P487" s="62"/>
      <c r="Q487" s="284"/>
      <c r="R487" s="284"/>
      <c r="S487" s="100"/>
      <c r="T487" s="284"/>
      <c r="U487" s="284"/>
      <c r="V487" s="284"/>
      <c r="W487" s="284"/>
      <c r="X487" s="284"/>
      <c r="Y487" s="62"/>
      <c r="Z487" s="61"/>
      <c r="AA487" s="284"/>
      <c r="AB487" s="284"/>
      <c r="AC487" s="284"/>
      <c r="AD487" s="284"/>
      <c r="AE487" s="284"/>
      <c r="AF487" s="284"/>
      <c r="AG487" s="100"/>
      <c r="AH487" s="284"/>
      <c r="AI487" s="284"/>
      <c r="AJ487" s="100"/>
      <c r="AK487" s="128">
        <f t="shared" si="72"/>
        <v>105</v>
      </c>
      <c r="AL487" s="93"/>
      <c r="AM487" s="94">
        <f>AK487</f>
        <v>105</v>
      </c>
      <c r="AN487" s="583"/>
      <c r="AO487" s="3"/>
      <c r="AP487" s="3"/>
      <c r="AQ487" s="3"/>
      <c r="AR487" s="3"/>
      <c r="AS487" s="3"/>
    </row>
    <row r="488" spans="3:45" ht="12.75" x14ac:dyDescent="0.2">
      <c r="C488" s="594" t="s">
        <v>58</v>
      </c>
      <c r="D488" s="604" t="s">
        <v>59</v>
      </c>
      <c r="E488" s="105" t="s">
        <v>18</v>
      </c>
      <c r="F488" s="271"/>
      <c r="G488" s="105"/>
      <c r="H488" s="105"/>
      <c r="I488" s="105"/>
      <c r="J488" s="105"/>
      <c r="K488" s="105"/>
      <c r="L488" s="103"/>
      <c r="M488" s="105"/>
      <c r="N488" s="109"/>
      <c r="O488" s="105"/>
      <c r="P488" s="105"/>
      <c r="Q488" s="105"/>
      <c r="R488" s="105"/>
      <c r="S488" s="103"/>
      <c r="T488" s="105"/>
      <c r="U488" s="105"/>
      <c r="V488" s="105"/>
      <c r="W488" s="105"/>
      <c r="X488" s="105"/>
      <c r="Y488" s="105"/>
      <c r="Z488" s="103"/>
      <c r="AA488" s="105"/>
      <c r="AB488" s="109">
        <v>25</v>
      </c>
      <c r="AC488" s="105"/>
      <c r="AD488" s="108"/>
      <c r="AE488" s="105"/>
      <c r="AF488" s="105"/>
      <c r="AG488" s="103"/>
      <c r="AH488" s="105"/>
      <c r="AI488" s="105"/>
      <c r="AJ488" s="103"/>
      <c r="AK488" s="98">
        <f t="shared" si="72"/>
        <v>25</v>
      </c>
      <c r="AL488" s="96">
        <f>AK488</f>
        <v>25</v>
      </c>
      <c r="AM488" s="97"/>
      <c r="AN488" s="616">
        <f>SUM(AL488:AM489)</f>
        <v>38</v>
      </c>
      <c r="AO488" s="3"/>
      <c r="AP488" s="3"/>
      <c r="AQ488" s="3"/>
      <c r="AR488" s="3"/>
      <c r="AS488" s="3"/>
    </row>
    <row r="489" spans="3:45" ht="12.75" x14ac:dyDescent="0.2">
      <c r="C489" s="580"/>
      <c r="D489" s="577"/>
      <c r="E489" s="62" t="s">
        <v>19</v>
      </c>
      <c r="F489" s="264"/>
      <c r="G489" s="62"/>
      <c r="H489" s="62"/>
      <c r="I489" s="62"/>
      <c r="J489" s="62"/>
      <c r="K489" s="62"/>
      <c r="L489" s="61"/>
      <c r="M489" s="62"/>
      <c r="N489" s="91">
        <v>13</v>
      </c>
      <c r="O489" s="62"/>
      <c r="P489" s="66"/>
      <c r="Q489" s="62"/>
      <c r="R489" s="62"/>
      <c r="S489" s="61"/>
      <c r="T489" s="62"/>
      <c r="U489" s="62"/>
      <c r="V489" s="62"/>
      <c r="W489" s="62"/>
      <c r="X489" s="62"/>
      <c r="Y489" s="62"/>
      <c r="Z489" s="61"/>
      <c r="AA489" s="62"/>
      <c r="AB489" s="62"/>
      <c r="AC489" s="62"/>
      <c r="AD489" s="66"/>
      <c r="AE489" s="62"/>
      <c r="AF489" s="62"/>
      <c r="AG489" s="61"/>
      <c r="AH489" s="62"/>
      <c r="AI489" s="62"/>
      <c r="AJ489" s="61"/>
      <c r="AK489" s="128">
        <f t="shared" si="72"/>
        <v>13</v>
      </c>
      <c r="AL489" s="93"/>
      <c r="AM489" s="94">
        <f>AK489</f>
        <v>13</v>
      </c>
      <c r="AN489" s="585"/>
      <c r="AO489" s="3"/>
      <c r="AP489" s="3"/>
      <c r="AQ489" s="3"/>
      <c r="AR489" s="3"/>
      <c r="AS489" s="3"/>
    </row>
    <row r="490" spans="3:45" ht="12.75" x14ac:dyDescent="0.2">
      <c r="C490" s="580"/>
      <c r="D490" s="584" t="s">
        <v>60</v>
      </c>
      <c r="E490" s="65" t="s">
        <v>18</v>
      </c>
      <c r="F490" s="114"/>
      <c r="G490" s="65"/>
      <c r="H490" s="65"/>
      <c r="I490" s="65"/>
      <c r="J490" s="65"/>
      <c r="K490" s="65"/>
      <c r="L490" s="68"/>
      <c r="M490" s="65"/>
      <c r="N490" s="65"/>
      <c r="O490" s="65"/>
      <c r="P490" s="65"/>
      <c r="Q490" s="65"/>
      <c r="R490" s="65"/>
      <c r="S490" s="68"/>
      <c r="T490" s="65"/>
      <c r="U490" s="65"/>
      <c r="V490" s="65"/>
      <c r="W490" s="65"/>
      <c r="X490" s="65"/>
      <c r="Y490" s="65"/>
      <c r="Z490" s="68"/>
      <c r="AA490" s="65"/>
      <c r="AB490" s="65"/>
      <c r="AC490" s="65"/>
      <c r="AD490" s="65"/>
      <c r="AE490" s="65"/>
      <c r="AF490" s="65"/>
      <c r="AG490" s="68"/>
      <c r="AH490" s="65"/>
      <c r="AI490" s="65"/>
      <c r="AJ490" s="68"/>
      <c r="AK490" s="98">
        <f t="shared" si="72"/>
        <v>0</v>
      </c>
      <c r="AL490" s="89">
        <f>AK490</f>
        <v>0</v>
      </c>
      <c r="AM490" s="62"/>
      <c r="AN490" s="582">
        <f>SUM(AL490:AM491)</f>
        <v>0</v>
      </c>
      <c r="AO490" s="3"/>
      <c r="AP490" s="3"/>
      <c r="AQ490" s="3"/>
      <c r="AR490" s="3"/>
      <c r="AS490" s="3"/>
    </row>
    <row r="491" spans="3:45" ht="12.75" x14ac:dyDescent="0.2">
      <c r="C491" s="580"/>
      <c r="D491" s="577"/>
      <c r="E491" s="62" t="s">
        <v>19</v>
      </c>
      <c r="F491" s="264"/>
      <c r="G491" s="62"/>
      <c r="H491" s="62"/>
      <c r="I491" s="62"/>
      <c r="J491" s="62"/>
      <c r="K491" s="62"/>
      <c r="L491" s="61"/>
      <c r="M491" s="62"/>
      <c r="N491" s="62"/>
      <c r="O491" s="62"/>
      <c r="P491" s="62"/>
      <c r="Q491" s="62"/>
      <c r="R491" s="62"/>
      <c r="S491" s="61"/>
      <c r="T491" s="62"/>
      <c r="U491" s="62"/>
      <c r="V491" s="62"/>
      <c r="W491" s="62"/>
      <c r="X491" s="62"/>
      <c r="Y491" s="62"/>
      <c r="Z491" s="61"/>
      <c r="AA491" s="62"/>
      <c r="AB491" s="62"/>
      <c r="AC491" s="62"/>
      <c r="AD491" s="62"/>
      <c r="AE491" s="62"/>
      <c r="AF491" s="62"/>
      <c r="AG491" s="61"/>
      <c r="AH491" s="62"/>
      <c r="AI491" s="62"/>
      <c r="AJ491" s="61"/>
      <c r="AK491" s="128">
        <f t="shared" si="72"/>
        <v>0</v>
      </c>
      <c r="AL491" s="114"/>
      <c r="AM491" s="66">
        <f>AK491</f>
        <v>0</v>
      </c>
      <c r="AN491" s="583"/>
      <c r="AO491" s="3"/>
      <c r="AP491" s="3"/>
      <c r="AQ491" s="3"/>
      <c r="AR491" s="3"/>
      <c r="AS491" s="3"/>
    </row>
    <row r="492" spans="3:45" ht="12.75" x14ac:dyDescent="0.2">
      <c r="C492" s="580"/>
      <c r="D492" s="584" t="s">
        <v>61</v>
      </c>
      <c r="E492" s="65" t="s">
        <v>18</v>
      </c>
      <c r="F492" s="114"/>
      <c r="G492" s="65"/>
      <c r="H492" s="65"/>
      <c r="I492" s="65"/>
      <c r="J492" s="65"/>
      <c r="K492" s="65"/>
      <c r="L492" s="68"/>
      <c r="M492" s="65"/>
      <c r="N492" s="65"/>
      <c r="O492" s="65"/>
      <c r="P492" s="65"/>
      <c r="Q492" s="65"/>
      <c r="R492" s="65"/>
      <c r="S492" s="68"/>
      <c r="T492" s="65"/>
      <c r="U492" s="72"/>
      <c r="V492" s="65"/>
      <c r="W492" s="65"/>
      <c r="X492" s="65"/>
      <c r="Y492" s="65"/>
      <c r="Z492" s="68"/>
      <c r="AA492" s="65"/>
      <c r="AB492" s="65"/>
      <c r="AC492" s="65"/>
      <c r="AD492" s="65"/>
      <c r="AE492" s="65"/>
      <c r="AF492" s="87">
        <v>30</v>
      </c>
      <c r="AG492" s="68"/>
      <c r="AH492" s="65"/>
      <c r="AI492" s="65"/>
      <c r="AJ492" s="68"/>
      <c r="AK492" s="88">
        <f t="shared" si="72"/>
        <v>30</v>
      </c>
      <c r="AL492" s="96">
        <f>AK492</f>
        <v>30</v>
      </c>
      <c r="AM492" s="97"/>
      <c r="AN492" s="616">
        <f>SUM(AL492:AM493)</f>
        <v>44</v>
      </c>
      <c r="AO492" s="3"/>
      <c r="AP492" s="3"/>
      <c r="AQ492" s="3"/>
      <c r="AR492" s="3"/>
      <c r="AS492" s="3"/>
    </row>
    <row r="493" spans="3:45" ht="12.75" x14ac:dyDescent="0.2">
      <c r="C493" s="580"/>
      <c r="D493" s="577"/>
      <c r="E493" s="62" t="s">
        <v>19</v>
      </c>
      <c r="F493" s="264"/>
      <c r="G493" s="62"/>
      <c r="H493" s="62"/>
      <c r="I493" s="62"/>
      <c r="J493" s="62"/>
      <c r="K493" s="62"/>
      <c r="L493" s="61"/>
      <c r="M493" s="62"/>
      <c r="N493" s="62"/>
      <c r="O493" s="62"/>
      <c r="P493" s="62"/>
      <c r="Q493" s="62"/>
      <c r="R493" s="91">
        <v>14</v>
      </c>
      <c r="S493" s="61"/>
      <c r="T493" s="62"/>
      <c r="U493" s="62"/>
      <c r="V493" s="62"/>
      <c r="W493" s="62"/>
      <c r="X493" s="62"/>
      <c r="Y493" s="62"/>
      <c r="Z493" s="61"/>
      <c r="AA493" s="62"/>
      <c r="AB493" s="62"/>
      <c r="AC493" s="62"/>
      <c r="AD493" s="62"/>
      <c r="AE493" s="62"/>
      <c r="AF493" s="62"/>
      <c r="AG493" s="61"/>
      <c r="AH493" s="62"/>
      <c r="AI493" s="62"/>
      <c r="AJ493" s="61"/>
      <c r="AK493" s="92">
        <f t="shared" si="72"/>
        <v>14</v>
      </c>
      <c r="AL493" s="93"/>
      <c r="AM493" s="94">
        <f>AK493</f>
        <v>14</v>
      </c>
      <c r="AN493" s="585"/>
      <c r="AO493" s="3"/>
      <c r="AP493" s="3"/>
      <c r="AQ493" s="3"/>
      <c r="AR493" s="3"/>
      <c r="AS493" s="3"/>
    </row>
    <row r="494" spans="3:45" ht="12.75" x14ac:dyDescent="0.2">
      <c r="C494" s="580"/>
      <c r="D494" s="584" t="s">
        <v>62</v>
      </c>
      <c r="E494" s="65" t="s">
        <v>18</v>
      </c>
      <c r="F494" s="114"/>
      <c r="G494" s="65"/>
      <c r="H494" s="65"/>
      <c r="I494" s="65"/>
      <c r="J494" s="65"/>
      <c r="K494" s="65"/>
      <c r="L494" s="68"/>
      <c r="M494" s="65"/>
      <c r="N494" s="65"/>
      <c r="O494" s="65"/>
      <c r="P494" s="65"/>
      <c r="Q494" s="65"/>
      <c r="R494" s="65"/>
      <c r="S494" s="68"/>
      <c r="T494" s="65"/>
      <c r="U494" s="65"/>
      <c r="V494" s="65"/>
      <c r="W494" s="65"/>
      <c r="X494" s="65"/>
      <c r="Y494" s="65"/>
      <c r="Z494" s="68"/>
      <c r="AA494" s="65"/>
      <c r="AB494" s="65"/>
      <c r="AC494" s="65"/>
      <c r="AD494" s="65"/>
      <c r="AE494" s="65"/>
      <c r="AF494" s="65"/>
      <c r="AG494" s="68"/>
      <c r="AH494" s="65"/>
      <c r="AI494" s="65"/>
      <c r="AJ494" s="68"/>
      <c r="AK494" s="88">
        <f t="shared" si="72"/>
        <v>0</v>
      </c>
      <c r="AL494" s="96">
        <f>AK494</f>
        <v>0</v>
      </c>
      <c r="AM494" s="97"/>
      <c r="AN494" s="582">
        <f>SUM(AL494:AM495)</f>
        <v>0</v>
      </c>
      <c r="AO494" s="3"/>
      <c r="AP494" s="3"/>
      <c r="AQ494" s="3"/>
      <c r="AR494" s="3"/>
      <c r="AS494" s="3"/>
    </row>
    <row r="495" spans="3:45" ht="12.75" x14ac:dyDescent="0.2">
      <c r="C495" s="581"/>
      <c r="D495" s="577"/>
      <c r="E495" s="62" t="s">
        <v>19</v>
      </c>
      <c r="F495" s="264"/>
      <c r="G495" s="62"/>
      <c r="H495" s="62"/>
      <c r="I495" s="62"/>
      <c r="J495" s="62"/>
      <c r="K495" s="62"/>
      <c r="L495" s="61"/>
      <c r="M495" s="62"/>
      <c r="N495" s="62"/>
      <c r="O495" s="62"/>
      <c r="P495" s="62"/>
      <c r="Q495" s="62"/>
      <c r="R495" s="62"/>
      <c r="S495" s="61"/>
      <c r="T495" s="62"/>
      <c r="U495" s="62"/>
      <c r="V495" s="62"/>
      <c r="W495" s="62"/>
      <c r="X495" s="62"/>
      <c r="Y495" s="62"/>
      <c r="Z495" s="61"/>
      <c r="AA495" s="62"/>
      <c r="AB495" s="62"/>
      <c r="AC495" s="62"/>
      <c r="AD495" s="62"/>
      <c r="AE495" s="62"/>
      <c r="AF495" s="62"/>
      <c r="AG495" s="61"/>
      <c r="AH495" s="62"/>
      <c r="AI495" s="62"/>
      <c r="AJ495" s="61"/>
      <c r="AK495" s="92">
        <f t="shared" si="72"/>
        <v>0</v>
      </c>
      <c r="AL495" s="93"/>
      <c r="AM495" s="94">
        <f>AK495</f>
        <v>0</v>
      </c>
      <c r="AN495" s="583"/>
      <c r="AO495" s="3"/>
      <c r="AP495" s="3"/>
      <c r="AQ495" s="3"/>
      <c r="AR495" s="3"/>
      <c r="AS495" s="3"/>
    </row>
    <row r="496" spans="3:45" ht="12.75" x14ac:dyDescent="0.2">
      <c r="C496" s="594" t="s">
        <v>63</v>
      </c>
      <c r="D496" s="604" t="s">
        <v>64</v>
      </c>
      <c r="E496" s="105" t="s">
        <v>18</v>
      </c>
      <c r="F496" s="271"/>
      <c r="G496" s="105"/>
      <c r="H496" s="105"/>
      <c r="I496" s="105"/>
      <c r="J496" s="105"/>
      <c r="K496" s="105"/>
      <c r="L496" s="103"/>
      <c r="M496" s="105"/>
      <c r="N496" s="105"/>
      <c r="O496" s="105"/>
      <c r="P496" s="105"/>
      <c r="Q496" s="105"/>
      <c r="R496" s="105"/>
      <c r="S496" s="103"/>
      <c r="T496" s="105"/>
      <c r="U496" s="105"/>
      <c r="V496" s="105"/>
      <c r="W496" s="105"/>
      <c r="X496" s="105"/>
      <c r="Y496" s="105"/>
      <c r="Z496" s="103"/>
      <c r="AA496" s="105"/>
      <c r="AB496" s="105"/>
      <c r="AC496" s="105"/>
      <c r="AD496" s="105"/>
      <c r="AE496" s="105"/>
      <c r="AF496" s="105"/>
      <c r="AG496" s="103"/>
      <c r="AH496" s="105"/>
      <c r="AI496" s="105"/>
      <c r="AJ496" s="103"/>
      <c r="AK496" s="98">
        <f t="shared" si="72"/>
        <v>0</v>
      </c>
      <c r="AL496" s="108">
        <f>AK496</f>
        <v>0</v>
      </c>
      <c r="AM496" s="97"/>
      <c r="AN496" s="582">
        <f>SUM(AL496:AM497)</f>
        <v>0</v>
      </c>
      <c r="AO496" s="3"/>
      <c r="AP496" s="3"/>
      <c r="AQ496" s="3"/>
      <c r="AR496" s="3"/>
      <c r="AS496" s="3"/>
    </row>
    <row r="497" spans="3:45" ht="12.75" x14ac:dyDescent="0.2">
      <c r="C497" s="580"/>
      <c r="D497" s="577"/>
      <c r="E497" s="62" t="s">
        <v>19</v>
      </c>
      <c r="F497" s="264"/>
      <c r="G497" s="62"/>
      <c r="H497" s="62"/>
      <c r="I497" s="62"/>
      <c r="J497" s="62"/>
      <c r="K497" s="62"/>
      <c r="L497" s="61"/>
      <c r="M497" s="62"/>
      <c r="N497" s="62"/>
      <c r="O497" s="62"/>
      <c r="P497" s="66"/>
      <c r="Q497" s="62"/>
      <c r="R497" s="62"/>
      <c r="S497" s="61"/>
      <c r="T497" s="62"/>
      <c r="U497" s="62"/>
      <c r="V497" s="62"/>
      <c r="W497" s="62"/>
      <c r="X497" s="62"/>
      <c r="Y497" s="62"/>
      <c r="Z497" s="61"/>
      <c r="AA497" s="62"/>
      <c r="AB497" s="62"/>
      <c r="AC497" s="62"/>
      <c r="AD497" s="62"/>
      <c r="AE497" s="62"/>
      <c r="AF497" s="62"/>
      <c r="AG497" s="61"/>
      <c r="AH497" s="62"/>
      <c r="AI497" s="62"/>
      <c r="AJ497" s="61"/>
      <c r="AK497" s="128">
        <f t="shared" si="72"/>
        <v>0</v>
      </c>
      <c r="AL497" s="93"/>
      <c r="AM497" s="94">
        <f>AK497</f>
        <v>0</v>
      </c>
      <c r="AN497" s="583"/>
      <c r="AO497" s="3"/>
      <c r="AP497" s="3"/>
      <c r="AQ497" s="3"/>
      <c r="AR497" s="3"/>
      <c r="AS497" s="3"/>
    </row>
    <row r="498" spans="3:45" ht="12.75" x14ac:dyDescent="0.2">
      <c r="C498" s="580"/>
      <c r="D498" s="584" t="s">
        <v>65</v>
      </c>
      <c r="E498" s="65" t="s">
        <v>18</v>
      </c>
      <c r="F498" s="114"/>
      <c r="G498" s="65"/>
      <c r="H498" s="65"/>
      <c r="I498" s="65"/>
      <c r="J498" s="65"/>
      <c r="K498" s="65"/>
      <c r="L498" s="68"/>
      <c r="M498" s="65"/>
      <c r="N498" s="65"/>
      <c r="O498" s="65"/>
      <c r="P498" s="65"/>
      <c r="Q498" s="65"/>
      <c r="R498" s="65"/>
      <c r="S498" s="68"/>
      <c r="T498" s="65"/>
      <c r="U498" s="65"/>
      <c r="V498" s="65"/>
      <c r="W498" s="65"/>
      <c r="X498" s="65"/>
      <c r="Y498" s="65"/>
      <c r="Z498" s="68"/>
      <c r="AA498" s="65"/>
      <c r="AB498" s="65"/>
      <c r="AC498" s="65"/>
      <c r="AD498" s="65"/>
      <c r="AE498" s="65"/>
      <c r="AF498" s="65"/>
      <c r="AG498" s="68"/>
      <c r="AH498" s="65"/>
      <c r="AI498" s="65"/>
      <c r="AJ498" s="68"/>
      <c r="AK498" s="98">
        <f t="shared" si="72"/>
        <v>0</v>
      </c>
      <c r="AL498" s="96">
        <f>AK498</f>
        <v>0</v>
      </c>
      <c r="AM498" s="97"/>
      <c r="AN498" s="582">
        <f>SUM(AL498:AM499)</f>
        <v>0</v>
      </c>
      <c r="AO498" s="3"/>
      <c r="AP498" s="3"/>
      <c r="AQ498" s="3"/>
      <c r="AR498" s="3"/>
      <c r="AS498" s="3"/>
    </row>
    <row r="499" spans="3:45" ht="12.75" x14ac:dyDescent="0.2">
      <c r="C499" s="581"/>
      <c r="D499" s="585"/>
      <c r="E499" s="284" t="s">
        <v>19</v>
      </c>
      <c r="F499" s="265"/>
      <c r="G499" s="284"/>
      <c r="H499" s="284"/>
      <c r="I499" s="284"/>
      <c r="J499" s="284"/>
      <c r="K499" s="284"/>
      <c r="L499" s="100"/>
      <c r="M499" s="284"/>
      <c r="N499" s="284"/>
      <c r="O499" s="62"/>
      <c r="P499" s="62"/>
      <c r="Q499" s="284"/>
      <c r="R499" s="284"/>
      <c r="S499" s="102"/>
      <c r="T499" s="284"/>
      <c r="U499" s="284"/>
      <c r="V499" s="284"/>
      <c r="W499" s="284"/>
      <c r="X499" s="284"/>
      <c r="Y499" s="62"/>
      <c r="Z499" s="61"/>
      <c r="AA499" s="284"/>
      <c r="AB499" s="284"/>
      <c r="AC499" s="284"/>
      <c r="AD499" s="284"/>
      <c r="AE499" s="284"/>
      <c r="AF499" s="284"/>
      <c r="AG499" s="100"/>
      <c r="AH499" s="284"/>
      <c r="AI499" s="284"/>
      <c r="AJ499" s="100"/>
      <c r="AK499" s="317">
        <f t="shared" si="72"/>
        <v>0</v>
      </c>
      <c r="AL499" s="93"/>
      <c r="AM499" s="94">
        <f>AK499</f>
        <v>0</v>
      </c>
      <c r="AN499" s="583"/>
      <c r="AO499" s="3"/>
      <c r="AP499" s="3"/>
      <c r="AQ499" s="3"/>
      <c r="AR499" s="3"/>
      <c r="AS499" s="3"/>
    </row>
    <row r="500" spans="3:45" ht="12.75" x14ac:dyDescent="0.2">
      <c r="C500" s="343" t="s">
        <v>66</v>
      </c>
      <c r="D500" s="344"/>
      <c r="E500" s="119"/>
      <c r="F500" s="126"/>
      <c r="G500" s="118"/>
      <c r="H500" s="118"/>
      <c r="I500" s="118"/>
      <c r="J500" s="118"/>
      <c r="K500" s="118"/>
      <c r="L500" s="119"/>
      <c r="M500" s="118"/>
      <c r="N500" s="118"/>
      <c r="O500" s="118"/>
      <c r="P500" s="118"/>
      <c r="Q500" s="118"/>
      <c r="R500" s="118"/>
      <c r="S500" s="125"/>
      <c r="T500" s="118"/>
      <c r="U500" s="118"/>
      <c r="V500" s="118"/>
      <c r="W500" s="118"/>
      <c r="X500" s="118"/>
      <c r="Y500" s="118"/>
      <c r="Z500" s="319">
        <v>0.88</v>
      </c>
      <c r="AA500" s="118"/>
      <c r="AB500" s="118"/>
      <c r="AC500" s="118"/>
      <c r="AD500" s="118"/>
      <c r="AE500" s="118"/>
      <c r="AF500" s="329">
        <v>1.43</v>
      </c>
      <c r="AG500" s="119"/>
      <c r="AH500" s="118"/>
      <c r="AI500" s="118"/>
      <c r="AJ500" s="119"/>
      <c r="AK500" s="125">
        <f>SUM(F500:AJ500)</f>
        <v>2.31</v>
      </c>
      <c r="AL500" s="126"/>
      <c r="AM500" s="287"/>
      <c r="AN500" s="345"/>
      <c r="AO500" s="3"/>
      <c r="AP500" s="3"/>
      <c r="AQ500" s="3"/>
      <c r="AR500" s="3"/>
      <c r="AS500" s="3"/>
    </row>
    <row r="501" spans="3:45" ht="12.75" x14ac:dyDescent="0.2">
      <c r="C501" s="246" t="s">
        <v>32</v>
      </c>
      <c r="D501" s="62"/>
      <c r="E501" s="62"/>
      <c r="F501" s="331">
        <f t="shared" ref="F501:AM501" si="76">SUM(F449:F499)</f>
        <v>42.88</v>
      </c>
      <c r="G501" s="94">
        <f t="shared" si="76"/>
        <v>163.13</v>
      </c>
      <c r="H501" s="94">
        <f t="shared" si="76"/>
        <v>49.02</v>
      </c>
      <c r="I501" s="94">
        <f t="shared" si="76"/>
        <v>52.2</v>
      </c>
      <c r="J501" s="94">
        <f t="shared" si="76"/>
        <v>247.19</v>
      </c>
      <c r="K501" s="94">
        <f t="shared" si="76"/>
        <v>150.35999999999999</v>
      </c>
      <c r="L501" s="102">
        <f t="shared" si="76"/>
        <v>13</v>
      </c>
      <c r="M501" s="94">
        <f t="shared" si="76"/>
        <v>15.490000000000002</v>
      </c>
      <c r="N501" s="94">
        <f t="shared" si="76"/>
        <v>48.4</v>
      </c>
      <c r="O501" s="332">
        <f t="shared" si="76"/>
        <v>26.39</v>
      </c>
      <c r="P501" s="332">
        <f t="shared" si="76"/>
        <v>109.99</v>
      </c>
      <c r="Q501" s="332">
        <f t="shared" si="76"/>
        <v>438.57</v>
      </c>
      <c r="R501" s="332">
        <f t="shared" si="76"/>
        <v>59.78</v>
      </c>
      <c r="S501" s="346">
        <f t="shared" si="76"/>
        <v>20.6</v>
      </c>
      <c r="T501" s="332">
        <f t="shared" si="76"/>
        <v>53.59</v>
      </c>
      <c r="U501" s="332">
        <f t="shared" si="76"/>
        <v>22.42</v>
      </c>
      <c r="V501" s="332">
        <f t="shared" si="76"/>
        <v>47.339999999999996</v>
      </c>
      <c r="W501" s="332">
        <f t="shared" si="76"/>
        <v>50.320000000000007</v>
      </c>
      <c r="X501" s="332">
        <f t="shared" si="76"/>
        <v>92.699999999999989</v>
      </c>
      <c r="Y501" s="332">
        <f t="shared" si="76"/>
        <v>36.54</v>
      </c>
      <c r="Z501" s="346">
        <f t="shared" si="76"/>
        <v>69.5</v>
      </c>
      <c r="AA501" s="94">
        <f t="shared" si="76"/>
        <v>411.56</v>
      </c>
      <c r="AB501" s="94">
        <f t="shared" si="76"/>
        <v>43.19</v>
      </c>
      <c r="AC501" s="94">
        <f t="shared" si="76"/>
        <v>57.51</v>
      </c>
      <c r="AD501" s="94">
        <f t="shared" si="76"/>
        <v>31.570000000000004</v>
      </c>
      <c r="AE501" s="94">
        <f t="shared" si="76"/>
        <v>25.78</v>
      </c>
      <c r="AF501" s="94">
        <f t="shared" si="76"/>
        <v>118.25</v>
      </c>
      <c r="AG501" s="102">
        <f t="shared" si="76"/>
        <v>0</v>
      </c>
      <c r="AH501" s="94">
        <f t="shared" si="76"/>
        <v>70.680000000000007</v>
      </c>
      <c r="AI501" s="94">
        <f t="shared" si="76"/>
        <v>33.820000000000007</v>
      </c>
      <c r="AJ501" s="102">
        <f t="shared" si="76"/>
        <v>0</v>
      </c>
      <c r="AK501" s="131">
        <f t="shared" si="76"/>
        <v>2574.7699999999995</v>
      </c>
      <c r="AL501" s="72">
        <f t="shared" si="76"/>
        <v>2257.38</v>
      </c>
      <c r="AM501" s="66">
        <f t="shared" si="76"/>
        <v>344.39</v>
      </c>
      <c r="AN501" s="3"/>
      <c r="AO501" s="3"/>
      <c r="AP501" s="3"/>
      <c r="AQ501" s="3"/>
      <c r="AR501" s="3"/>
      <c r="AS501" s="3"/>
    </row>
    <row r="502" spans="3:45" ht="16.5" x14ac:dyDescent="0.25">
      <c r="C502" s="347"/>
      <c r="F502" s="641">
        <f>SUM(F501:L501)</f>
        <v>717.78000000000009</v>
      </c>
      <c r="G502" s="597"/>
      <c r="H502" s="597"/>
      <c r="I502" s="597"/>
      <c r="J502" s="597"/>
      <c r="K502" s="597"/>
      <c r="L502" s="598"/>
      <c r="M502" s="641">
        <f>SUM(M501:S501)</f>
        <v>719.21999999999991</v>
      </c>
      <c r="N502" s="597"/>
      <c r="O502" s="597"/>
      <c r="P502" s="597"/>
      <c r="Q502" s="597"/>
      <c r="R502" s="597"/>
      <c r="S502" s="598"/>
      <c r="T502" s="641">
        <f>SUM(T501:Z501)</f>
        <v>372.41</v>
      </c>
      <c r="U502" s="597"/>
      <c r="V502" s="597"/>
      <c r="W502" s="597"/>
      <c r="X502" s="597"/>
      <c r="Y502" s="597"/>
      <c r="Z502" s="598"/>
      <c r="AA502" s="641">
        <f>SUM(AA501:AG501)</f>
        <v>687.86</v>
      </c>
      <c r="AB502" s="597"/>
      <c r="AC502" s="597"/>
      <c r="AD502" s="597"/>
      <c r="AE502" s="597"/>
      <c r="AF502" s="597"/>
      <c r="AG502" s="598"/>
      <c r="AH502" s="641">
        <f>SUM(AH501:AJ501)</f>
        <v>104.50000000000001</v>
      </c>
      <c r="AI502" s="597"/>
      <c r="AJ502" s="598"/>
    </row>
    <row r="503" spans="3:45" ht="12.75" x14ac:dyDescent="0.2">
      <c r="C503" s="347"/>
    </row>
    <row r="504" spans="3:45" ht="12.75" x14ac:dyDescent="0.2">
      <c r="C504" s="135"/>
      <c r="D504" s="3"/>
      <c r="E504" s="3"/>
      <c r="F504" s="578" t="s">
        <v>72</v>
      </c>
      <c r="G504" s="577"/>
      <c r="H504" s="577"/>
      <c r="I504" s="577"/>
      <c r="J504" s="577"/>
      <c r="K504" s="577"/>
      <c r="L504" s="577"/>
      <c r="M504" s="577"/>
      <c r="N504" s="577"/>
      <c r="O504" s="577"/>
      <c r="P504" s="577"/>
      <c r="Q504" s="577"/>
      <c r="R504" s="577"/>
      <c r="S504" s="577"/>
      <c r="T504" s="577"/>
      <c r="U504" s="577"/>
      <c r="V504" s="577"/>
      <c r="W504" s="577"/>
      <c r="X504" s="577"/>
      <c r="Y504" s="577"/>
      <c r="Z504" s="577"/>
      <c r="AA504" s="577"/>
      <c r="AB504" s="577"/>
      <c r="AC504" s="577"/>
      <c r="AD504" s="577"/>
      <c r="AE504" s="577"/>
      <c r="AF504" s="577"/>
      <c r="AG504" s="577"/>
      <c r="AH504" s="577"/>
      <c r="AI504" s="577"/>
      <c r="AJ504" s="577"/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3:45" ht="12.75" x14ac:dyDescent="0.2">
      <c r="C505" s="135"/>
      <c r="D505" s="3"/>
      <c r="E505" s="5" t="s">
        <v>9</v>
      </c>
      <c r="F505" s="255" t="s">
        <v>15</v>
      </c>
      <c r="G505" s="7" t="s">
        <v>16</v>
      </c>
      <c r="H505" s="8" t="s">
        <v>10</v>
      </c>
      <c r="I505" s="7" t="s">
        <v>11</v>
      </c>
      <c r="J505" s="7" t="s">
        <v>12</v>
      </c>
      <c r="K505" s="7" t="s">
        <v>13</v>
      </c>
      <c r="L505" s="7" t="s">
        <v>14</v>
      </c>
      <c r="M505" s="7" t="s">
        <v>15</v>
      </c>
      <c r="N505" s="7" t="s">
        <v>16</v>
      </c>
      <c r="O505" s="8" t="s">
        <v>10</v>
      </c>
      <c r="P505" s="255" t="s">
        <v>11</v>
      </c>
      <c r="Q505" s="7" t="s">
        <v>12</v>
      </c>
      <c r="R505" s="7" t="s">
        <v>13</v>
      </c>
      <c r="S505" s="7" t="s">
        <v>14</v>
      </c>
      <c r="T505" s="7" t="s">
        <v>15</v>
      </c>
      <c r="U505" s="7" t="s">
        <v>16</v>
      </c>
      <c r="V505" s="8" t="s">
        <v>10</v>
      </c>
      <c r="W505" s="7" t="s">
        <v>11</v>
      </c>
      <c r="X505" s="7" t="s">
        <v>12</v>
      </c>
      <c r="Y505" s="7" t="s">
        <v>13</v>
      </c>
      <c r="Z505" s="7" t="s">
        <v>14</v>
      </c>
      <c r="AA505" s="7" t="s">
        <v>15</v>
      </c>
      <c r="AB505" s="7" t="s">
        <v>16</v>
      </c>
      <c r="AC505" s="8" t="s">
        <v>10</v>
      </c>
      <c r="AD505" s="7" t="s">
        <v>11</v>
      </c>
      <c r="AE505" s="7" t="s">
        <v>12</v>
      </c>
      <c r="AF505" s="7" t="s">
        <v>13</v>
      </c>
      <c r="AG505" s="7" t="s">
        <v>14</v>
      </c>
      <c r="AH505" s="7" t="s">
        <v>15</v>
      </c>
      <c r="AI505" s="7" t="s">
        <v>16</v>
      </c>
      <c r="AJ505" s="8" t="s">
        <v>10</v>
      </c>
      <c r="AK505" s="9"/>
      <c r="AL505" s="10"/>
      <c r="AM505" s="9"/>
      <c r="AN505" s="11"/>
      <c r="AO505" s="3"/>
      <c r="AP505" s="10"/>
      <c r="AQ505" s="12" t="s">
        <v>17</v>
      </c>
      <c r="AR505" s="12" t="s">
        <v>18</v>
      </c>
      <c r="AS505" s="12" t="s">
        <v>19</v>
      </c>
    </row>
    <row r="506" spans="3:45" ht="12.75" x14ac:dyDescent="0.2">
      <c r="C506" s="135"/>
      <c r="D506" s="3"/>
      <c r="E506" s="5" t="s">
        <v>20</v>
      </c>
      <c r="F506" s="289">
        <v>1</v>
      </c>
      <c r="G506" s="5">
        <v>2</v>
      </c>
      <c r="H506" s="290">
        <v>3</v>
      </c>
      <c r="I506" s="5">
        <v>4</v>
      </c>
      <c r="J506" s="5">
        <v>5</v>
      </c>
      <c r="K506" s="5">
        <v>6</v>
      </c>
      <c r="L506" s="5">
        <v>7</v>
      </c>
      <c r="M506" s="5">
        <v>8</v>
      </c>
      <c r="N506" s="5">
        <v>9</v>
      </c>
      <c r="O506" s="290">
        <v>10</v>
      </c>
      <c r="P506" s="289">
        <v>11</v>
      </c>
      <c r="Q506" s="5">
        <v>12</v>
      </c>
      <c r="R506" s="5">
        <v>13</v>
      </c>
      <c r="S506" s="5">
        <v>14</v>
      </c>
      <c r="T506" s="5">
        <v>15</v>
      </c>
      <c r="U506" s="5">
        <v>16</v>
      </c>
      <c r="V506" s="290">
        <v>17</v>
      </c>
      <c r="W506" s="5">
        <v>18</v>
      </c>
      <c r="X506" s="5">
        <v>19</v>
      </c>
      <c r="Y506" s="5">
        <v>20</v>
      </c>
      <c r="Z506" s="5">
        <v>21</v>
      </c>
      <c r="AA506" s="5">
        <v>22</v>
      </c>
      <c r="AB506" s="5">
        <v>23</v>
      </c>
      <c r="AC506" s="290">
        <v>24</v>
      </c>
      <c r="AD506" s="5">
        <v>25</v>
      </c>
      <c r="AE506" s="5">
        <v>26</v>
      </c>
      <c r="AF506" s="5">
        <v>27</v>
      </c>
      <c r="AG506" s="5">
        <v>28</v>
      </c>
      <c r="AH506" s="5">
        <v>29</v>
      </c>
      <c r="AI506" s="5">
        <v>30</v>
      </c>
      <c r="AJ506" s="339">
        <v>31</v>
      </c>
      <c r="AK506" s="5" t="s">
        <v>21</v>
      </c>
      <c r="AL506" s="10" t="s">
        <v>18</v>
      </c>
      <c r="AM506" s="9" t="s">
        <v>19</v>
      </c>
      <c r="AN506" s="11" t="s">
        <v>22</v>
      </c>
      <c r="AO506" s="3"/>
      <c r="AP506" s="12" t="s">
        <v>23</v>
      </c>
      <c r="AQ506" s="19">
        <f>AK519-AK571</f>
        <v>-85.750000000000455</v>
      </c>
      <c r="AR506" s="19">
        <f t="shared" ref="AR506:AS506" si="77">(AL519-AL571)</f>
        <v>1302.6399999999999</v>
      </c>
      <c r="AS506" s="19">
        <f t="shared" si="77"/>
        <v>-1415.3899999999999</v>
      </c>
    </row>
    <row r="507" spans="3:45" ht="12.75" x14ac:dyDescent="0.2">
      <c r="C507" s="579" t="s">
        <v>24</v>
      </c>
      <c r="D507" s="20" t="s">
        <v>25</v>
      </c>
      <c r="E507" s="23" t="s">
        <v>18</v>
      </c>
      <c r="F507" s="257"/>
      <c r="G507" s="274"/>
      <c r="H507" s="21"/>
      <c r="I507" s="23"/>
      <c r="J507" s="25">
        <f>1176+979.82</f>
        <v>2155.8200000000002</v>
      </c>
      <c r="K507" s="23"/>
      <c r="L507" s="23"/>
      <c r="M507" s="23"/>
      <c r="N507" s="23"/>
      <c r="O507" s="21"/>
      <c r="P507" s="257"/>
      <c r="Q507" s="23"/>
      <c r="R507" s="23"/>
      <c r="S507" s="23"/>
      <c r="T507" s="23"/>
      <c r="U507" s="23"/>
      <c r="V507" s="27"/>
      <c r="W507" s="23"/>
      <c r="X507" s="23"/>
      <c r="Y507" s="25">
        <v>500</v>
      </c>
      <c r="Z507" s="23"/>
      <c r="AA507" s="23"/>
      <c r="AB507" s="23"/>
      <c r="AC507" s="21"/>
      <c r="AD507" s="23"/>
      <c r="AE507" s="23"/>
      <c r="AF507" s="23"/>
      <c r="AG507" s="23"/>
      <c r="AH507" s="23"/>
      <c r="AI507" s="23"/>
      <c r="AJ507" s="21"/>
      <c r="AK507" s="296">
        <f t="shared" ref="AK507:AK518" si="78">SUM(F507:AJ507)</f>
        <v>2655.82</v>
      </c>
      <c r="AL507" s="28">
        <f t="shared" ref="AL507:AL508" si="79">AK507</f>
        <v>2655.82</v>
      </c>
      <c r="AM507" s="9"/>
      <c r="AN507" s="29">
        <f>AL507</f>
        <v>2655.82</v>
      </c>
      <c r="AO507" s="3"/>
      <c r="AP507" s="3"/>
      <c r="AQ507" s="3"/>
      <c r="AR507" s="3"/>
      <c r="AS507" s="3"/>
    </row>
    <row r="508" spans="3:45" ht="12.75" x14ac:dyDescent="0.2">
      <c r="C508" s="580"/>
      <c r="D508" s="576" t="s">
        <v>26</v>
      </c>
      <c r="E508" s="10" t="s">
        <v>18</v>
      </c>
      <c r="F508" s="45"/>
      <c r="G508" s="10"/>
      <c r="H508" s="31"/>
      <c r="I508" s="10"/>
      <c r="J508" s="10"/>
      <c r="K508" s="10"/>
      <c r="L508" s="10"/>
      <c r="M508" s="10"/>
      <c r="N508" s="10"/>
      <c r="O508" s="31"/>
      <c r="P508" s="45"/>
      <c r="Q508" s="10"/>
      <c r="R508" s="10"/>
      <c r="S508" s="10"/>
      <c r="T508" s="10"/>
      <c r="U508" s="10"/>
      <c r="V508" s="31"/>
      <c r="W508" s="10"/>
      <c r="X508" s="10"/>
      <c r="Y508" s="10"/>
      <c r="Z508" s="10"/>
      <c r="AA508" s="10"/>
      <c r="AB508" s="10"/>
      <c r="AC508" s="31"/>
      <c r="AD508" s="10"/>
      <c r="AE508" s="10"/>
      <c r="AF508" s="10"/>
      <c r="AG508" s="10"/>
      <c r="AH508" s="10"/>
      <c r="AI508" s="10"/>
      <c r="AJ508" s="31"/>
      <c r="AK508" s="297">
        <f t="shared" si="78"/>
        <v>0</v>
      </c>
      <c r="AL508" s="34">
        <f t="shared" si="79"/>
        <v>0</v>
      </c>
      <c r="AM508" s="35"/>
      <c r="AN508" s="582">
        <f>SUM(AL508:AM509)</f>
        <v>0</v>
      </c>
      <c r="AO508" s="3"/>
      <c r="AP508" s="3"/>
      <c r="AQ508" s="3"/>
      <c r="AR508" s="3"/>
      <c r="AS508" s="3"/>
    </row>
    <row r="509" spans="3:45" ht="12.75" x14ac:dyDescent="0.2">
      <c r="C509" s="580"/>
      <c r="D509" s="577"/>
      <c r="E509" s="9" t="s">
        <v>19</v>
      </c>
      <c r="F509" s="259"/>
      <c r="G509" s="9"/>
      <c r="H509" s="36"/>
      <c r="I509" s="9"/>
      <c r="J509" s="9"/>
      <c r="K509" s="9"/>
      <c r="L509" s="9"/>
      <c r="M509" s="9"/>
      <c r="N509" s="9"/>
      <c r="O509" s="36"/>
      <c r="P509" s="259"/>
      <c r="Q509" s="9"/>
      <c r="R509" s="9"/>
      <c r="S509" s="9"/>
      <c r="T509" s="9"/>
      <c r="U509" s="9"/>
      <c r="V509" s="36"/>
      <c r="W509" s="9"/>
      <c r="X509" s="9"/>
      <c r="Y509" s="9"/>
      <c r="Z509" s="9"/>
      <c r="AA509" s="9"/>
      <c r="AB509" s="9"/>
      <c r="AC509" s="36"/>
      <c r="AD509" s="9"/>
      <c r="AE509" s="9"/>
      <c r="AF509" s="9"/>
      <c r="AG509" s="9"/>
      <c r="AH509" s="9"/>
      <c r="AI509" s="9"/>
      <c r="AJ509" s="36"/>
      <c r="AK509" s="298">
        <f t="shared" si="78"/>
        <v>0</v>
      </c>
      <c r="AL509" s="39"/>
      <c r="AM509" s="40">
        <f t="shared" ref="AM509:AM510" si="80">AK509</f>
        <v>0</v>
      </c>
      <c r="AN509" s="583"/>
      <c r="AO509" s="3"/>
      <c r="AP509" s="3"/>
      <c r="AQ509" s="3"/>
      <c r="AR509" s="3"/>
      <c r="AS509" s="3"/>
    </row>
    <row r="510" spans="3:45" ht="12.75" x14ac:dyDescent="0.2">
      <c r="C510" s="580"/>
      <c r="D510" s="30" t="s">
        <v>27</v>
      </c>
      <c r="E510" s="9" t="s">
        <v>19</v>
      </c>
      <c r="F510" s="259"/>
      <c r="G510" s="9"/>
      <c r="H510" s="36"/>
      <c r="I510" s="9"/>
      <c r="J510" s="9"/>
      <c r="K510" s="9"/>
      <c r="L510" s="9"/>
      <c r="M510" s="9"/>
      <c r="N510" s="9"/>
      <c r="O510" s="36"/>
      <c r="P510" s="259"/>
      <c r="Q510" s="9"/>
      <c r="R510" s="9"/>
      <c r="S510" s="9"/>
      <c r="T510" s="9"/>
      <c r="U510" s="9"/>
      <c r="V510" s="36"/>
      <c r="W510" s="9"/>
      <c r="X510" s="9"/>
      <c r="Y510" s="9"/>
      <c r="Z510" s="9"/>
      <c r="AA510" s="9"/>
      <c r="AB510" s="9"/>
      <c r="AC510" s="36"/>
      <c r="AD510" s="9"/>
      <c r="AE510" s="9"/>
      <c r="AF510" s="9"/>
      <c r="AG510" s="9"/>
      <c r="AH510" s="9"/>
      <c r="AI510" s="9"/>
      <c r="AJ510" s="36"/>
      <c r="AK510" s="298">
        <f t="shared" si="78"/>
        <v>0</v>
      </c>
      <c r="AL510" s="10"/>
      <c r="AM510" s="19">
        <f t="shared" si="80"/>
        <v>0</v>
      </c>
      <c r="AN510" s="29">
        <f>AM510</f>
        <v>0</v>
      </c>
      <c r="AO510" s="3"/>
      <c r="AP510" s="3"/>
      <c r="AQ510" s="3"/>
      <c r="AR510" s="3"/>
      <c r="AS510" s="3"/>
    </row>
    <row r="511" spans="3:45" ht="12.75" x14ac:dyDescent="0.2">
      <c r="C511" s="580"/>
      <c r="D511" s="576" t="s">
        <v>28</v>
      </c>
      <c r="E511" s="10" t="s">
        <v>18</v>
      </c>
      <c r="F511" s="45"/>
      <c r="G511" s="41">
        <v>18.5</v>
      </c>
      <c r="H511" s="31"/>
      <c r="I511" s="10"/>
      <c r="J511" s="10"/>
      <c r="K511" s="10"/>
      <c r="L511" s="28"/>
      <c r="M511" s="10"/>
      <c r="N511" s="10"/>
      <c r="O511" s="31"/>
      <c r="P511" s="45"/>
      <c r="Q511" s="10"/>
      <c r="R511" s="10"/>
      <c r="S511" s="10"/>
      <c r="T511" s="28"/>
      <c r="U511" s="10"/>
      <c r="V511" s="31"/>
      <c r="W511" s="10"/>
      <c r="X511" s="10"/>
      <c r="Y511" s="10"/>
      <c r="Z511" s="28"/>
      <c r="AA511" s="10"/>
      <c r="AB511" s="10">
        <f>17+25</f>
        <v>42</v>
      </c>
      <c r="AC511" s="31"/>
      <c r="AD511" s="10"/>
      <c r="AE511" s="10"/>
      <c r="AF511" s="10"/>
      <c r="AG511" s="10"/>
      <c r="AH511" s="10"/>
      <c r="AI511" s="10"/>
      <c r="AJ511" s="31"/>
      <c r="AK511" s="297">
        <f t="shared" si="78"/>
        <v>60.5</v>
      </c>
      <c r="AL511" s="34">
        <f>AK511</f>
        <v>60.5</v>
      </c>
      <c r="AM511" s="35"/>
      <c r="AN511" s="582">
        <f>SUM(AL511:AM512)</f>
        <v>142.5</v>
      </c>
      <c r="AO511" s="3"/>
      <c r="AP511" s="3"/>
      <c r="AQ511" s="3"/>
      <c r="AR511" s="3"/>
      <c r="AS511" s="3"/>
    </row>
    <row r="512" spans="3:45" ht="12.75" x14ac:dyDescent="0.2">
      <c r="C512" s="580"/>
      <c r="D512" s="577"/>
      <c r="E512" s="9" t="s">
        <v>19</v>
      </c>
      <c r="F512" s="259"/>
      <c r="G512" s="9"/>
      <c r="H512" s="38"/>
      <c r="I512" s="9"/>
      <c r="J512" s="9"/>
      <c r="K512" s="9"/>
      <c r="L512" s="42">
        <v>27</v>
      </c>
      <c r="M512" s="19"/>
      <c r="N512" s="9"/>
      <c r="O512" s="36"/>
      <c r="P512" s="259"/>
      <c r="Q512" s="9"/>
      <c r="R512" s="9"/>
      <c r="S512" s="9"/>
      <c r="T512" s="9"/>
      <c r="U512" s="9"/>
      <c r="V512" s="36"/>
      <c r="W512" s="42">
        <v>20</v>
      </c>
      <c r="X512" s="9"/>
      <c r="Y512" s="42">
        <v>10</v>
      </c>
      <c r="Z512" s="9"/>
      <c r="AA512" s="9"/>
      <c r="AB512" s="9"/>
      <c r="AC512" s="36"/>
      <c r="AD512" s="9"/>
      <c r="AE512" s="19"/>
      <c r="AF512" s="42">
        <v>20</v>
      </c>
      <c r="AG512" s="42">
        <v>5</v>
      </c>
      <c r="AH512" s="19"/>
      <c r="AI512" s="9"/>
      <c r="AJ512" s="36"/>
      <c r="AK512" s="298">
        <f t="shared" si="78"/>
        <v>82</v>
      </c>
      <c r="AL512" s="39"/>
      <c r="AM512" s="40">
        <f>AK512</f>
        <v>82</v>
      </c>
      <c r="AN512" s="583"/>
      <c r="AO512" s="3"/>
      <c r="AP512" s="3"/>
      <c r="AQ512" s="3"/>
      <c r="AR512" s="3"/>
      <c r="AS512" s="3"/>
    </row>
    <row r="513" spans="3:45" ht="12.75" x14ac:dyDescent="0.2">
      <c r="C513" s="580"/>
      <c r="D513" s="576" t="s">
        <v>29</v>
      </c>
      <c r="E513" s="10" t="s">
        <v>18</v>
      </c>
      <c r="F513" s="45"/>
      <c r="G513" s="10"/>
      <c r="H513" s="31"/>
      <c r="I513" s="10"/>
      <c r="J513" s="10"/>
      <c r="K513" s="10"/>
      <c r="L513" s="10"/>
      <c r="M513" s="10"/>
      <c r="N513" s="10"/>
      <c r="O513" s="31"/>
      <c r="P513" s="45"/>
      <c r="Q513" s="10"/>
      <c r="R513" s="10"/>
      <c r="S513" s="10"/>
      <c r="T513" s="10"/>
      <c r="U513" s="10"/>
      <c r="V513" s="31"/>
      <c r="W513" s="10"/>
      <c r="X513" s="10"/>
      <c r="Y513" s="10"/>
      <c r="Z513" s="10"/>
      <c r="AA513" s="10"/>
      <c r="AB513" s="10"/>
      <c r="AC513" s="31"/>
      <c r="AD513" s="10"/>
      <c r="AE513" s="10"/>
      <c r="AF513" s="10"/>
      <c r="AG513" s="10"/>
      <c r="AH513" s="10"/>
      <c r="AI513" s="10"/>
      <c r="AJ513" s="31"/>
      <c r="AK513" s="297">
        <f t="shared" si="78"/>
        <v>0</v>
      </c>
      <c r="AL513" s="34">
        <f>AK513</f>
        <v>0</v>
      </c>
      <c r="AM513" s="35"/>
      <c r="AN513" s="582">
        <f>SUM(AL513:AM514)</f>
        <v>0</v>
      </c>
      <c r="AO513" s="3"/>
      <c r="AP513" s="3"/>
      <c r="AQ513" s="3"/>
      <c r="AR513" s="3"/>
      <c r="AS513" s="3"/>
    </row>
    <row r="514" spans="3:45" ht="12.75" x14ac:dyDescent="0.2">
      <c r="C514" s="580"/>
      <c r="D514" s="577"/>
      <c r="E514" s="9" t="s">
        <v>19</v>
      </c>
      <c r="F514" s="259"/>
      <c r="G514" s="9"/>
      <c r="H514" s="36"/>
      <c r="I514" s="9"/>
      <c r="J514" s="9"/>
      <c r="K514" s="9"/>
      <c r="L514" s="9"/>
      <c r="M514" s="9"/>
      <c r="N514" s="9"/>
      <c r="O514" s="36"/>
      <c r="P514" s="259"/>
      <c r="Q514" s="9"/>
      <c r="R514" s="9"/>
      <c r="S514" s="9"/>
      <c r="T514" s="9"/>
      <c r="U514" s="9"/>
      <c r="V514" s="36"/>
      <c r="W514" s="9"/>
      <c r="X514" s="9"/>
      <c r="Y514" s="9"/>
      <c r="Z514" s="9"/>
      <c r="AA514" s="9"/>
      <c r="AB514" s="9"/>
      <c r="AC514" s="36"/>
      <c r="AD514" s="9"/>
      <c r="AE514" s="9"/>
      <c r="AF514" s="9"/>
      <c r="AG514" s="9"/>
      <c r="AH514" s="9"/>
      <c r="AI514" s="9"/>
      <c r="AJ514" s="36"/>
      <c r="AK514" s="298">
        <f t="shared" si="78"/>
        <v>0</v>
      </c>
      <c r="AL514" s="39"/>
      <c r="AM514" s="40">
        <f>AK514</f>
        <v>0</v>
      </c>
      <c r="AN514" s="583"/>
      <c r="AO514" s="3"/>
      <c r="AP514" s="3"/>
      <c r="AQ514" s="3"/>
      <c r="AR514" s="3"/>
      <c r="AS514" s="3"/>
    </row>
    <row r="515" spans="3:45" ht="12.75" x14ac:dyDescent="0.2">
      <c r="C515" s="580"/>
      <c r="D515" s="576" t="s">
        <v>30</v>
      </c>
      <c r="E515" s="10" t="s">
        <v>18</v>
      </c>
      <c r="F515" s="45"/>
      <c r="G515" s="10"/>
      <c r="H515" s="31"/>
      <c r="I515" s="10"/>
      <c r="J515" s="10"/>
      <c r="K515" s="10"/>
      <c r="L515" s="10"/>
      <c r="M515" s="10"/>
      <c r="N515" s="10"/>
      <c r="O515" s="31"/>
      <c r="P515" s="45"/>
      <c r="Q515" s="10"/>
      <c r="R515" s="10"/>
      <c r="S515" s="10"/>
      <c r="T515" s="10"/>
      <c r="U515" s="10"/>
      <c r="V515" s="31"/>
      <c r="W515" s="10"/>
      <c r="X515" s="10"/>
      <c r="Y515" s="10"/>
      <c r="Z515" s="10"/>
      <c r="AA515" s="10"/>
      <c r="AB515" s="10"/>
      <c r="AC515" s="31"/>
      <c r="AD515" s="10"/>
      <c r="AE515" s="10"/>
      <c r="AF515" s="10"/>
      <c r="AG515" s="10"/>
      <c r="AH515" s="10"/>
      <c r="AI515" s="10"/>
      <c r="AJ515" s="31"/>
      <c r="AK515" s="297">
        <f t="shared" si="78"/>
        <v>0</v>
      </c>
      <c r="AL515" s="34">
        <f>AK515</f>
        <v>0</v>
      </c>
      <c r="AM515" s="9"/>
      <c r="AN515" s="582">
        <f>SUM(AL515:AM516)</f>
        <v>0</v>
      </c>
      <c r="AO515" s="3"/>
      <c r="AP515" s="3"/>
      <c r="AQ515" s="3"/>
      <c r="AR515" s="3"/>
      <c r="AS515" s="3"/>
    </row>
    <row r="516" spans="3:45" ht="12.75" x14ac:dyDescent="0.2">
      <c r="C516" s="580"/>
      <c r="D516" s="577"/>
      <c r="E516" s="9" t="s">
        <v>19</v>
      </c>
      <c r="F516" s="259"/>
      <c r="G516" s="9"/>
      <c r="H516" s="36"/>
      <c r="I516" s="9"/>
      <c r="J516" s="9"/>
      <c r="K516" s="9"/>
      <c r="L516" s="9"/>
      <c r="M516" s="9"/>
      <c r="N516" s="9"/>
      <c r="O516" s="36"/>
      <c r="P516" s="259"/>
      <c r="Q516" s="9"/>
      <c r="R516" s="9"/>
      <c r="S516" s="9"/>
      <c r="T516" s="9"/>
      <c r="U516" s="9"/>
      <c r="V516" s="36"/>
      <c r="W516" s="9"/>
      <c r="X516" s="9"/>
      <c r="Y516" s="9"/>
      <c r="Z516" s="9"/>
      <c r="AA516" s="9"/>
      <c r="AB516" s="9"/>
      <c r="AC516" s="36"/>
      <c r="AD516" s="9"/>
      <c r="AE516" s="9"/>
      <c r="AF516" s="9"/>
      <c r="AG516" s="9"/>
      <c r="AH516" s="9"/>
      <c r="AI516" s="9"/>
      <c r="AJ516" s="36"/>
      <c r="AK516" s="298">
        <f t="shared" si="78"/>
        <v>0</v>
      </c>
      <c r="AL516" s="45"/>
      <c r="AM516" s="40">
        <f>AK516</f>
        <v>0</v>
      </c>
      <c r="AN516" s="583"/>
      <c r="AO516" s="3"/>
      <c r="AP516" s="3"/>
      <c r="AQ516" s="3"/>
      <c r="AR516" s="3"/>
      <c r="AS516" s="3"/>
    </row>
    <row r="517" spans="3:45" ht="12.75" x14ac:dyDescent="0.2">
      <c r="C517" s="580"/>
      <c r="D517" s="576" t="s">
        <v>31</v>
      </c>
      <c r="E517" s="10" t="s">
        <v>18</v>
      </c>
      <c r="F517" s="45"/>
      <c r="G517" s="10"/>
      <c r="H517" s="31"/>
      <c r="I517" s="10"/>
      <c r="J517" s="10"/>
      <c r="K517" s="10"/>
      <c r="L517" s="10"/>
      <c r="M517" s="10"/>
      <c r="N517" s="10"/>
      <c r="O517" s="31"/>
      <c r="P517" s="45"/>
      <c r="Q517" s="10"/>
      <c r="R517" s="10"/>
      <c r="S517" s="10"/>
      <c r="T517" s="10"/>
      <c r="U517" s="10"/>
      <c r="V517" s="31"/>
      <c r="W517" s="10"/>
      <c r="X517" s="10"/>
      <c r="Y517" s="10"/>
      <c r="Z517" s="10"/>
      <c r="AA517" s="10"/>
      <c r="AB517" s="10"/>
      <c r="AC517" s="31"/>
      <c r="AD517" s="10"/>
      <c r="AE517" s="10"/>
      <c r="AF517" s="10"/>
      <c r="AG517" s="10"/>
      <c r="AH517" s="10"/>
      <c r="AI517" s="10"/>
      <c r="AJ517" s="31"/>
      <c r="AK517" s="297">
        <f t="shared" si="78"/>
        <v>0</v>
      </c>
      <c r="AL517" s="34">
        <f>AK517</f>
        <v>0</v>
      </c>
      <c r="AM517" s="35"/>
      <c r="AN517" s="586">
        <f>SUM(AL517:AM518)</f>
        <v>0</v>
      </c>
      <c r="AO517" s="3"/>
      <c r="AP517" s="3"/>
      <c r="AQ517" s="3"/>
      <c r="AR517" s="3"/>
      <c r="AS517" s="3"/>
    </row>
    <row r="518" spans="3:45" ht="12.75" x14ac:dyDescent="0.2">
      <c r="C518" s="581"/>
      <c r="D518" s="585"/>
      <c r="E518" s="277" t="s">
        <v>19</v>
      </c>
      <c r="F518" s="261"/>
      <c r="G518" s="277"/>
      <c r="H518" s="46"/>
      <c r="I518" s="277"/>
      <c r="J518" s="277"/>
      <c r="K518" s="40"/>
      <c r="L518" s="277"/>
      <c r="M518" s="277"/>
      <c r="N518" s="277"/>
      <c r="O518" s="46"/>
      <c r="P518" s="261"/>
      <c r="Q518" s="277"/>
      <c r="R518" s="277"/>
      <c r="S518" s="277"/>
      <c r="T518" s="277"/>
      <c r="U518" s="277"/>
      <c r="V518" s="46"/>
      <c r="W518" s="277"/>
      <c r="X518" s="277"/>
      <c r="Y518" s="9"/>
      <c r="Z518" s="9"/>
      <c r="AA518" s="277"/>
      <c r="AB518" s="277"/>
      <c r="AC518" s="46"/>
      <c r="AD518" s="277"/>
      <c r="AE518" s="277"/>
      <c r="AF518" s="277"/>
      <c r="AG518" s="277"/>
      <c r="AH518" s="277"/>
      <c r="AI518" s="277"/>
      <c r="AJ518" s="46"/>
      <c r="AK518" s="301">
        <f t="shared" si="78"/>
        <v>0</v>
      </c>
      <c r="AL518" s="39"/>
      <c r="AM518" s="40">
        <f>AK518</f>
        <v>0</v>
      </c>
      <c r="AN518" s="583"/>
      <c r="AO518" s="3"/>
      <c r="AP518" s="3"/>
      <c r="AQ518" s="3"/>
      <c r="AR518" s="3"/>
      <c r="AS518" s="3"/>
    </row>
    <row r="519" spans="3:45" ht="12.75" x14ac:dyDescent="0.2">
      <c r="C519" s="49" t="s">
        <v>32</v>
      </c>
      <c r="D519" s="9"/>
      <c r="E519" s="9"/>
      <c r="F519" s="259"/>
      <c r="G519" s="9"/>
      <c r="H519" s="36"/>
      <c r="I519" s="9"/>
      <c r="J519" s="9"/>
      <c r="K519" s="9"/>
      <c r="L519" s="9"/>
      <c r="M519" s="9"/>
      <c r="N519" s="9"/>
      <c r="O519" s="36"/>
      <c r="P519" s="259"/>
      <c r="Q519" s="9"/>
      <c r="R519" s="9"/>
      <c r="S519" s="9"/>
      <c r="T519" s="9"/>
      <c r="U519" s="9"/>
      <c r="V519" s="36"/>
      <c r="W519" s="9"/>
      <c r="X519" s="9"/>
      <c r="Y519" s="35"/>
      <c r="Z519" s="35"/>
      <c r="AA519" s="9"/>
      <c r="AB519" s="9"/>
      <c r="AC519" s="36"/>
      <c r="AD519" s="9"/>
      <c r="AE519" s="9"/>
      <c r="AF519" s="9"/>
      <c r="AG519" s="9"/>
      <c r="AH519" s="9"/>
      <c r="AI519" s="9"/>
      <c r="AJ519" s="36"/>
      <c r="AK519" s="51">
        <f t="shared" ref="AK519:AM519" si="81">SUM(AK507:AK518)</f>
        <v>2798.32</v>
      </c>
      <c r="AL519" s="28">
        <f t="shared" si="81"/>
        <v>2716.32</v>
      </c>
      <c r="AM519" s="19">
        <f t="shared" si="81"/>
        <v>82</v>
      </c>
      <c r="AN519" s="11"/>
      <c r="AO519" s="3"/>
      <c r="AP519" s="3"/>
      <c r="AQ519" s="3"/>
      <c r="AR519" s="3"/>
      <c r="AS519" s="3"/>
    </row>
    <row r="520" spans="3:45" ht="12.75" x14ac:dyDescent="0.2">
      <c r="C520" s="594" t="s">
        <v>33</v>
      </c>
      <c r="D520" s="304" t="s">
        <v>34</v>
      </c>
      <c r="E520" s="305" t="s">
        <v>19</v>
      </c>
      <c r="F520" s="306"/>
      <c r="G520" s="305"/>
      <c r="H520" s="307"/>
      <c r="I520" s="59"/>
      <c r="J520" s="308">
        <v>60</v>
      </c>
      <c r="K520" s="305"/>
      <c r="L520" s="305"/>
      <c r="M520" s="305"/>
      <c r="N520" s="305"/>
      <c r="O520" s="307"/>
      <c r="P520" s="306"/>
      <c r="Q520" s="305"/>
      <c r="R520" s="305"/>
      <c r="S520" s="305"/>
      <c r="T520" s="305"/>
      <c r="U520" s="305"/>
      <c r="V520" s="307"/>
      <c r="W520" s="305"/>
      <c r="X520" s="305"/>
      <c r="Y520" s="281"/>
      <c r="Z520" s="281"/>
      <c r="AA520" s="305"/>
      <c r="AB520" s="305"/>
      <c r="AC520" s="307"/>
      <c r="AD520" s="305"/>
      <c r="AE520" s="305"/>
      <c r="AF520" s="305"/>
      <c r="AG520" s="305"/>
      <c r="AH520" s="305"/>
      <c r="AI520" s="305"/>
      <c r="AJ520" s="307"/>
      <c r="AK520" s="310">
        <f t="shared" ref="AK520:AK521" si="82">SUM(F520:AJ520)</f>
        <v>60</v>
      </c>
      <c r="AL520" s="58"/>
      <c r="AM520" s="59">
        <f>AK520</f>
        <v>60</v>
      </c>
      <c r="AN520" s="60">
        <f>AM520</f>
        <v>60</v>
      </c>
      <c r="AO520" s="3"/>
      <c r="AP520" s="3"/>
      <c r="AQ520" s="3"/>
      <c r="AR520" s="3"/>
      <c r="AS520" s="3"/>
    </row>
    <row r="521" spans="3:45" ht="12.75" x14ac:dyDescent="0.2">
      <c r="C521" s="580"/>
      <c r="D521" s="311" t="s">
        <v>35</v>
      </c>
      <c r="E521" s="65" t="s">
        <v>18</v>
      </c>
      <c r="F521" s="114"/>
      <c r="G521" s="72"/>
      <c r="H521" s="68"/>
      <c r="I521" s="65"/>
      <c r="J521" s="87">
        <v>10</v>
      </c>
      <c r="K521" s="65"/>
      <c r="L521" s="65"/>
      <c r="M521" s="65"/>
      <c r="N521" s="65"/>
      <c r="O521" s="68"/>
      <c r="P521" s="114"/>
      <c r="Q521" s="65"/>
      <c r="R521" s="65"/>
      <c r="S521" s="65"/>
      <c r="T521" s="65"/>
      <c r="U521" s="65"/>
      <c r="V521" s="68"/>
      <c r="W521" s="65"/>
      <c r="X521" s="65"/>
      <c r="Y521" s="65"/>
      <c r="Z521" s="65"/>
      <c r="AA521" s="65"/>
      <c r="AB521" s="65"/>
      <c r="AC521" s="68"/>
      <c r="AD521" s="65"/>
      <c r="AE521" s="65"/>
      <c r="AF521" s="65"/>
      <c r="AG521" s="65"/>
      <c r="AH521" s="65"/>
      <c r="AI521" s="65"/>
      <c r="AJ521" s="68"/>
      <c r="AK521" s="98">
        <f t="shared" si="82"/>
        <v>10</v>
      </c>
      <c r="AL521" s="72">
        <f>AK521</f>
        <v>10</v>
      </c>
      <c r="AM521" s="62"/>
      <c r="AN521" s="73">
        <f>AL521</f>
        <v>10</v>
      </c>
      <c r="AO521" s="3"/>
      <c r="AP521" s="3"/>
      <c r="AQ521" s="3"/>
      <c r="AR521" s="3"/>
      <c r="AS521" s="3"/>
    </row>
    <row r="522" spans="3:45" ht="12.75" x14ac:dyDescent="0.2">
      <c r="C522" s="580"/>
      <c r="D522" s="649" t="s">
        <v>36</v>
      </c>
      <c r="E522" s="65" t="s">
        <v>18</v>
      </c>
      <c r="F522" s="114"/>
      <c r="G522" s="72"/>
      <c r="H522" s="68"/>
      <c r="I522" s="65"/>
      <c r="J522" s="87">
        <v>27</v>
      </c>
      <c r="K522" s="65"/>
      <c r="L522" s="65"/>
      <c r="M522" s="65"/>
      <c r="N522" s="65"/>
      <c r="O522" s="68"/>
      <c r="P522" s="114"/>
      <c r="Q522" s="65"/>
      <c r="R522" s="65"/>
      <c r="S522" s="65"/>
      <c r="T522" s="65"/>
      <c r="U522" s="65"/>
      <c r="V522" s="68"/>
      <c r="W522" s="65"/>
      <c r="X522" s="65"/>
      <c r="Y522" s="65"/>
      <c r="Z522" s="65"/>
      <c r="AA522" s="65"/>
      <c r="AB522" s="65"/>
      <c r="AC522" s="68"/>
      <c r="AD522" s="65"/>
      <c r="AE522" s="65"/>
      <c r="AF522" s="65"/>
      <c r="AG522" s="65"/>
      <c r="AH522" s="65"/>
      <c r="AI522" s="65"/>
      <c r="AJ522" s="68"/>
      <c r="AK522" s="69"/>
      <c r="AL522" s="72">
        <f>SUM(F522:AJ522)</f>
        <v>27</v>
      </c>
      <c r="AM522" s="62"/>
      <c r="AN522" s="589">
        <f>SUM(AL522:AM523)</f>
        <v>27</v>
      </c>
      <c r="AO522" s="3"/>
      <c r="AP522" s="3"/>
      <c r="AQ522" s="3"/>
      <c r="AR522" s="3"/>
      <c r="AS522" s="3"/>
    </row>
    <row r="523" spans="3:45" ht="12.75" x14ac:dyDescent="0.2">
      <c r="C523" s="580"/>
      <c r="D523" s="650"/>
      <c r="E523" s="312" t="s">
        <v>19</v>
      </c>
      <c r="F523" s="313"/>
      <c r="G523" s="312"/>
      <c r="H523" s="314"/>
      <c r="I523" s="312"/>
      <c r="J523" s="312"/>
      <c r="K523" s="312"/>
      <c r="L523" s="312"/>
      <c r="M523" s="312"/>
      <c r="N523" s="312"/>
      <c r="O523" s="314"/>
      <c r="P523" s="313"/>
      <c r="Q523" s="312"/>
      <c r="R523" s="312"/>
      <c r="S523" s="312"/>
      <c r="T523" s="312"/>
      <c r="U523" s="312"/>
      <c r="V523" s="314"/>
      <c r="W523" s="312"/>
      <c r="X523" s="312"/>
      <c r="Y523" s="77"/>
      <c r="Z523" s="77"/>
      <c r="AA523" s="312"/>
      <c r="AB523" s="312"/>
      <c r="AC523" s="314"/>
      <c r="AD523" s="312"/>
      <c r="AE523" s="312"/>
      <c r="AF523" s="312"/>
      <c r="AG523" s="312"/>
      <c r="AH523" s="312"/>
      <c r="AI523" s="312"/>
      <c r="AJ523" s="314"/>
      <c r="AK523" s="315">
        <f t="shared" ref="AK523:AK570" si="83">SUM(F523:AJ523)</f>
        <v>0</v>
      </c>
      <c r="AL523" s="79"/>
      <c r="AM523" s="80">
        <f>AK523</f>
        <v>0</v>
      </c>
      <c r="AN523" s="590"/>
      <c r="AO523" s="3"/>
      <c r="AP523" s="3"/>
      <c r="AQ523" s="3"/>
      <c r="AR523" s="3"/>
      <c r="AS523" s="3"/>
    </row>
    <row r="524" spans="3:45" ht="12.75" x14ac:dyDescent="0.2">
      <c r="C524" s="580"/>
      <c r="D524" s="584" t="s">
        <v>37</v>
      </c>
      <c r="E524" s="65" t="s">
        <v>18</v>
      </c>
      <c r="F524" s="267">
        <v>5</v>
      </c>
      <c r="G524" s="65"/>
      <c r="H524" s="88"/>
      <c r="I524" s="65"/>
      <c r="J524" s="72"/>
      <c r="K524" s="72"/>
      <c r="L524" s="65"/>
      <c r="M524" s="72"/>
      <c r="N524" s="65"/>
      <c r="O524" s="68"/>
      <c r="P524" s="114"/>
      <c r="Q524" s="65"/>
      <c r="R524" s="65"/>
      <c r="S524" s="87">
        <v>5</v>
      </c>
      <c r="T524" s="72"/>
      <c r="U524" s="65"/>
      <c r="V524" s="68"/>
      <c r="W524" s="65"/>
      <c r="X524" s="65"/>
      <c r="Y524" s="65"/>
      <c r="Z524" s="65"/>
      <c r="AA524" s="65"/>
      <c r="AB524" s="65">
        <f>1+26+33.2</f>
        <v>60.2</v>
      </c>
      <c r="AC524" s="68"/>
      <c r="AD524" s="65"/>
      <c r="AE524" s="72"/>
      <c r="AF524" s="65"/>
      <c r="AG524" s="65"/>
      <c r="AH524" s="65"/>
      <c r="AI524" s="65">
        <f>5+7.46</f>
        <v>12.46</v>
      </c>
      <c r="AJ524" s="68"/>
      <c r="AK524" s="98">
        <f t="shared" si="83"/>
        <v>82.66</v>
      </c>
      <c r="AL524" s="89">
        <f>AK524</f>
        <v>82.66</v>
      </c>
      <c r="AM524" s="62"/>
      <c r="AN524" s="586">
        <f>SUM(AL524:AM525)</f>
        <v>82.66</v>
      </c>
      <c r="AO524" s="3"/>
      <c r="AP524" s="3"/>
      <c r="AQ524" s="3"/>
      <c r="AR524" s="3"/>
      <c r="AS524" s="3"/>
    </row>
    <row r="525" spans="3:45" ht="12.75" x14ac:dyDescent="0.2">
      <c r="C525" s="580"/>
      <c r="D525" s="577"/>
      <c r="E525" s="62" t="s">
        <v>19</v>
      </c>
      <c r="F525" s="264"/>
      <c r="G525" s="62"/>
      <c r="H525" s="61"/>
      <c r="I525" s="62"/>
      <c r="J525" s="62"/>
      <c r="K525" s="62"/>
      <c r="L525" s="62"/>
      <c r="M525" s="62"/>
      <c r="N525" s="62"/>
      <c r="O525" s="61"/>
      <c r="P525" s="264"/>
      <c r="Q525" s="62"/>
      <c r="R525" s="62"/>
      <c r="S525" s="62"/>
      <c r="T525" s="62"/>
      <c r="U525" s="62"/>
      <c r="V525" s="61"/>
      <c r="W525" s="62"/>
      <c r="X525" s="62"/>
      <c r="Y525" s="62"/>
      <c r="Z525" s="62"/>
      <c r="AA525" s="62"/>
      <c r="AB525" s="62"/>
      <c r="AC525" s="61"/>
      <c r="AD525" s="62"/>
      <c r="AE525" s="62"/>
      <c r="AF525" s="62"/>
      <c r="AG525" s="62"/>
      <c r="AH525" s="62"/>
      <c r="AI525" s="62"/>
      <c r="AJ525" s="61"/>
      <c r="AK525" s="128">
        <f t="shared" si="83"/>
        <v>0</v>
      </c>
      <c r="AL525" s="93"/>
      <c r="AM525" s="94">
        <f>AK525</f>
        <v>0</v>
      </c>
      <c r="AN525" s="583"/>
      <c r="AO525" s="3"/>
      <c r="AP525" s="3"/>
      <c r="AQ525" s="3"/>
      <c r="AR525" s="3"/>
      <c r="AS525" s="3"/>
    </row>
    <row r="526" spans="3:45" ht="12.75" x14ac:dyDescent="0.2">
      <c r="C526" s="580"/>
      <c r="D526" s="81" t="s">
        <v>38</v>
      </c>
      <c r="E526" s="65" t="s">
        <v>18</v>
      </c>
      <c r="F526" s="114"/>
      <c r="G526" s="65"/>
      <c r="H526" s="68"/>
      <c r="I526" s="65"/>
      <c r="J526" s="65"/>
      <c r="K526" s="65"/>
      <c r="L526" s="65"/>
      <c r="M526" s="65"/>
      <c r="N526" s="65"/>
      <c r="O526" s="68"/>
      <c r="P526" s="114"/>
      <c r="Q526" s="65"/>
      <c r="R526" s="65"/>
      <c r="S526" s="65"/>
      <c r="T526" s="87">
        <v>51.28</v>
      </c>
      <c r="U526" s="65"/>
      <c r="V526" s="68"/>
      <c r="W526" s="65"/>
      <c r="X526" s="65"/>
      <c r="Y526" s="65"/>
      <c r="Z526" s="65"/>
      <c r="AA526" s="70">
        <v>90.55</v>
      </c>
      <c r="AB526" s="65"/>
      <c r="AC526" s="68"/>
      <c r="AD526" s="65"/>
      <c r="AE526" s="65"/>
      <c r="AF526" s="65"/>
      <c r="AG526" s="65"/>
      <c r="AH526" s="65"/>
      <c r="AI526" s="65"/>
      <c r="AJ526" s="68"/>
      <c r="AK526" s="98">
        <f t="shared" si="83"/>
        <v>141.82999999999998</v>
      </c>
      <c r="AL526" s="72">
        <f t="shared" ref="AL526:AL528" si="84">AK526</f>
        <v>141.82999999999998</v>
      </c>
      <c r="AM526" s="62"/>
      <c r="AN526" s="29">
        <f t="shared" ref="AN526:AN527" si="85">AL526</f>
        <v>141.82999999999998</v>
      </c>
      <c r="AO526" s="3"/>
      <c r="AP526" s="3"/>
      <c r="AQ526" s="3"/>
      <c r="AR526" s="3"/>
      <c r="AS526" s="3"/>
    </row>
    <row r="527" spans="3:45" ht="12.75" x14ac:dyDescent="0.2">
      <c r="C527" s="580"/>
      <c r="D527" s="81" t="s">
        <v>39</v>
      </c>
      <c r="E527" s="65" t="s">
        <v>18</v>
      </c>
      <c r="F527" s="114"/>
      <c r="G527" s="65"/>
      <c r="H527" s="68"/>
      <c r="I527" s="65"/>
      <c r="J527" s="87">
        <v>1.32</v>
      </c>
      <c r="K527" s="65"/>
      <c r="L527" s="65"/>
      <c r="M527" s="65"/>
      <c r="N527" s="65"/>
      <c r="O527" s="68"/>
      <c r="P527" s="114"/>
      <c r="Q527" s="65"/>
      <c r="R527" s="65"/>
      <c r="S527" s="65"/>
      <c r="T527" s="65"/>
      <c r="U527" s="65"/>
      <c r="V527" s="68"/>
      <c r="W527" s="65"/>
      <c r="X527" s="65"/>
      <c r="Y527" s="65"/>
      <c r="Z527" s="65"/>
      <c r="AA527" s="65"/>
      <c r="AB527" s="65"/>
      <c r="AC527" s="68"/>
      <c r="AD527" s="65"/>
      <c r="AE527" s="65"/>
      <c r="AF527" s="65"/>
      <c r="AG527" s="65"/>
      <c r="AH527" s="65"/>
      <c r="AI527" s="65"/>
      <c r="AJ527" s="68"/>
      <c r="AK527" s="98">
        <f t="shared" si="83"/>
        <v>1.32</v>
      </c>
      <c r="AL527" s="72">
        <f t="shared" si="84"/>
        <v>1.32</v>
      </c>
      <c r="AM527" s="62"/>
      <c r="AN527" s="29">
        <f t="shared" si="85"/>
        <v>1.32</v>
      </c>
      <c r="AO527" s="3"/>
      <c r="AP527" s="3"/>
      <c r="AQ527" s="3"/>
      <c r="AR527" s="3"/>
      <c r="AS527" s="3"/>
    </row>
    <row r="528" spans="3:45" ht="12.75" x14ac:dyDescent="0.2">
      <c r="C528" s="580"/>
      <c r="D528" s="584" t="s">
        <v>40</v>
      </c>
      <c r="E528" s="65" t="s">
        <v>18</v>
      </c>
      <c r="F528" s="114"/>
      <c r="G528" s="65"/>
      <c r="H528" s="68"/>
      <c r="I528" s="65"/>
      <c r="J528" s="65"/>
      <c r="K528" s="65"/>
      <c r="L528" s="65"/>
      <c r="M528" s="65"/>
      <c r="N528" s="65"/>
      <c r="O528" s="68"/>
      <c r="P528" s="114"/>
      <c r="Q528" s="65"/>
      <c r="R528" s="65"/>
      <c r="S528" s="65"/>
      <c r="T528" s="65"/>
      <c r="U528" s="65"/>
      <c r="V528" s="68"/>
      <c r="W528" s="65"/>
      <c r="X528" s="65"/>
      <c r="Y528" s="65"/>
      <c r="Z528" s="65"/>
      <c r="AA528" s="65"/>
      <c r="AB528" s="65"/>
      <c r="AC528" s="68"/>
      <c r="AD528" s="65"/>
      <c r="AE528" s="65"/>
      <c r="AF528" s="65"/>
      <c r="AG528" s="65"/>
      <c r="AH528" s="65"/>
      <c r="AI528" s="65"/>
      <c r="AJ528" s="68"/>
      <c r="AK528" s="98">
        <f t="shared" si="83"/>
        <v>0</v>
      </c>
      <c r="AL528" s="96">
        <f t="shared" si="84"/>
        <v>0</v>
      </c>
      <c r="AM528" s="97"/>
      <c r="AN528" s="582">
        <f>SUM(AL528:AM529)</f>
        <v>0</v>
      </c>
      <c r="AO528" s="3"/>
      <c r="AP528" s="3"/>
      <c r="AQ528" s="3"/>
      <c r="AR528" s="3"/>
      <c r="AS528" s="3"/>
    </row>
    <row r="529" spans="3:45" ht="12.75" x14ac:dyDescent="0.2">
      <c r="C529" s="580"/>
      <c r="D529" s="577"/>
      <c r="E529" s="62" t="s">
        <v>19</v>
      </c>
      <c r="F529" s="264"/>
      <c r="G529" s="62"/>
      <c r="H529" s="61"/>
      <c r="I529" s="62"/>
      <c r="J529" s="62"/>
      <c r="K529" s="62"/>
      <c r="L529" s="62"/>
      <c r="M529" s="62"/>
      <c r="N529" s="62"/>
      <c r="O529" s="61"/>
      <c r="P529" s="264"/>
      <c r="Q529" s="62"/>
      <c r="R529" s="62"/>
      <c r="S529" s="62"/>
      <c r="T529" s="62"/>
      <c r="U529" s="62"/>
      <c r="V529" s="61"/>
      <c r="W529" s="62"/>
      <c r="X529" s="62"/>
      <c r="Y529" s="62"/>
      <c r="Z529" s="62"/>
      <c r="AA529" s="62"/>
      <c r="AB529" s="62"/>
      <c r="AC529" s="61"/>
      <c r="AD529" s="62"/>
      <c r="AE529" s="62"/>
      <c r="AF529" s="62"/>
      <c r="AG529" s="62"/>
      <c r="AH529" s="62"/>
      <c r="AI529" s="62"/>
      <c r="AJ529" s="61"/>
      <c r="AK529" s="128">
        <f t="shared" si="83"/>
        <v>0</v>
      </c>
      <c r="AL529" s="93"/>
      <c r="AM529" s="94">
        <f>AK529</f>
        <v>0</v>
      </c>
      <c r="AN529" s="583"/>
      <c r="AO529" s="3"/>
      <c r="AP529" s="3"/>
      <c r="AQ529" s="3"/>
      <c r="AR529" s="3"/>
      <c r="AS529" s="3"/>
    </row>
    <row r="530" spans="3:45" ht="12.75" x14ac:dyDescent="0.2">
      <c r="C530" s="580"/>
      <c r="D530" s="584" t="s">
        <v>41</v>
      </c>
      <c r="E530" s="65" t="s">
        <v>18</v>
      </c>
      <c r="F530" s="114"/>
      <c r="G530" s="65"/>
      <c r="H530" s="68"/>
      <c r="I530" s="87">
        <v>31.44</v>
      </c>
      <c r="J530" s="65"/>
      <c r="K530" s="65"/>
      <c r="L530" s="65"/>
      <c r="M530" s="65"/>
      <c r="N530" s="65"/>
      <c r="O530" s="68"/>
      <c r="P530" s="114"/>
      <c r="Q530" s="65"/>
      <c r="R530" s="65"/>
      <c r="S530" s="65"/>
      <c r="T530" s="65"/>
      <c r="U530" s="65"/>
      <c r="V530" s="68"/>
      <c r="W530" s="65"/>
      <c r="X530" s="65"/>
      <c r="Y530" s="65"/>
      <c r="Z530" s="65"/>
      <c r="AA530" s="65"/>
      <c r="AB530" s="65"/>
      <c r="AC530" s="68"/>
      <c r="AD530" s="87">
        <v>10</v>
      </c>
      <c r="AE530" s="65"/>
      <c r="AF530" s="65"/>
      <c r="AG530" s="72"/>
      <c r="AH530" s="65"/>
      <c r="AI530" s="65"/>
      <c r="AJ530" s="68"/>
      <c r="AK530" s="98">
        <f t="shared" si="83"/>
        <v>41.44</v>
      </c>
      <c r="AL530" s="96">
        <f>AK530</f>
        <v>41.44</v>
      </c>
      <c r="AM530" s="97"/>
      <c r="AN530" s="582">
        <f>SUM(AL530:AM531)</f>
        <v>41.44</v>
      </c>
      <c r="AO530" s="3"/>
      <c r="AP530" s="3"/>
      <c r="AQ530" s="3"/>
      <c r="AR530" s="3"/>
      <c r="AS530" s="3"/>
    </row>
    <row r="531" spans="3:45" ht="12.75" x14ac:dyDescent="0.2">
      <c r="C531" s="580"/>
      <c r="D531" s="577"/>
      <c r="E531" s="62" t="s">
        <v>19</v>
      </c>
      <c r="F531" s="264"/>
      <c r="G531" s="62"/>
      <c r="H531" s="61"/>
      <c r="I531" s="62"/>
      <c r="J531" s="62"/>
      <c r="K531" s="62"/>
      <c r="L531" s="91"/>
      <c r="M531" s="62"/>
      <c r="N531" s="62"/>
      <c r="O531" s="61"/>
      <c r="P531" s="264"/>
      <c r="Q531" s="62"/>
      <c r="R531" s="66"/>
      <c r="S531" s="62"/>
      <c r="T531" s="62"/>
      <c r="U531" s="62"/>
      <c r="V531" s="61"/>
      <c r="W531" s="62"/>
      <c r="X531" s="62"/>
      <c r="Y531" s="62"/>
      <c r="Z531" s="62"/>
      <c r="AA531" s="62"/>
      <c r="AB531" s="62"/>
      <c r="AC531" s="61"/>
      <c r="AD531" s="62"/>
      <c r="AE531" s="62"/>
      <c r="AF531" s="62"/>
      <c r="AG531" s="62"/>
      <c r="AH531" s="62"/>
      <c r="AI531" s="66"/>
      <c r="AJ531" s="61"/>
      <c r="AK531" s="128">
        <f t="shared" si="83"/>
        <v>0</v>
      </c>
      <c r="AL531" s="93"/>
      <c r="AM531" s="94">
        <f>AK531</f>
        <v>0</v>
      </c>
      <c r="AN531" s="583"/>
      <c r="AO531" s="3"/>
      <c r="AP531" s="3"/>
      <c r="AQ531" s="3"/>
      <c r="AR531" s="3"/>
      <c r="AS531" s="3"/>
    </row>
    <row r="532" spans="3:45" ht="12.75" x14ac:dyDescent="0.2">
      <c r="C532" s="580"/>
      <c r="D532" s="81" t="s">
        <v>42</v>
      </c>
      <c r="E532" s="65" t="s">
        <v>18</v>
      </c>
      <c r="F532" s="114"/>
      <c r="G532" s="65"/>
      <c r="H532" s="68"/>
      <c r="I532" s="65"/>
      <c r="J532" s="65"/>
      <c r="K532" s="65"/>
      <c r="L532" s="65"/>
      <c r="M532" s="65"/>
      <c r="N532" s="65"/>
      <c r="O532" s="68"/>
      <c r="P532" s="114"/>
      <c r="Q532" s="65"/>
      <c r="R532" s="65"/>
      <c r="S532" s="65"/>
      <c r="T532" s="65"/>
      <c r="U532" s="65"/>
      <c r="V532" s="68"/>
      <c r="W532" s="65"/>
      <c r="X532" s="65"/>
      <c r="Y532" s="65"/>
      <c r="Z532" s="65"/>
      <c r="AA532" s="65"/>
      <c r="AB532" s="65"/>
      <c r="AC532" s="68"/>
      <c r="AD532" s="65"/>
      <c r="AE532" s="65"/>
      <c r="AF532" s="65"/>
      <c r="AG532" s="65"/>
      <c r="AH532" s="65"/>
      <c r="AI532" s="65"/>
      <c r="AJ532" s="68"/>
      <c r="AK532" s="98">
        <f t="shared" si="83"/>
        <v>0</v>
      </c>
      <c r="AL532" s="72">
        <f>AK532</f>
        <v>0</v>
      </c>
      <c r="AM532" s="62"/>
      <c r="AN532" s="29">
        <f>AL532</f>
        <v>0</v>
      </c>
      <c r="AO532" s="3"/>
      <c r="AP532" s="3"/>
      <c r="AQ532" s="3"/>
      <c r="AR532" s="3"/>
      <c r="AS532" s="3"/>
    </row>
    <row r="533" spans="3:45" ht="12.75" x14ac:dyDescent="0.2">
      <c r="C533" s="580"/>
      <c r="D533" s="81" t="s">
        <v>43</v>
      </c>
      <c r="E533" s="62" t="s">
        <v>19</v>
      </c>
      <c r="F533" s="264"/>
      <c r="G533" s="62"/>
      <c r="H533" s="61"/>
      <c r="I533" s="62"/>
      <c r="J533" s="62"/>
      <c r="K533" s="62"/>
      <c r="L533" s="62"/>
      <c r="M533" s="62"/>
      <c r="N533" s="62"/>
      <c r="O533" s="61"/>
      <c r="P533" s="264"/>
      <c r="Q533" s="62"/>
      <c r="R533" s="62"/>
      <c r="S533" s="62"/>
      <c r="T533" s="62"/>
      <c r="U533" s="62"/>
      <c r="V533" s="61"/>
      <c r="W533" s="62"/>
      <c r="X533" s="62"/>
      <c r="Y533" s="62"/>
      <c r="Z533" s="62"/>
      <c r="AA533" s="62"/>
      <c r="AB533" s="62"/>
      <c r="AC533" s="61"/>
      <c r="AD533" s="62"/>
      <c r="AE533" s="62"/>
      <c r="AF533" s="62"/>
      <c r="AG533" s="62"/>
      <c r="AH533" s="62"/>
      <c r="AI533" s="62"/>
      <c r="AJ533" s="61"/>
      <c r="AK533" s="128">
        <f t="shared" si="83"/>
        <v>0</v>
      </c>
      <c r="AL533" s="65"/>
      <c r="AM533" s="66">
        <f>AK533</f>
        <v>0</v>
      </c>
      <c r="AN533" s="29">
        <f>AM533</f>
        <v>0</v>
      </c>
      <c r="AO533" s="3"/>
      <c r="AP533" s="3"/>
      <c r="AQ533" s="3"/>
      <c r="AR533" s="3"/>
      <c r="AS533" s="3"/>
    </row>
    <row r="534" spans="3:45" ht="12.75" x14ac:dyDescent="0.2">
      <c r="C534" s="580"/>
      <c r="D534" s="584" t="s">
        <v>44</v>
      </c>
      <c r="E534" s="65" t="s">
        <v>18</v>
      </c>
      <c r="F534" s="114"/>
      <c r="G534" s="65"/>
      <c r="H534" s="68"/>
      <c r="I534" s="65"/>
      <c r="J534" s="65"/>
      <c r="K534" s="65"/>
      <c r="L534" s="65"/>
      <c r="M534" s="65"/>
      <c r="N534" s="65"/>
      <c r="O534" s="68"/>
      <c r="P534" s="114"/>
      <c r="Q534" s="65"/>
      <c r="R534" s="65"/>
      <c r="S534" s="65"/>
      <c r="T534" s="65"/>
      <c r="U534" s="65"/>
      <c r="V534" s="68"/>
      <c r="W534" s="65"/>
      <c r="X534" s="65"/>
      <c r="Y534" s="65"/>
      <c r="Z534" s="65"/>
      <c r="AA534" s="65"/>
      <c r="AB534" s="65"/>
      <c r="AC534" s="68"/>
      <c r="AD534" s="65"/>
      <c r="AE534" s="65"/>
      <c r="AF534" s="65"/>
      <c r="AG534" s="65"/>
      <c r="AH534" s="65"/>
      <c r="AI534" s="65"/>
      <c r="AJ534" s="68"/>
      <c r="AK534" s="98">
        <f t="shared" si="83"/>
        <v>0</v>
      </c>
      <c r="AL534" s="96">
        <f>AK534</f>
        <v>0</v>
      </c>
      <c r="AM534" s="97"/>
      <c r="AN534" s="582">
        <f>SUM(AL534:AM535)</f>
        <v>0</v>
      </c>
      <c r="AO534" s="3"/>
      <c r="AP534" s="3"/>
      <c r="AQ534" s="3"/>
      <c r="AR534" s="3"/>
      <c r="AS534" s="3"/>
    </row>
    <row r="535" spans="3:45" ht="12.75" x14ac:dyDescent="0.2">
      <c r="C535" s="581"/>
      <c r="D535" s="585"/>
      <c r="E535" s="62" t="s">
        <v>19</v>
      </c>
      <c r="F535" s="265"/>
      <c r="G535" s="284"/>
      <c r="H535" s="100"/>
      <c r="I535" s="284"/>
      <c r="J535" s="284"/>
      <c r="K535" s="284"/>
      <c r="L535" s="284"/>
      <c r="M535" s="284"/>
      <c r="N535" s="284"/>
      <c r="O535" s="100"/>
      <c r="P535" s="265"/>
      <c r="Q535" s="284"/>
      <c r="R535" s="284"/>
      <c r="S535" s="284"/>
      <c r="T535" s="284"/>
      <c r="U535" s="284"/>
      <c r="V535" s="100"/>
      <c r="W535" s="284"/>
      <c r="X535" s="284"/>
      <c r="Y535" s="62"/>
      <c r="Z535" s="62"/>
      <c r="AA535" s="284"/>
      <c r="AB535" s="284"/>
      <c r="AC535" s="100"/>
      <c r="AD535" s="284"/>
      <c r="AE535" s="284"/>
      <c r="AF535" s="284"/>
      <c r="AG535" s="284"/>
      <c r="AH535" s="284"/>
      <c r="AI535" s="284"/>
      <c r="AJ535" s="100"/>
      <c r="AK535" s="128">
        <f t="shared" si="83"/>
        <v>0</v>
      </c>
      <c r="AL535" s="93"/>
      <c r="AM535" s="94">
        <f>AK535</f>
        <v>0</v>
      </c>
      <c r="AN535" s="583"/>
      <c r="AO535" s="3"/>
      <c r="AP535" s="3"/>
      <c r="AQ535" s="3"/>
      <c r="AR535" s="3"/>
      <c r="AS535" s="3"/>
    </row>
    <row r="536" spans="3:45" ht="12.75" x14ac:dyDescent="0.2">
      <c r="C536" s="594" t="s">
        <v>45</v>
      </c>
      <c r="D536" s="599" t="s">
        <v>46</v>
      </c>
      <c r="E536" s="105" t="s">
        <v>18</v>
      </c>
      <c r="F536" s="96">
        <f>7.2+0.59+5.39+2.91+2.87+4.49+2.39+7.39-0.42-15</f>
        <v>17.810000000000002</v>
      </c>
      <c r="G536" s="108"/>
      <c r="H536" s="107"/>
      <c r="I536" s="108"/>
      <c r="J536" s="105"/>
      <c r="K536" s="108">
        <f>4.48-0.63</f>
        <v>3.8500000000000005</v>
      </c>
      <c r="L536" s="108">
        <f>1.5+1.65+0.99+1.75+4.99+2.89+2.86</f>
        <v>16.63</v>
      </c>
      <c r="M536" s="108"/>
      <c r="N536" s="105"/>
      <c r="O536" s="103">
        <f>3.99+5.26</f>
        <v>9.25</v>
      </c>
      <c r="P536" s="96"/>
      <c r="Q536" s="105"/>
      <c r="R536" s="108"/>
      <c r="S536" s="105">
        <f>4.99+5.33</f>
        <v>10.32</v>
      </c>
      <c r="T536" s="108"/>
      <c r="U536" s="105"/>
      <c r="V536" s="103"/>
      <c r="W536" s="105">
        <f>1.62+1.5+8.16+1.56</f>
        <v>12.840000000000002</v>
      </c>
      <c r="X536" s="109">
        <v>28.29</v>
      </c>
      <c r="Y536" s="108"/>
      <c r="Z536" s="109">
        <v>41.94</v>
      </c>
      <c r="AA536" s="106">
        <v>33.14</v>
      </c>
      <c r="AB536" s="108"/>
      <c r="AC536" s="266">
        <v>28.28</v>
      </c>
      <c r="AD536" s="106">
        <v>7.98</v>
      </c>
      <c r="AE536" s="109">
        <v>20.440000000000001</v>
      </c>
      <c r="AF536" s="108">
        <f>3.39+14.99</f>
        <v>18.38</v>
      </c>
      <c r="AG536" s="108"/>
      <c r="AH536" s="108"/>
      <c r="AI536" s="108"/>
      <c r="AJ536" s="103"/>
      <c r="AK536" s="98">
        <f t="shared" si="83"/>
        <v>249.14999999999998</v>
      </c>
      <c r="AL536" s="96">
        <f>AK536</f>
        <v>249.14999999999998</v>
      </c>
      <c r="AM536" s="97"/>
      <c r="AN536" s="582">
        <f>SUM(AL536:AM537)</f>
        <v>264.14999999999998</v>
      </c>
      <c r="AO536" s="3"/>
      <c r="AP536" s="3"/>
      <c r="AQ536" s="3"/>
      <c r="AR536" s="3"/>
      <c r="AS536" s="3"/>
    </row>
    <row r="537" spans="3:45" ht="12.75" x14ac:dyDescent="0.2">
      <c r="C537" s="580"/>
      <c r="D537" s="577"/>
      <c r="E537" s="62" t="s">
        <v>19</v>
      </c>
      <c r="F537" s="268">
        <v>15</v>
      </c>
      <c r="G537" s="62"/>
      <c r="H537" s="61"/>
      <c r="I537" s="62"/>
      <c r="J537" s="62"/>
      <c r="K537" s="62"/>
      <c r="L537" s="62"/>
      <c r="M537" s="62"/>
      <c r="N537" s="62"/>
      <c r="O537" s="61"/>
      <c r="P537" s="264"/>
      <c r="Q537" s="62"/>
      <c r="R537" s="62"/>
      <c r="S537" s="62"/>
      <c r="T537" s="62"/>
      <c r="U537" s="62"/>
      <c r="V537" s="61"/>
      <c r="W537" s="62"/>
      <c r="X537" s="62"/>
      <c r="Y537" s="62"/>
      <c r="Z537" s="62"/>
      <c r="AA537" s="62"/>
      <c r="AB537" s="62"/>
      <c r="AC537" s="61"/>
      <c r="AD537" s="62"/>
      <c r="AE537" s="62"/>
      <c r="AF537" s="62"/>
      <c r="AG537" s="62"/>
      <c r="AH537" s="62"/>
      <c r="AI537" s="62"/>
      <c r="AJ537" s="61"/>
      <c r="AK537" s="128">
        <f t="shared" si="83"/>
        <v>15</v>
      </c>
      <c r="AL537" s="93"/>
      <c r="AM537" s="94">
        <f>AK537</f>
        <v>15</v>
      </c>
      <c r="AN537" s="583"/>
      <c r="AO537" s="3"/>
      <c r="AP537" s="3"/>
      <c r="AQ537" s="3"/>
      <c r="AR537" s="3"/>
      <c r="AS537" s="3"/>
    </row>
    <row r="538" spans="3:45" ht="12.75" x14ac:dyDescent="0.2">
      <c r="C538" s="580"/>
      <c r="D538" s="591" t="s">
        <v>47</v>
      </c>
      <c r="E538" s="65" t="s">
        <v>18</v>
      </c>
      <c r="F538" s="89">
        <f>2.59+2.49</f>
        <v>5.08</v>
      </c>
      <c r="G538" s="72">
        <f>5.71-0.72+5.73</f>
        <v>10.72</v>
      </c>
      <c r="H538" s="88">
        <f>4.75</f>
        <v>4.75</v>
      </c>
      <c r="I538" s="70">
        <v>5.0199999999999996</v>
      </c>
      <c r="J538" s="65"/>
      <c r="K538" s="72">
        <f>2.99+1.25-0.17</f>
        <v>4.07</v>
      </c>
      <c r="L538" s="72">
        <f>15.34+1.19+9.99</f>
        <v>26.520000000000003</v>
      </c>
      <c r="M538" s="70">
        <f>1.85+5.45+2.15</f>
        <v>9.4500000000000011</v>
      </c>
      <c r="N538" s="72"/>
      <c r="O538" s="88">
        <f>4.25+1.95+2.88+16.07</f>
        <v>25.15</v>
      </c>
      <c r="P538" s="89">
        <f>10.6+4</f>
        <v>14.6</v>
      </c>
      <c r="Q538" s="65"/>
      <c r="R538" s="72"/>
      <c r="S538" s="70">
        <f>2.68+5.99+1.79+2</f>
        <v>12.46</v>
      </c>
      <c r="T538" s="70">
        <v>7.75</v>
      </c>
      <c r="U538" s="72"/>
      <c r="V538" s="88">
        <f>7.32+15.99+3.59+4+4.69+17.97+3.9-0.22</f>
        <v>57.24</v>
      </c>
      <c r="W538" s="72">
        <f>1.19</f>
        <v>1.19</v>
      </c>
      <c r="X538" s="65"/>
      <c r="Y538" s="72">
        <f>17.36+22.4+2.89+3.59+1.66+3.88+3.59+9.06+4.92</f>
        <v>69.349999999999994</v>
      </c>
      <c r="Z538" s="72">
        <f>4.69</f>
        <v>4.6900000000000004</v>
      </c>
      <c r="AA538" s="65"/>
      <c r="AB538" s="70">
        <v>4.09</v>
      </c>
      <c r="AC538" s="68"/>
      <c r="AD538" s="72"/>
      <c r="AE538" s="72"/>
      <c r="AF538" s="72">
        <f>1.88+1.26</f>
        <v>3.1399999999999997</v>
      </c>
      <c r="AG538" s="72">
        <f>20+5.41-13</f>
        <v>12.41</v>
      </c>
      <c r="AH538" s="72"/>
      <c r="AI538" s="72"/>
      <c r="AJ538" s="95">
        <v>11.45</v>
      </c>
      <c r="AK538" s="98">
        <f t="shared" si="83"/>
        <v>289.13</v>
      </c>
      <c r="AL538" s="96">
        <f>AK538</f>
        <v>289.13</v>
      </c>
      <c r="AM538" s="97"/>
      <c r="AN538" s="593">
        <f>SUM(AL538:AM539)</f>
        <v>302.13</v>
      </c>
      <c r="AO538" s="3"/>
      <c r="AP538" s="3"/>
      <c r="AQ538" s="3"/>
      <c r="AR538" s="3"/>
      <c r="AS538" s="3"/>
    </row>
    <row r="539" spans="3:45" ht="12.75" x14ac:dyDescent="0.2">
      <c r="C539" s="580"/>
      <c r="D539" s="577"/>
      <c r="E539" s="62" t="s">
        <v>19</v>
      </c>
      <c r="F539" s="264"/>
      <c r="G539" s="62"/>
      <c r="H539" s="61"/>
      <c r="I539" s="62"/>
      <c r="J539" s="62"/>
      <c r="K539" s="62"/>
      <c r="L539" s="62"/>
      <c r="M539" s="62"/>
      <c r="N539" s="62"/>
      <c r="O539" s="61"/>
      <c r="P539" s="264"/>
      <c r="Q539" s="62"/>
      <c r="R539" s="62"/>
      <c r="S539" s="62"/>
      <c r="T539" s="62"/>
      <c r="U539" s="62"/>
      <c r="V539" s="61"/>
      <c r="W539" s="66"/>
      <c r="X539" s="62"/>
      <c r="Y539" s="62"/>
      <c r="Z539" s="62"/>
      <c r="AA539" s="62"/>
      <c r="AB539" s="62"/>
      <c r="AC539" s="61"/>
      <c r="AD539" s="62"/>
      <c r="AE539" s="62"/>
      <c r="AF539" s="62"/>
      <c r="AG539" s="91">
        <v>13</v>
      </c>
      <c r="AH539" s="62"/>
      <c r="AI539" s="62"/>
      <c r="AJ539" s="61"/>
      <c r="AK539" s="128">
        <f t="shared" si="83"/>
        <v>13</v>
      </c>
      <c r="AL539" s="93"/>
      <c r="AM539" s="94">
        <f>AK539</f>
        <v>13</v>
      </c>
      <c r="AN539" s="583"/>
      <c r="AO539" s="3"/>
      <c r="AP539" s="3"/>
      <c r="AQ539" s="3"/>
      <c r="AR539" s="3"/>
      <c r="AS539" s="3"/>
    </row>
    <row r="540" spans="3:45" ht="12.75" x14ac:dyDescent="0.2">
      <c r="C540" s="580"/>
      <c r="D540" s="591" t="s">
        <v>48</v>
      </c>
      <c r="E540" s="65" t="s">
        <v>18</v>
      </c>
      <c r="F540" s="114"/>
      <c r="G540" s="72"/>
      <c r="H540" s="68"/>
      <c r="I540" s="65">
        <f>10.58-6.3+8+4.2</f>
        <v>16.48</v>
      </c>
      <c r="J540" s="65"/>
      <c r="K540" s="65"/>
      <c r="L540" s="65"/>
      <c r="M540" s="65"/>
      <c r="N540" s="65"/>
      <c r="O540" s="68"/>
      <c r="P540" s="114"/>
      <c r="Q540" s="72"/>
      <c r="R540" s="65"/>
      <c r="S540" s="65"/>
      <c r="T540" s="65"/>
      <c r="U540" s="65"/>
      <c r="V540" s="68"/>
      <c r="W540" s="65"/>
      <c r="X540" s="65"/>
      <c r="Y540" s="65"/>
      <c r="Z540" s="65"/>
      <c r="AA540" s="65"/>
      <c r="AB540" s="65"/>
      <c r="AC540" s="68"/>
      <c r="AD540" s="65"/>
      <c r="AE540" s="65"/>
      <c r="AF540" s="65"/>
      <c r="AG540" s="65"/>
      <c r="AH540" s="65"/>
      <c r="AI540" s="65"/>
      <c r="AJ540" s="68"/>
      <c r="AK540" s="98">
        <f t="shared" si="83"/>
        <v>16.48</v>
      </c>
      <c r="AL540" s="96">
        <f>AK540</f>
        <v>16.48</v>
      </c>
      <c r="AM540" s="97"/>
      <c r="AN540" s="582">
        <f>SUM(AL540:AM541)</f>
        <v>16.48</v>
      </c>
      <c r="AO540" s="3"/>
      <c r="AP540" s="3"/>
      <c r="AQ540" s="3"/>
      <c r="AR540" s="3"/>
      <c r="AS540" s="3"/>
    </row>
    <row r="541" spans="3:45" ht="12.75" x14ac:dyDescent="0.2">
      <c r="C541" s="580"/>
      <c r="D541" s="577"/>
      <c r="E541" s="62" t="s">
        <v>19</v>
      </c>
      <c r="F541" s="264"/>
      <c r="G541" s="62"/>
      <c r="H541" s="61"/>
      <c r="I541" s="62"/>
      <c r="J541" s="62"/>
      <c r="K541" s="62"/>
      <c r="L541" s="62"/>
      <c r="M541" s="62"/>
      <c r="N541" s="62"/>
      <c r="O541" s="61"/>
      <c r="P541" s="264"/>
      <c r="Q541" s="62"/>
      <c r="R541" s="62"/>
      <c r="S541" s="62"/>
      <c r="T541" s="62"/>
      <c r="U541" s="62"/>
      <c r="V541" s="61"/>
      <c r="W541" s="62"/>
      <c r="X541" s="62"/>
      <c r="Y541" s="62"/>
      <c r="Z541" s="62"/>
      <c r="AA541" s="62"/>
      <c r="AB541" s="62"/>
      <c r="AC541" s="61"/>
      <c r="AD541" s="62"/>
      <c r="AE541" s="62"/>
      <c r="AF541" s="62"/>
      <c r="AG541" s="62"/>
      <c r="AH541" s="62"/>
      <c r="AI541" s="62"/>
      <c r="AJ541" s="61"/>
      <c r="AK541" s="128">
        <f t="shared" si="83"/>
        <v>0</v>
      </c>
      <c r="AL541" s="93"/>
      <c r="AM541" s="94">
        <f>AK541</f>
        <v>0</v>
      </c>
      <c r="AN541" s="583"/>
      <c r="AO541" s="3"/>
      <c r="AP541" s="3"/>
      <c r="AQ541" s="3"/>
      <c r="AR541" s="3"/>
      <c r="AS541" s="3"/>
    </row>
    <row r="542" spans="3:45" ht="12.75" x14ac:dyDescent="0.2">
      <c r="C542" s="580"/>
      <c r="D542" s="591" t="s">
        <v>49</v>
      </c>
      <c r="E542" s="65" t="s">
        <v>18</v>
      </c>
      <c r="F542" s="89"/>
      <c r="G542" s="72"/>
      <c r="H542" s="68"/>
      <c r="I542" s="65"/>
      <c r="J542" s="72"/>
      <c r="K542" s="72"/>
      <c r="L542" s="70">
        <v>5</v>
      </c>
      <c r="M542" s="72"/>
      <c r="N542" s="65"/>
      <c r="O542" s="88"/>
      <c r="P542" s="114"/>
      <c r="Q542" s="70">
        <v>10</v>
      </c>
      <c r="R542" s="70">
        <f>7+5</f>
        <v>12</v>
      </c>
      <c r="S542" s="70">
        <v>5</v>
      </c>
      <c r="T542" s="70">
        <f>10</f>
        <v>10</v>
      </c>
      <c r="U542" s="72">
        <f>5+5</f>
        <v>10</v>
      </c>
      <c r="V542" s="99">
        <v>5.0999999999999996</v>
      </c>
      <c r="W542" s="87">
        <v>5</v>
      </c>
      <c r="X542" s="87">
        <v>5</v>
      </c>
      <c r="Y542" s="72"/>
      <c r="Z542" s="70">
        <v>5</v>
      </c>
      <c r="AA542" s="70">
        <v>9</v>
      </c>
      <c r="AB542" s="70">
        <v>3</v>
      </c>
      <c r="AC542" s="95">
        <v>3</v>
      </c>
      <c r="AD542" s="87">
        <v>3</v>
      </c>
      <c r="AE542" s="72">
        <f>4+6.6</f>
        <v>10.6</v>
      </c>
      <c r="AF542" s="70">
        <v>7</v>
      </c>
      <c r="AG542" s="65"/>
      <c r="AH542" s="65"/>
      <c r="AI542" s="72"/>
      <c r="AJ542" s="68"/>
      <c r="AK542" s="98">
        <f t="shared" si="83"/>
        <v>107.69999999999999</v>
      </c>
      <c r="AL542" s="96">
        <f>AK542</f>
        <v>107.69999999999999</v>
      </c>
      <c r="AM542" s="97"/>
      <c r="AN542" s="582">
        <f>SUM(AL542:AM543)</f>
        <v>164.89</v>
      </c>
      <c r="AO542" s="3"/>
      <c r="AP542" s="3"/>
      <c r="AQ542" s="3"/>
      <c r="AR542" s="3"/>
      <c r="AS542" s="3"/>
    </row>
    <row r="543" spans="3:45" ht="12.75" x14ac:dyDescent="0.2">
      <c r="C543" s="580"/>
      <c r="D543" s="577"/>
      <c r="E543" s="62" t="s">
        <v>19</v>
      </c>
      <c r="F543" s="268">
        <v>4</v>
      </c>
      <c r="G543" s="62"/>
      <c r="H543" s="112">
        <v>12</v>
      </c>
      <c r="I543" s="91">
        <v>5</v>
      </c>
      <c r="J543" s="91">
        <f>5+10</f>
        <v>15</v>
      </c>
      <c r="K543" s="62"/>
      <c r="L543" s="62"/>
      <c r="M543" s="91">
        <v>5</v>
      </c>
      <c r="N543" s="62"/>
      <c r="O543" s="61"/>
      <c r="P543" s="272"/>
      <c r="Q543" s="62"/>
      <c r="R543" s="66"/>
      <c r="S543" s="62"/>
      <c r="T543" s="62"/>
      <c r="U543" s="62"/>
      <c r="V543" s="61"/>
      <c r="W543" s="62"/>
      <c r="X543" s="62"/>
      <c r="Y543" s="62"/>
      <c r="Z543" s="91">
        <v>7</v>
      </c>
      <c r="AA543" s="62"/>
      <c r="AB543" s="62"/>
      <c r="AC543" s="92"/>
      <c r="AD543" s="66"/>
      <c r="AE543" s="62"/>
      <c r="AF543" s="62"/>
      <c r="AG543" s="66"/>
      <c r="AH543" s="63">
        <v>3</v>
      </c>
      <c r="AI543" s="91">
        <v>3.19</v>
      </c>
      <c r="AJ543" s="112">
        <v>3</v>
      </c>
      <c r="AK543" s="128">
        <f t="shared" si="83"/>
        <v>57.19</v>
      </c>
      <c r="AL543" s="93"/>
      <c r="AM543" s="94">
        <f>AK543</f>
        <v>57.19</v>
      </c>
      <c r="AN543" s="583"/>
      <c r="AO543" s="3"/>
      <c r="AP543" s="3"/>
      <c r="AQ543" s="3"/>
      <c r="AR543" s="3"/>
      <c r="AS543" s="3"/>
    </row>
    <row r="544" spans="3:45" ht="12.75" x14ac:dyDescent="0.2">
      <c r="C544" s="580"/>
      <c r="D544" s="592" t="s">
        <v>50</v>
      </c>
      <c r="E544" s="65" t="s">
        <v>18</v>
      </c>
      <c r="F544" s="270">
        <v>2.6</v>
      </c>
      <c r="G544" s="70">
        <v>12.6</v>
      </c>
      <c r="H544" s="88"/>
      <c r="I544" s="70">
        <f>6.3+6.3</f>
        <v>12.6</v>
      </c>
      <c r="J544" s="72"/>
      <c r="K544" s="72"/>
      <c r="L544" s="70">
        <v>12.6</v>
      </c>
      <c r="M544" s="70">
        <v>0.9</v>
      </c>
      <c r="N544" s="72"/>
      <c r="O544" s="88"/>
      <c r="P544" s="270">
        <v>6.3</v>
      </c>
      <c r="Q544" s="87">
        <v>12.6</v>
      </c>
      <c r="R544" s="65"/>
      <c r="S544" s="70">
        <v>12.6</v>
      </c>
      <c r="T544" s="70">
        <v>12.6</v>
      </c>
      <c r="U544" s="87">
        <v>12.6</v>
      </c>
      <c r="V544" s="99">
        <v>12.6</v>
      </c>
      <c r="W544" s="65"/>
      <c r="X544" s="87">
        <v>6.3</v>
      </c>
      <c r="Y544" s="70">
        <v>6.3</v>
      </c>
      <c r="Z544" s="87">
        <f>6.3*2</f>
        <v>12.6</v>
      </c>
      <c r="AA544" s="72">
        <f>12.6+16.99</f>
        <v>29.589999999999996</v>
      </c>
      <c r="AB544" s="87">
        <v>6.3</v>
      </c>
      <c r="AC544" s="95">
        <v>6.3</v>
      </c>
      <c r="AD544" s="70">
        <v>6.3</v>
      </c>
      <c r="AE544" s="70">
        <v>12.6</v>
      </c>
      <c r="AF544" s="72">
        <f>9.26+6.3</f>
        <v>15.559999999999999</v>
      </c>
      <c r="AG544" s="87">
        <v>6.3</v>
      </c>
      <c r="AH544" s="65"/>
      <c r="AI544" s="70">
        <v>2.09</v>
      </c>
      <c r="AJ544" s="68"/>
      <c r="AK544" s="98">
        <f t="shared" si="83"/>
        <v>220.84000000000003</v>
      </c>
      <c r="AL544" s="96">
        <f>AK544</f>
        <v>220.84000000000003</v>
      </c>
      <c r="AM544" s="97"/>
      <c r="AN544" s="582">
        <f>SUM(AL544:AM545)</f>
        <v>265.65000000000003</v>
      </c>
      <c r="AO544" s="3"/>
      <c r="AP544" s="3"/>
      <c r="AQ544" s="3"/>
      <c r="AR544" s="3"/>
      <c r="AS544" s="3"/>
    </row>
    <row r="545" spans="3:45" ht="12.75" x14ac:dyDescent="0.2">
      <c r="C545" s="580"/>
      <c r="D545" s="577"/>
      <c r="E545" s="62" t="s">
        <v>19</v>
      </c>
      <c r="F545" s="268">
        <v>10</v>
      </c>
      <c r="G545" s="62"/>
      <c r="H545" s="61"/>
      <c r="I545" s="62"/>
      <c r="J545" s="62"/>
      <c r="K545" s="62"/>
      <c r="L545" s="62"/>
      <c r="M545" s="91">
        <v>18</v>
      </c>
      <c r="N545" s="62"/>
      <c r="O545" s="61"/>
      <c r="P545" s="264"/>
      <c r="Q545" s="66"/>
      <c r="R545" s="62"/>
      <c r="S545" s="62"/>
      <c r="T545" s="62"/>
      <c r="U545" s="62"/>
      <c r="V545" s="61"/>
      <c r="W545" s="62"/>
      <c r="X545" s="62"/>
      <c r="Y545" s="62"/>
      <c r="Z545" s="62"/>
      <c r="AA545" s="62"/>
      <c r="AB545" s="62"/>
      <c r="AC545" s="61"/>
      <c r="AD545" s="62"/>
      <c r="AE545" s="62"/>
      <c r="AF545" s="62"/>
      <c r="AG545" s="66"/>
      <c r="AH545" s="66"/>
      <c r="AI545" s="66">
        <f>6.3*3-2.09</f>
        <v>16.809999999999999</v>
      </c>
      <c r="AJ545" s="61"/>
      <c r="AK545" s="128">
        <f t="shared" si="83"/>
        <v>44.81</v>
      </c>
      <c r="AL545" s="93"/>
      <c r="AM545" s="94">
        <f>AK545</f>
        <v>44.81</v>
      </c>
      <c r="AN545" s="583"/>
      <c r="AO545" s="3"/>
      <c r="AP545" s="3"/>
      <c r="AQ545" s="3"/>
      <c r="AR545" s="3"/>
      <c r="AS545" s="3"/>
    </row>
    <row r="546" spans="3:45" ht="12.75" x14ac:dyDescent="0.2">
      <c r="C546" s="580"/>
      <c r="D546" s="592" t="s">
        <v>1</v>
      </c>
      <c r="E546" s="65" t="s">
        <v>18</v>
      </c>
      <c r="F546" s="114"/>
      <c r="G546" s="65">
        <f>2.39+2.79+2.39+3.69+2.39+6.01+6.01</f>
        <v>25.67</v>
      </c>
      <c r="H546" s="68"/>
      <c r="I546" s="65"/>
      <c r="J546" s="65"/>
      <c r="K546" s="65"/>
      <c r="L546" s="65">
        <f>5.79+5.79</f>
        <v>11.58</v>
      </c>
      <c r="M546" s="65">
        <f>2.79+2.79+5.29+3.99</f>
        <v>14.860000000000001</v>
      </c>
      <c r="N546" s="65"/>
      <c r="O546" s="68"/>
      <c r="P546" s="114"/>
      <c r="Q546" s="72"/>
      <c r="R546" s="65"/>
      <c r="S546" s="65"/>
      <c r="T546" s="65"/>
      <c r="U546" s="87">
        <f>3.99+12</f>
        <v>15.99</v>
      </c>
      <c r="V546" s="95">
        <v>2.79</v>
      </c>
      <c r="W546" s="65"/>
      <c r="X546" s="65"/>
      <c r="Y546" s="87">
        <v>2.39</v>
      </c>
      <c r="Z546" s="65"/>
      <c r="AA546" s="65"/>
      <c r="AB546" s="87">
        <v>2.42</v>
      </c>
      <c r="AC546" s="68"/>
      <c r="AD546" s="65"/>
      <c r="AE546" s="72"/>
      <c r="AF546" s="87">
        <v>1.76</v>
      </c>
      <c r="AG546" s="65"/>
      <c r="AH546" s="65"/>
      <c r="AI546" s="65"/>
      <c r="AJ546" s="68"/>
      <c r="AK546" s="98">
        <f t="shared" si="83"/>
        <v>77.460000000000008</v>
      </c>
      <c r="AL546" s="89">
        <f>AK546</f>
        <v>77.460000000000008</v>
      </c>
      <c r="AM546" s="62"/>
      <c r="AN546" s="582">
        <f>SUM(AL546:AM547)</f>
        <v>99.850000000000009</v>
      </c>
      <c r="AO546" s="3"/>
      <c r="AP546" s="3"/>
      <c r="AQ546" s="3"/>
      <c r="AR546" s="3"/>
      <c r="AS546" s="3"/>
    </row>
    <row r="547" spans="3:45" ht="12.75" x14ac:dyDescent="0.2">
      <c r="C547" s="580"/>
      <c r="D547" s="577"/>
      <c r="E547" s="62" t="s">
        <v>19</v>
      </c>
      <c r="F547" s="268">
        <v>2.39</v>
      </c>
      <c r="G547" s="62"/>
      <c r="H547" s="61"/>
      <c r="I547" s="62"/>
      <c r="J547" s="62"/>
      <c r="K547" s="62"/>
      <c r="L547" s="62"/>
      <c r="M547" s="62"/>
      <c r="N547" s="62"/>
      <c r="O547" s="61"/>
      <c r="P547" s="264"/>
      <c r="Q547" s="62"/>
      <c r="R547" s="62"/>
      <c r="S547" s="62"/>
      <c r="T547" s="62"/>
      <c r="U547" s="62"/>
      <c r="V547" s="61"/>
      <c r="W547" s="62"/>
      <c r="X547" s="62"/>
      <c r="Y547" s="62"/>
      <c r="Z547" s="62"/>
      <c r="AA547" s="62"/>
      <c r="AB547" s="62"/>
      <c r="AC547" s="61"/>
      <c r="AD547" s="62"/>
      <c r="AE547" s="62"/>
      <c r="AF547" s="91">
        <v>20</v>
      </c>
      <c r="AG547" s="62"/>
      <c r="AH547" s="62"/>
      <c r="AI547" s="62"/>
      <c r="AJ547" s="61"/>
      <c r="AK547" s="128">
        <f t="shared" si="83"/>
        <v>22.39</v>
      </c>
      <c r="AL547" s="114"/>
      <c r="AM547" s="66">
        <f>AK547</f>
        <v>22.39</v>
      </c>
      <c r="AN547" s="583"/>
      <c r="AO547" s="3"/>
      <c r="AP547" s="3"/>
      <c r="AQ547" s="3"/>
      <c r="AR547" s="3"/>
      <c r="AS547" s="3"/>
    </row>
    <row r="548" spans="3:45" ht="12.75" x14ac:dyDescent="0.2">
      <c r="C548" s="580"/>
      <c r="D548" s="576" t="s">
        <v>51</v>
      </c>
      <c r="E548" s="65" t="s">
        <v>18</v>
      </c>
      <c r="F548" s="114"/>
      <c r="G548" s="65"/>
      <c r="H548" s="68"/>
      <c r="I548" s="65"/>
      <c r="J548" s="87">
        <v>6.95</v>
      </c>
      <c r="K548" s="65"/>
      <c r="L548" s="65"/>
      <c r="M548" s="65"/>
      <c r="N548" s="65"/>
      <c r="O548" s="68"/>
      <c r="P548" s="114"/>
      <c r="Q548" s="65"/>
      <c r="R548" s="87">
        <v>1.43</v>
      </c>
      <c r="S548" s="65"/>
      <c r="T548" s="65"/>
      <c r="U548" s="65"/>
      <c r="V548" s="68"/>
      <c r="W548" s="65"/>
      <c r="X548" s="65"/>
      <c r="Y548" s="65"/>
      <c r="Z548" s="65"/>
      <c r="AA548" s="65"/>
      <c r="AB548" s="65"/>
      <c r="AC548" s="68"/>
      <c r="AD548" s="65"/>
      <c r="AE548" s="65"/>
      <c r="AF548" s="87">
        <v>2.8</v>
      </c>
      <c r="AG548" s="65"/>
      <c r="AH548" s="65"/>
      <c r="AI548" s="65"/>
      <c r="AJ548" s="68"/>
      <c r="AK548" s="98">
        <f t="shared" si="83"/>
        <v>11.18</v>
      </c>
      <c r="AL548" s="96">
        <f>AK548</f>
        <v>11.18</v>
      </c>
      <c r="AM548" s="97"/>
      <c r="AN548" s="586">
        <f>SUM(AL548:AM549)</f>
        <v>36.18</v>
      </c>
      <c r="AO548" s="3"/>
      <c r="AP548" s="3"/>
      <c r="AQ548" s="3"/>
      <c r="AR548" s="3"/>
      <c r="AS548" s="3"/>
    </row>
    <row r="549" spans="3:45" ht="12.75" x14ac:dyDescent="0.2">
      <c r="C549" s="580"/>
      <c r="D549" s="577"/>
      <c r="E549" s="62" t="s">
        <v>19</v>
      </c>
      <c r="F549" s="264"/>
      <c r="G549" s="62"/>
      <c r="H549" s="61"/>
      <c r="I549" s="62"/>
      <c r="J549" s="62"/>
      <c r="K549" s="62"/>
      <c r="L549" s="62"/>
      <c r="M549" s="62"/>
      <c r="N549" s="62"/>
      <c r="O549" s="61"/>
      <c r="P549" s="264"/>
      <c r="Q549" s="66"/>
      <c r="R549" s="62"/>
      <c r="S549" s="62"/>
      <c r="T549" s="62"/>
      <c r="U549" s="62"/>
      <c r="V549" s="61"/>
      <c r="W549" s="62"/>
      <c r="X549" s="62"/>
      <c r="Y549" s="62"/>
      <c r="Z549" s="62"/>
      <c r="AA549" s="62"/>
      <c r="AB549" s="62"/>
      <c r="AC549" s="61"/>
      <c r="AD549" s="62"/>
      <c r="AE549" s="62"/>
      <c r="AF549" s="91">
        <v>25</v>
      </c>
      <c r="AG549" s="62"/>
      <c r="AH549" s="62"/>
      <c r="AI549" s="62"/>
      <c r="AJ549" s="61"/>
      <c r="AK549" s="128">
        <f t="shared" si="83"/>
        <v>25</v>
      </c>
      <c r="AL549" s="93"/>
      <c r="AM549" s="94">
        <f>AK549</f>
        <v>25</v>
      </c>
      <c r="AN549" s="583"/>
      <c r="AO549" s="3"/>
      <c r="AP549" s="3"/>
      <c r="AQ549" s="3"/>
      <c r="AR549" s="3"/>
      <c r="AS549" s="3"/>
    </row>
    <row r="550" spans="3:45" ht="12.75" x14ac:dyDescent="0.2">
      <c r="C550" s="580"/>
      <c r="D550" s="576" t="s">
        <v>52</v>
      </c>
      <c r="E550" s="65" t="s">
        <v>18</v>
      </c>
      <c r="F550" s="114"/>
      <c r="G550" s="65"/>
      <c r="H550" s="68"/>
      <c r="I550" s="65"/>
      <c r="J550" s="65"/>
      <c r="K550" s="65"/>
      <c r="L550" s="65"/>
      <c r="M550" s="65"/>
      <c r="N550" s="65"/>
      <c r="O550" s="68"/>
      <c r="P550" s="114"/>
      <c r="Q550" s="65"/>
      <c r="R550" s="65"/>
      <c r="S550" s="65"/>
      <c r="T550" s="65"/>
      <c r="U550" s="65"/>
      <c r="V550" s="68"/>
      <c r="W550" s="65"/>
      <c r="X550" s="65"/>
      <c r="Y550" s="65"/>
      <c r="Z550" s="65"/>
      <c r="AA550" s="65"/>
      <c r="AB550" s="65"/>
      <c r="AC550" s="68"/>
      <c r="AD550" s="65"/>
      <c r="AE550" s="65"/>
      <c r="AF550" s="65"/>
      <c r="AG550" s="65"/>
      <c r="AH550" s="65"/>
      <c r="AI550" s="65"/>
      <c r="AJ550" s="68"/>
      <c r="AK550" s="98">
        <f t="shared" si="83"/>
        <v>0</v>
      </c>
      <c r="AL550" s="96">
        <f>AK550</f>
        <v>0</v>
      </c>
      <c r="AM550" s="97"/>
      <c r="AN550" s="582">
        <f>SUM(AL550:AM551)</f>
        <v>0</v>
      </c>
      <c r="AO550" s="3"/>
      <c r="AP550" s="3"/>
      <c r="AQ550" s="3"/>
      <c r="AR550" s="3"/>
      <c r="AS550" s="3"/>
    </row>
    <row r="551" spans="3:45" ht="12.75" x14ac:dyDescent="0.2">
      <c r="C551" s="581"/>
      <c r="D551" s="585"/>
      <c r="E551" s="62" t="s">
        <v>19</v>
      </c>
      <c r="F551" s="264"/>
      <c r="G551" s="62"/>
      <c r="H551" s="61"/>
      <c r="I551" s="62"/>
      <c r="J551" s="62"/>
      <c r="K551" s="62"/>
      <c r="L551" s="62"/>
      <c r="M551" s="62"/>
      <c r="N551" s="62"/>
      <c r="O551" s="61"/>
      <c r="P551" s="264"/>
      <c r="Q551" s="62"/>
      <c r="R551" s="62"/>
      <c r="S551" s="62"/>
      <c r="T551" s="62"/>
      <c r="U551" s="62"/>
      <c r="V551" s="61"/>
      <c r="W551" s="62"/>
      <c r="X551" s="62"/>
      <c r="Y551" s="62"/>
      <c r="Z551" s="62"/>
      <c r="AA551" s="62"/>
      <c r="AB551" s="62"/>
      <c r="AC551" s="61"/>
      <c r="AD551" s="62"/>
      <c r="AE551" s="62"/>
      <c r="AF551" s="62"/>
      <c r="AG551" s="62"/>
      <c r="AH551" s="62"/>
      <c r="AI551" s="62"/>
      <c r="AJ551" s="61"/>
      <c r="AK551" s="128">
        <f t="shared" si="83"/>
        <v>0</v>
      </c>
      <c r="AL551" s="93"/>
      <c r="AM551" s="94">
        <f>AK551</f>
        <v>0</v>
      </c>
      <c r="AN551" s="583"/>
      <c r="AO551" s="3"/>
      <c r="AP551" s="3"/>
      <c r="AQ551" s="3"/>
      <c r="AR551" s="3"/>
      <c r="AS551" s="3"/>
    </row>
    <row r="552" spans="3:45" ht="12.75" x14ac:dyDescent="0.2">
      <c r="C552" s="594" t="s">
        <v>53</v>
      </c>
      <c r="D552" s="115" t="s">
        <v>54</v>
      </c>
      <c r="E552" s="105" t="s">
        <v>18</v>
      </c>
      <c r="F552" s="271"/>
      <c r="G552" s="108"/>
      <c r="H552" s="103"/>
      <c r="I552" s="105"/>
      <c r="J552" s="105"/>
      <c r="K552" s="105"/>
      <c r="L552" s="105"/>
      <c r="M552" s="105"/>
      <c r="N552" s="105"/>
      <c r="O552" s="103"/>
      <c r="P552" s="271"/>
      <c r="Q552" s="105"/>
      <c r="R552" s="105"/>
      <c r="S552" s="105"/>
      <c r="T552" s="105"/>
      <c r="U552" s="108"/>
      <c r="V552" s="103"/>
      <c r="W552" s="105"/>
      <c r="X552" s="105"/>
      <c r="Y552" s="105"/>
      <c r="Z552" s="105"/>
      <c r="AA552" s="109">
        <v>4.7300000000000004</v>
      </c>
      <c r="AB552" s="105"/>
      <c r="AC552" s="103"/>
      <c r="AD552" s="105"/>
      <c r="AE552" s="105"/>
      <c r="AF552" s="105"/>
      <c r="AG552" s="105"/>
      <c r="AH552" s="105"/>
      <c r="AI552" s="105"/>
      <c r="AJ552" s="103"/>
      <c r="AK552" s="98">
        <f t="shared" si="83"/>
        <v>4.7300000000000004</v>
      </c>
      <c r="AL552" s="72">
        <f t="shared" ref="AL552:AL553" si="86">AK552</f>
        <v>4.7300000000000004</v>
      </c>
      <c r="AM552" s="62"/>
      <c r="AN552" s="29">
        <f>AL552</f>
        <v>4.7300000000000004</v>
      </c>
      <c r="AO552" s="3"/>
      <c r="AP552" s="3"/>
      <c r="AQ552" s="3"/>
      <c r="AR552" s="3"/>
      <c r="AS552" s="3"/>
    </row>
    <row r="553" spans="3:45" ht="12.75" x14ac:dyDescent="0.2">
      <c r="C553" s="580"/>
      <c r="D553" s="584" t="s">
        <v>55</v>
      </c>
      <c r="E553" s="65" t="s">
        <v>18</v>
      </c>
      <c r="F553" s="114"/>
      <c r="G553" s="65"/>
      <c r="H553" s="68"/>
      <c r="I553" s="65"/>
      <c r="J553" s="65"/>
      <c r="K553" s="65"/>
      <c r="L553" s="65"/>
      <c r="M553" s="65"/>
      <c r="N553" s="72"/>
      <c r="O553" s="99">
        <v>44.23</v>
      </c>
      <c r="P553" s="89"/>
      <c r="Q553" s="65"/>
      <c r="R553" s="65"/>
      <c r="S553" s="65"/>
      <c r="T553" s="65"/>
      <c r="U553" s="72"/>
      <c r="V553" s="68"/>
      <c r="W553" s="65"/>
      <c r="X553" s="65"/>
      <c r="Y553" s="65"/>
      <c r="Z553" s="65"/>
      <c r="AA553" s="65"/>
      <c r="AB553" s="65"/>
      <c r="AC553" s="68"/>
      <c r="AD553" s="65"/>
      <c r="AE553" s="65"/>
      <c r="AF553" s="72"/>
      <c r="AG553" s="72"/>
      <c r="AH553" s="65"/>
      <c r="AI553" s="65"/>
      <c r="AJ553" s="68"/>
      <c r="AK553" s="98">
        <f t="shared" si="83"/>
        <v>44.23</v>
      </c>
      <c r="AL553" s="96">
        <f t="shared" si="86"/>
        <v>44.23</v>
      </c>
      <c r="AM553" s="97"/>
      <c r="AN553" s="582">
        <f>SUM(AL553:AM554)</f>
        <v>44.23</v>
      </c>
      <c r="AO553" s="3"/>
      <c r="AP553" s="3"/>
      <c r="AQ553" s="3"/>
      <c r="AR553" s="3"/>
      <c r="AS553" s="3"/>
    </row>
    <row r="554" spans="3:45" ht="12.75" x14ac:dyDescent="0.2">
      <c r="C554" s="580"/>
      <c r="D554" s="577"/>
      <c r="E554" s="62" t="s">
        <v>19</v>
      </c>
      <c r="F554" s="264"/>
      <c r="G554" s="62"/>
      <c r="H554" s="61"/>
      <c r="I554" s="62"/>
      <c r="J554" s="62"/>
      <c r="K554" s="62"/>
      <c r="L554" s="62"/>
      <c r="M554" s="62"/>
      <c r="N554" s="62"/>
      <c r="O554" s="61"/>
      <c r="P554" s="264"/>
      <c r="Q554" s="62"/>
      <c r="R554" s="62"/>
      <c r="S554" s="62"/>
      <c r="T554" s="62"/>
      <c r="U554" s="62"/>
      <c r="V554" s="61"/>
      <c r="W554" s="62"/>
      <c r="X554" s="62"/>
      <c r="Y554" s="62"/>
      <c r="Z554" s="62"/>
      <c r="AA554" s="62"/>
      <c r="AB554" s="62"/>
      <c r="AC554" s="61"/>
      <c r="AD554" s="62"/>
      <c r="AE554" s="62"/>
      <c r="AF554" s="62"/>
      <c r="AG554" s="62"/>
      <c r="AH554" s="62"/>
      <c r="AI554" s="62"/>
      <c r="AJ554" s="61"/>
      <c r="AK554" s="128">
        <f t="shared" si="83"/>
        <v>0</v>
      </c>
      <c r="AL554" s="93"/>
      <c r="AM554" s="94">
        <f>AK554</f>
        <v>0</v>
      </c>
      <c r="AN554" s="583"/>
      <c r="AO554" s="3"/>
      <c r="AP554" s="3"/>
      <c r="AQ554" s="3"/>
      <c r="AR554" s="3"/>
      <c r="AS554" s="3"/>
    </row>
    <row r="555" spans="3:45" ht="12.75" x14ac:dyDescent="0.2">
      <c r="C555" s="580"/>
      <c r="D555" s="584" t="s">
        <v>56</v>
      </c>
      <c r="E555" s="65" t="s">
        <v>18</v>
      </c>
      <c r="F555" s="114"/>
      <c r="G555" s="65"/>
      <c r="H555" s="68"/>
      <c r="I555" s="65"/>
      <c r="J555" s="65"/>
      <c r="K555" s="65"/>
      <c r="L555" s="65"/>
      <c r="M555" s="65"/>
      <c r="N555" s="65"/>
      <c r="O555" s="68"/>
      <c r="P555" s="114"/>
      <c r="Q555" s="65"/>
      <c r="R555" s="65"/>
      <c r="S555" s="65"/>
      <c r="T555" s="65"/>
      <c r="U555" s="65"/>
      <c r="V555" s="68"/>
      <c r="W555" s="65"/>
      <c r="X555" s="65"/>
      <c r="Y555" s="65"/>
      <c r="Z555" s="65"/>
      <c r="AA555" s="65"/>
      <c r="AB555" s="65"/>
      <c r="AC555" s="68"/>
      <c r="AD555" s="65"/>
      <c r="AE555" s="65"/>
      <c r="AF555" s="65"/>
      <c r="AG555" s="65"/>
      <c r="AH555" s="65"/>
      <c r="AI555" s="65"/>
      <c r="AJ555" s="68"/>
      <c r="AK555" s="98">
        <f t="shared" si="83"/>
        <v>0</v>
      </c>
      <c r="AL555" s="96">
        <f>AK555</f>
        <v>0</v>
      </c>
      <c r="AM555" s="97"/>
      <c r="AN555" s="582">
        <f>SUM(AL555:AM556)</f>
        <v>0</v>
      </c>
      <c r="AO555" s="3"/>
      <c r="AP555" s="3"/>
      <c r="AQ555" s="3"/>
      <c r="AR555" s="3"/>
      <c r="AS555" s="3"/>
    </row>
    <row r="556" spans="3:45" ht="12.75" x14ac:dyDescent="0.2">
      <c r="C556" s="580"/>
      <c r="D556" s="577"/>
      <c r="E556" s="62" t="s">
        <v>19</v>
      </c>
      <c r="F556" s="264"/>
      <c r="G556" s="62"/>
      <c r="H556" s="61"/>
      <c r="I556" s="62"/>
      <c r="J556" s="62"/>
      <c r="K556" s="62"/>
      <c r="L556" s="62"/>
      <c r="M556" s="62"/>
      <c r="N556" s="62"/>
      <c r="O556" s="61"/>
      <c r="P556" s="264"/>
      <c r="Q556" s="62"/>
      <c r="R556" s="62"/>
      <c r="S556" s="62"/>
      <c r="T556" s="62"/>
      <c r="U556" s="62"/>
      <c r="V556" s="61"/>
      <c r="W556" s="62"/>
      <c r="X556" s="62"/>
      <c r="Y556" s="62"/>
      <c r="Z556" s="62"/>
      <c r="AA556" s="62"/>
      <c r="AB556" s="62"/>
      <c r="AC556" s="61"/>
      <c r="AD556" s="62"/>
      <c r="AE556" s="62"/>
      <c r="AF556" s="62"/>
      <c r="AG556" s="62"/>
      <c r="AH556" s="62"/>
      <c r="AI556" s="62"/>
      <c r="AJ556" s="61"/>
      <c r="AK556" s="128">
        <f t="shared" si="83"/>
        <v>0</v>
      </c>
      <c r="AL556" s="93"/>
      <c r="AM556" s="94">
        <f>AK556</f>
        <v>0</v>
      </c>
      <c r="AN556" s="583"/>
      <c r="AO556" s="3"/>
      <c r="AP556" s="3"/>
      <c r="AQ556" s="3"/>
      <c r="AR556" s="3"/>
      <c r="AS556" s="3"/>
    </row>
    <row r="557" spans="3:45" ht="12.75" x14ac:dyDescent="0.2">
      <c r="C557" s="580"/>
      <c r="D557" s="584" t="s">
        <v>57</v>
      </c>
      <c r="E557" s="65" t="s">
        <v>18</v>
      </c>
      <c r="F557" s="114"/>
      <c r="G557" s="65"/>
      <c r="H557" s="68"/>
      <c r="I557" s="65"/>
      <c r="J557" s="65"/>
      <c r="K557" s="65"/>
      <c r="L557" s="65"/>
      <c r="M557" s="72"/>
      <c r="N557" s="65"/>
      <c r="O557" s="68"/>
      <c r="P557" s="114"/>
      <c r="Q557" s="65"/>
      <c r="R557" s="65"/>
      <c r="S557" s="65"/>
      <c r="T557" s="65"/>
      <c r="U557" s="65"/>
      <c r="V557" s="68"/>
      <c r="W557" s="65"/>
      <c r="X557" s="65"/>
      <c r="Y557" s="65"/>
      <c r="Z557" s="65"/>
      <c r="AA557" s="65"/>
      <c r="AB557" s="65"/>
      <c r="AC557" s="68"/>
      <c r="AD557" s="65"/>
      <c r="AE557" s="65"/>
      <c r="AF557" s="65"/>
      <c r="AG557" s="65"/>
      <c r="AH557" s="65"/>
      <c r="AI557" s="65"/>
      <c r="AJ557" s="68"/>
      <c r="AK557" s="98">
        <f t="shared" si="83"/>
        <v>0</v>
      </c>
      <c r="AL557" s="96">
        <f>AK557</f>
        <v>0</v>
      </c>
      <c r="AM557" s="97"/>
      <c r="AN557" s="582">
        <f>SUM(AL557:AM558)</f>
        <v>0</v>
      </c>
      <c r="AO557" s="3"/>
      <c r="AP557" s="3"/>
      <c r="AQ557" s="3"/>
      <c r="AR557" s="3"/>
      <c r="AS557" s="3"/>
    </row>
    <row r="558" spans="3:45" ht="12.75" x14ac:dyDescent="0.2">
      <c r="C558" s="581"/>
      <c r="D558" s="585"/>
      <c r="E558" s="284" t="s">
        <v>19</v>
      </c>
      <c r="F558" s="265"/>
      <c r="G558" s="284"/>
      <c r="H558" s="100"/>
      <c r="I558" s="284"/>
      <c r="J558" s="284"/>
      <c r="K558" s="284"/>
      <c r="L558" s="284"/>
      <c r="M558" s="284"/>
      <c r="N558" s="284"/>
      <c r="O558" s="100"/>
      <c r="P558" s="265"/>
      <c r="Q558" s="284"/>
      <c r="R558" s="284"/>
      <c r="S558" s="284"/>
      <c r="T558" s="284"/>
      <c r="U558" s="284"/>
      <c r="V558" s="100"/>
      <c r="W558" s="284"/>
      <c r="X558" s="284"/>
      <c r="Y558" s="62"/>
      <c r="Z558" s="62"/>
      <c r="AA558" s="284"/>
      <c r="AB558" s="284"/>
      <c r="AC558" s="100"/>
      <c r="AD558" s="284"/>
      <c r="AE558" s="284"/>
      <c r="AF558" s="284"/>
      <c r="AG558" s="284"/>
      <c r="AH558" s="284"/>
      <c r="AI558" s="284"/>
      <c r="AJ558" s="100"/>
      <c r="AK558" s="128">
        <f t="shared" si="83"/>
        <v>0</v>
      </c>
      <c r="AL558" s="93"/>
      <c r="AM558" s="94">
        <f>AK558</f>
        <v>0</v>
      </c>
      <c r="AN558" s="583"/>
      <c r="AO558" s="3"/>
      <c r="AP558" s="3"/>
      <c r="AQ558" s="3"/>
      <c r="AR558" s="3"/>
      <c r="AS558" s="3"/>
    </row>
    <row r="559" spans="3:45" ht="12.75" x14ac:dyDescent="0.2">
      <c r="C559" s="594" t="s">
        <v>58</v>
      </c>
      <c r="D559" s="604" t="s">
        <v>59</v>
      </c>
      <c r="E559" s="105" t="s">
        <v>18</v>
      </c>
      <c r="F559" s="271"/>
      <c r="G559" s="105"/>
      <c r="H559" s="103"/>
      <c r="I559" s="105"/>
      <c r="J559" s="105"/>
      <c r="K559" s="105"/>
      <c r="L559" s="105"/>
      <c r="M559" s="105"/>
      <c r="N559" s="105"/>
      <c r="O559" s="103"/>
      <c r="P559" s="271"/>
      <c r="Q559" s="105"/>
      <c r="R559" s="105"/>
      <c r="S559" s="105"/>
      <c r="T559" s="105"/>
      <c r="U559" s="105"/>
      <c r="V559" s="103"/>
      <c r="W559" s="105"/>
      <c r="X559" s="105"/>
      <c r="Y559" s="105"/>
      <c r="Z559" s="105"/>
      <c r="AA559" s="105"/>
      <c r="AB559" s="105"/>
      <c r="AC559" s="103"/>
      <c r="AD559" s="109">
        <v>52.53</v>
      </c>
      <c r="AE559" s="105"/>
      <c r="AF559" s="105"/>
      <c r="AG559" s="105"/>
      <c r="AH559" s="105"/>
      <c r="AI559" s="105"/>
      <c r="AJ559" s="103"/>
      <c r="AK559" s="98">
        <f t="shared" si="83"/>
        <v>52.53</v>
      </c>
      <c r="AL559" s="96">
        <f>AK559</f>
        <v>52.53</v>
      </c>
      <c r="AM559" s="97"/>
      <c r="AN559" s="616">
        <f>SUM(AL559:AM560)</f>
        <v>1177.53</v>
      </c>
      <c r="AO559" s="3"/>
      <c r="AP559" s="3"/>
      <c r="AQ559" s="3"/>
      <c r="AR559" s="3"/>
      <c r="AS559" s="3"/>
    </row>
    <row r="560" spans="3:45" ht="12.75" x14ac:dyDescent="0.2">
      <c r="C560" s="580"/>
      <c r="D560" s="577"/>
      <c r="E560" s="62" t="s">
        <v>19</v>
      </c>
      <c r="F560" s="264"/>
      <c r="G560" s="62"/>
      <c r="H560" s="61"/>
      <c r="I560" s="62"/>
      <c r="J560" s="62"/>
      <c r="K560" s="62"/>
      <c r="L560" s="62"/>
      <c r="M560" s="62"/>
      <c r="N560" s="62"/>
      <c r="O560" s="61"/>
      <c r="P560" s="268">
        <v>1100</v>
      </c>
      <c r="Q560" s="66"/>
      <c r="R560" s="62"/>
      <c r="S560" s="62"/>
      <c r="T560" s="62"/>
      <c r="U560" s="62"/>
      <c r="V560" s="61"/>
      <c r="W560" s="62"/>
      <c r="X560" s="62"/>
      <c r="Y560" s="62"/>
      <c r="Z560" s="62"/>
      <c r="AA560" s="62"/>
      <c r="AB560" s="62"/>
      <c r="AC560" s="61"/>
      <c r="AD560" s="91">
        <v>25</v>
      </c>
      <c r="AE560" s="62"/>
      <c r="AF560" s="62"/>
      <c r="AG560" s="62"/>
      <c r="AH560" s="62"/>
      <c r="AI560" s="62"/>
      <c r="AJ560" s="61"/>
      <c r="AK560" s="128">
        <f t="shared" si="83"/>
        <v>1125</v>
      </c>
      <c r="AL560" s="93"/>
      <c r="AM560" s="94">
        <f>AK560</f>
        <v>1125</v>
      </c>
      <c r="AN560" s="585"/>
      <c r="AO560" s="3"/>
      <c r="AP560" s="3"/>
      <c r="AQ560" s="3"/>
      <c r="AR560" s="3"/>
      <c r="AS560" s="3"/>
    </row>
    <row r="561" spans="3:45" ht="12.75" x14ac:dyDescent="0.2">
      <c r="C561" s="580"/>
      <c r="D561" s="584" t="s">
        <v>60</v>
      </c>
      <c r="E561" s="65" t="s">
        <v>18</v>
      </c>
      <c r="F561" s="114"/>
      <c r="G561" s="65"/>
      <c r="H561" s="68"/>
      <c r="I561" s="65"/>
      <c r="J561" s="65"/>
      <c r="K561" s="65"/>
      <c r="L561" s="65"/>
      <c r="M561" s="65"/>
      <c r="N561" s="65"/>
      <c r="O561" s="68"/>
      <c r="P561" s="114"/>
      <c r="Q561" s="65"/>
      <c r="R561" s="65"/>
      <c r="S561" s="65"/>
      <c r="T561" s="65"/>
      <c r="U561" s="65"/>
      <c r="V561" s="68"/>
      <c r="W561" s="65"/>
      <c r="X561" s="65"/>
      <c r="Y561" s="65"/>
      <c r="Z561" s="65"/>
      <c r="AA561" s="65"/>
      <c r="AB561" s="65"/>
      <c r="AC561" s="68"/>
      <c r="AD561" s="65"/>
      <c r="AE561" s="72"/>
      <c r="AF561" s="65"/>
      <c r="AG561" s="65"/>
      <c r="AH561" s="65"/>
      <c r="AI561" s="65"/>
      <c r="AJ561" s="68"/>
      <c r="AK561" s="98">
        <f t="shared" si="83"/>
        <v>0</v>
      </c>
      <c r="AL561" s="89">
        <f>AK561</f>
        <v>0</v>
      </c>
      <c r="AM561" s="62"/>
      <c r="AN561" s="582">
        <f>SUM(AL561:AM562)</f>
        <v>0</v>
      </c>
      <c r="AO561" s="3"/>
      <c r="AP561" s="3"/>
      <c r="AQ561" s="3"/>
      <c r="AR561" s="3"/>
      <c r="AS561" s="3"/>
    </row>
    <row r="562" spans="3:45" ht="12.75" x14ac:dyDescent="0.2">
      <c r="C562" s="580"/>
      <c r="D562" s="577"/>
      <c r="E562" s="62" t="s">
        <v>19</v>
      </c>
      <c r="F562" s="264"/>
      <c r="G562" s="62"/>
      <c r="H562" s="61"/>
      <c r="I562" s="62"/>
      <c r="J562" s="62"/>
      <c r="K562" s="62"/>
      <c r="L562" s="62"/>
      <c r="M562" s="62"/>
      <c r="N562" s="62"/>
      <c r="O562" s="61"/>
      <c r="P562" s="264"/>
      <c r="Q562" s="62"/>
      <c r="R562" s="62"/>
      <c r="S562" s="62"/>
      <c r="T562" s="62"/>
      <c r="U562" s="62"/>
      <c r="V562" s="61"/>
      <c r="W562" s="62"/>
      <c r="X562" s="62"/>
      <c r="Y562" s="62"/>
      <c r="Z562" s="62"/>
      <c r="AA562" s="62"/>
      <c r="AB562" s="62"/>
      <c r="AC562" s="61"/>
      <c r="AD562" s="62"/>
      <c r="AE562" s="62"/>
      <c r="AF562" s="62"/>
      <c r="AG562" s="62"/>
      <c r="AH562" s="62"/>
      <c r="AI562" s="62"/>
      <c r="AJ562" s="61"/>
      <c r="AK562" s="128">
        <f t="shared" si="83"/>
        <v>0</v>
      </c>
      <c r="AL562" s="114"/>
      <c r="AM562" s="66">
        <f>AK562</f>
        <v>0</v>
      </c>
      <c r="AN562" s="583"/>
      <c r="AO562" s="3"/>
      <c r="AP562" s="3"/>
      <c r="AQ562" s="3"/>
      <c r="AR562" s="3"/>
      <c r="AS562" s="3"/>
    </row>
    <row r="563" spans="3:45" ht="12.75" x14ac:dyDescent="0.2">
      <c r="C563" s="580"/>
      <c r="D563" s="584" t="s">
        <v>61</v>
      </c>
      <c r="E563" s="65" t="s">
        <v>18</v>
      </c>
      <c r="F563" s="114"/>
      <c r="G563" s="65"/>
      <c r="H563" s="88"/>
      <c r="I563" s="65"/>
      <c r="J563" s="65"/>
      <c r="K563" s="65"/>
      <c r="L563" s="65"/>
      <c r="M563" s="65"/>
      <c r="N563" s="65"/>
      <c r="O563" s="68"/>
      <c r="P563" s="114"/>
      <c r="Q563" s="65"/>
      <c r="R563" s="65"/>
      <c r="S563" s="65"/>
      <c r="T563" s="65"/>
      <c r="U563" s="87">
        <f>26+10</f>
        <v>36</v>
      </c>
      <c r="V563" s="68"/>
      <c r="W563" s="65"/>
      <c r="X563" s="65"/>
      <c r="Y563" s="65"/>
      <c r="Z563" s="65"/>
      <c r="AA563" s="65"/>
      <c r="AB563" s="65"/>
      <c r="AC563" s="68"/>
      <c r="AD563" s="65"/>
      <c r="AE563" s="72"/>
      <c r="AF563" s="65"/>
      <c r="AG563" s="65"/>
      <c r="AH563" s="65"/>
      <c r="AI563" s="65"/>
      <c r="AJ563" s="68"/>
      <c r="AK563" s="88">
        <f t="shared" si="83"/>
        <v>36</v>
      </c>
      <c r="AL563" s="96">
        <f>AK563</f>
        <v>36</v>
      </c>
      <c r="AM563" s="97"/>
      <c r="AN563" s="616">
        <f>SUM(AL563:AM564)</f>
        <v>36</v>
      </c>
      <c r="AO563" s="3"/>
      <c r="AP563" s="3"/>
      <c r="AQ563" s="3"/>
      <c r="AR563" s="3"/>
      <c r="AS563" s="3"/>
    </row>
    <row r="564" spans="3:45" ht="12.75" x14ac:dyDescent="0.2">
      <c r="C564" s="580"/>
      <c r="D564" s="577"/>
      <c r="E564" s="62" t="s">
        <v>19</v>
      </c>
      <c r="F564" s="264"/>
      <c r="G564" s="62"/>
      <c r="H564" s="61"/>
      <c r="I564" s="62"/>
      <c r="J564" s="62"/>
      <c r="K564" s="62"/>
      <c r="L564" s="62"/>
      <c r="M564" s="62"/>
      <c r="N564" s="62"/>
      <c r="O564" s="61"/>
      <c r="P564" s="264"/>
      <c r="Q564" s="62"/>
      <c r="R564" s="62"/>
      <c r="S564" s="62"/>
      <c r="T564" s="62"/>
      <c r="U564" s="62"/>
      <c r="V564" s="61"/>
      <c r="W564" s="62"/>
      <c r="X564" s="62"/>
      <c r="Y564" s="62"/>
      <c r="Z564" s="62"/>
      <c r="AA564" s="62"/>
      <c r="AB564" s="62"/>
      <c r="AC564" s="61"/>
      <c r="AD564" s="62"/>
      <c r="AE564" s="62"/>
      <c r="AF564" s="62"/>
      <c r="AG564" s="62"/>
      <c r="AH564" s="62"/>
      <c r="AI564" s="62"/>
      <c r="AJ564" s="61"/>
      <c r="AK564" s="92">
        <f t="shared" si="83"/>
        <v>0</v>
      </c>
      <c r="AL564" s="93"/>
      <c r="AM564" s="94">
        <f>AK564</f>
        <v>0</v>
      </c>
      <c r="AN564" s="585"/>
      <c r="AO564" s="3"/>
      <c r="AP564" s="3"/>
      <c r="AQ564" s="3"/>
      <c r="AR564" s="3"/>
      <c r="AS564" s="3"/>
    </row>
    <row r="565" spans="3:45" ht="12.75" x14ac:dyDescent="0.2">
      <c r="C565" s="580"/>
      <c r="D565" s="584" t="s">
        <v>62</v>
      </c>
      <c r="E565" s="65" t="s">
        <v>18</v>
      </c>
      <c r="F565" s="114"/>
      <c r="G565" s="65"/>
      <c r="H565" s="68"/>
      <c r="I565" s="65"/>
      <c r="J565" s="65"/>
      <c r="K565" s="65"/>
      <c r="L565" s="65"/>
      <c r="M565" s="65"/>
      <c r="N565" s="65"/>
      <c r="O565" s="68"/>
      <c r="P565" s="114"/>
      <c r="Q565" s="65"/>
      <c r="R565" s="65"/>
      <c r="S565" s="65"/>
      <c r="T565" s="65"/>
      <c r="U565" s="65"/>
      <c r="V565" s="68"/>
      <c r="W565" s="65"/>
      <c r="X565" s="65"/>
      <c r="Y565" s="65"/>
      <c r="Z565" s="65"/>
      <c r="AA565" s="65"/>
      <c r="AB565" s="65"/>
      <c r="AC565" s="68"/>
      <c r="AD565" s="65"/>
      <c r="AE565" s="65"/>
      <c r="AF565" s="65"/>
      <c r="AG565" s="65"/>
      <c r="AH565" s="65"/>
      <c r="AI565" s="65"/>
      <c r="AJ565" s="68"/>
      <c r="AK565" s="88">
        <f t="shared" si="83"/>
        <v>0</v>
      </c>
      <c r="AL565" s="96">
        <f>AK565</f>
        <v>0</v>
      </c>
      <c r="AM565" s="97"/>
      <c r="AN565" s="582">
        <f>SUM(AL565:AM566)</f>
        <v>0</v>
      </c>
      <c r="AO565" s="3"/>
      <c r="AP565" s="3"/>
      <c r="AQ565" s="3"/>
      <c r="AR565" s="3"/>
      <c r="AS565" s="3"/>
    </row>
    <row r="566" spans="3:45" ht="12.75" x14ac:dyDescent="0.2">
      <c r="C566" s="581"/>
      <c r="D566" s="577"/>
      <c r="E566" s="62" t="s">
        <v>19</v>
      </c>
      <c r="F566" s="264"/>
      <c r="G566" s="62"/>
      <c r="H566" s="61"/>
      <c r="I566" s="62"/>
      <c r="J566" s="62"/>
      <c r="K566" s="62"/>
      <c r="L566" s="62"/>
      <c r="M566" s="62"/>
      <c r="N566" s="62"/>
      <c r="O566" s="61"/>
      <c r="P566" s="264"/>
      <c r="Q566" s="62"/>
      <c r="R566" s="62"/>
      <c r="S566" s="62"/>
      <c r="T566" s="62"/>
      <c r="U566" s="62"/>
      <c r="V566" s="61"/>
      <c r="W566" s="62"/>
      <c r="X566" s="62"/>
      <c r="Y566" s="62"/>
      <c r="Z566" s="62"/>
      <c r="AA566" s="62"/>
      <c r="AB566" s="62"/>
      <c r="AC566" s="61"/>
      <c r="AD566" s="62"/>
      <c r="AE566" s="62"/>
      <c r="AF566" s="62"/>
      <c r="AG566" s="62"/>
      <c r="AH566" s="62"/>
      <c r="AI566" s="62"/>
      <c r="AJ566" s="61"/>
      <c r="AK566" s="92">
        <f t="shared" si="83"/>
        <v>0</v>
      </c>
      <c r="AL566" s="93"/>
      <c r="AM566" s="94">
        <f>AK566</f>
        <v>0</v>
      </c>
      <c r="AN566" s="583"/>
      <c r="AO566" s="3"/>
      <c r="AP566" s="3"/>
      <c r="AQ566" s="3"/>
      <c r="AR566" s="3"/>
      <c r="AS566" s="3"/>
    </row>
    <row r="567" spans="3:45" ht="12.75" x14ac:dyDescent="0.2">
      <c r="C567" s="594" t="s">
        <v>63</v>
      </c>
      <c r="D567" s="604" t="s">
        <v>64</v>
      </c>
      <c r="E567" s="105" t="s">
        <v>18</v>
      </c>
      <c r="F567" s="271"/>
      <c r="G567" s="105"/>
      <c r="H567" s="103"/>
      <c r="I567" s="105"/>
      <c r="J567" s="105"/>
      <c r="K567" s="105"/>
      <c r="L567" s="105"/>
      <c r="M567" s="105"/>
      <c r="N567" s="105"/>
      <c r="O567" s="103"/>
      <c r="P567" s="271"/>
      <c r="Q567" s="105"/>
      <c r="R567" s="105"/>
      <c r="S567" s="105"/>
      <c r="T567" s="108"/>
      <c r="U567" s="105"/>
      <c r="V567" s="103"/>
      <c r="W567" s="105"/>
      <c r="X567" s="105"/>
      <c r="Y567" s="105"/>
      <c r="Z567" s="105"/>
      <c r="AA567" s="105"/>
      <c r="AB567" s="105"/>
      <c r="AC567" s="103"/>
      <c r="AD567" s="105"/>
      <c r="AE567" s="105"/>
      <c r="AF567" s="105"/>
      <c r="AG567" s="105"/>
      <c r="AH567" s="105"/>
      <c r="AI567" s="105"/>
      <c r="AJ567" s="103"/>
      <c r="AK567" s="98">
        <f t="shared" si="83"/>
        <v>0</v>
      </c>
      <c r="AL567" s="108">
        <f>AK567</f>
        <v>0</v>
      </c>
      <c r="AM567" s="97"/>
      <c r="AN567" s="582">
        <f>SUM(AL567:AM568)</f>
        <v>60</v>
      </c>
      <c r="AO567" s="3"/>
      <c r="AP567" s="3"/>
      <c r="AQ567" s="3"/>
      <c r="AR567" s="3"/>
      <c r="AS567" s="3"/>
    </row>
    <row r="568" spans="3:45" ht="12.75" x14ac:dyDescent="0.2">
      <c r="C568" s="580"/>
      <c r="D568" s="577"/>
      <c r="E568" s="62" t="s">
        <v>19</v>
      </c>
      <c r="F568" s="264"/>
      <c r="G568" s="62"/>
      <c r="H568" s="61"/>
      <c r="I568" s="62"/>
      <c r="J568" s="62"/>
      <c r="K568" s="62"/>
      <c r="L568" s="62"/>
      <c r="M568" s="62"/>
      <c r="N568" s="62"/>
      <c r="O568" s="61"/>
      <c r="P568" s="268">
        <v>60</v>
      </c>
      <c r="Q568" s="62"/>
      <c r="R568" s="62"/>
      <c r="S568" s="62"/>
      <c r="T568" s="62"/>
      <c r="U568" s="62"/>
      <c r="V568" s="61"/>
      <c r="W568" s="62"/>
      <c r="X568" s="62"/>
      <c r="Y568" s="62"/>
      <c r="Z568" s="62"/>
      <c r="AA568" s="62"/>
      <c r="AB568" s="62"/>
      <c r="AC568" s="61"/>
      <c r="AD568" s="62"/>
      <c r="AE568" s="62"/>
      <c r="AF568" s="62"/>
      <c r="AG568" s="62"/>
      <c r="AH568" s="62"/>
      <c r="AI568" s="62"/>
      <c r="AJ568" s="61"/>
      <c r="AK568" s="128">
        <f t="shared" si="83"/>
        <v>60</v>
      </c>
      <c r="AL568" s="93"/>
      <c r="AM568" s="94">
        <f>AK568</f>
        <v>60</v>
      </c>
      <c r="AN568" s="583"/>
      <c r="AO568" s="3"/>
      <c r="AP568" s="3"/>
      <c r="AQ568" s="3"/>
      <c r="AR568" s="3"/>
      <c r="AS568" s="3"/>
    </row>
    <row r="569" spans="3:45" ht="12.75" x14ac:dyDescent="0.2">
      <c r="C569" s="580"/>
      <c r="D569" s="584" t="s">
        <v>65</v>
      </c>
      <c r="E569" s="65" t="s">
        <v>18</v>
      </c>
      <c r="F569" s="114"/>
      <c r="G569" s="65"/>
      <c r="H569" s="68"/>
      <c r="I569" s="65"/>
      <c r="J569" s="65"/>
      <c r="K569" s="65"/>
      <c r="L569" s="65"/>
      <c r="M569" s="65"/>
      <c r="N569" s="65"/>
      <c r="O569" s="68"/>
      <c r="P569" s="114"/>
      <c r="Q569" s="65"/>
      <c r="R569" s="65"/>
      <c r="S569" s="65"/>
      <c r="T569" s="65"/>
      <c r="U569" s="65"/>
      <c r="V569" s="68"/>
      <c r="W569" s="65"/>
      <c r="X569" s="65"/>
      <c r="Y569" s="65"/>
      <c r="Z569" s="65"/>
      <c r="AA569" s="65"/>
      <c r="AB569" s="65"/>
      <c r="AC569" s="68"/>
      <c r="AD569" s="65"/>
      <c r="AE569" s="65"/>
      <c r="AF569" s="65"/>
      <c r="AG569" s="65"/>
      <c r="AH569" s="65"/>
      <c r="AI569" s="65"/>
      <c r="AJ569" s="68"/>
      <c r="AK569" s="98">
        <f t="shared" si="83"/>
        <v>0</v>
      </c>
      <c r="AL569" s="96">
        <f>AK569</f>
        <v>0</v>
      </c>
      <c r="AM569" s="97"/>
      <c r="AN569" s="582">
        <f>SUM(AL569:AM570)</f>
        <v>75</v>
      </c>
      <c r="AO569" s="3"/>
      <c r="AP569" s="3"/>
      <c r="AQ569" s="3"/>
      <c r="AR569" s="3"/>
      <c r="AS569" s="3"/>
    </row>
    <row r="570" spans="3:45" ht="12.75" x14ac:dyDescent="0.2">
      <c r="C570" s="581"/>
      <c r="D570" s="585"/>
      <c r="E570" s="284" t="s">
        <v>19</v>
      </c>
      <c r="F570" s="265"/>
      <c r="G570" s="284"/>
      <c r="H570" s="100"/>
      <c r="I570" s="284"/>
      <c r="J570" s="284"/>
      <c r="K570" s="284"/>
      <c r="L570" s="284"/>
      <c r="M570" s="284"/>
      <c r="N570" s="284"/>
      <c r="O570" s="100"/>
      <c r="P570" s="265"/>
      <c r="Q570" s="284"/>
      <c r="R570" s="284"/>
      <c r="S570" s="286">
        <v>75</v>
      </c>
      <c r="T570" s="94"/>
      <c r="U570" s="284"/>
      <c r="V570" s="100"/>
      <c r="W570" s="284"/>
      <c r="X570" s="284"/>
      <c r="Y570" s="62"/>
      <c r="Z570" s="62"/>
      <c r="AA570" s="284"/>
      <c r="AB570" s="284"/>
      <c r="AC570" s="100"/>
      <c r="AD570" s="284"/>
      <c r="AE570" s="284"/>
      <c r="AF570" s="284"/>
      <c r="AG570" s="284"/>
      <c r="AH570" s="284"/>
      <c r="AI570" s="284"/>
      <c r="AJ570" s="100"/>
      <c r="AK570" s="317">
        <f t="shared" si="83"/>
        <v>75</v>
      </c>
      <c r="AL570" s="93"/>
      <c r="AM570" s="94">
        <f>AK570</f>
        <v>75</v>
      </c>
      <c r="AN570" s="583"/>
      <c r="AO570" s="3"/>
      <c r="AP570" s="3"/>
      <c r="AQ570" s="3"/>
      <c r="AR570" s="3"/>
      <c r="AS570" s="3"/>
    </row>
    <row r="571" spans="3:45" ht="12.75" x14ac:dyDescent="0.2">
      <c r="C571" s="246" t="s">
        <v>32</v>
      </c>
      <c r="D571" s="62"/>
      <c r="E571" s="62"/>
      <c r="F571" s="272">
        <f t="shared" ref="F571:AM571" si="87">SUM(F520:F570)</f>
        <v>61.88</v>
      </c>
      <c r="G571" s="66">
        <f t="shared" si="87"/>
        <v>48.99</v>
      </c>
      <c r="H571" s="92">
        <f t="shared" si="87"/>
        <v>16.75</v>
      </c>
      <c r="I571" s="94">
        <f t="shared" si="87"/>
        <v>70.539999999999992</v>
      </c>
      <c r="J571" s="94">
        <f t="shared" si="87"/>
        <v>120.27</v>
      </c>
      <c r="K571" s="94">
        <f t="shared" si="87"/>
        <v>7.9200000000000008</v>
      </c>
      <c r="L571" s="94">
        <f t="shared" si="87"/>
        <v>72.330000000000013</v>
      </c>
      <c r="M571" s="94">
        <f t="shared" si="87"/>
        <v>48.21</v>
      </c>
      <c r="N571" s="94">
        <f t="shared" si="87"/>
        <v>0</v>
      </c>
      <c r="O571" s="102">
        <f t="shared" si="87"/>
        <v>78.63</v>
      </c>
      <c r="P571" s="331">
        <f t="shared" si="87"/>
        <v>1180.9000000000001</v>
      </c>
      <c r="Q571" s="94">
        <f t="shared" si="87"/>
        <v>22.6</v>
      </c>
      <c r="R571" s="94">
        <f t="shared" si="87"/>
        <v>13.43</v>
      </c>
      <c r="S571" s="94">
        <f t="shared" si="87"/>
        <v>120.38</v>
      </c>
      <c r="T571" s="94">
        <f t="shared" si="87"/>
        <v>81.63</v>
      </c>
      <c r="U571" s="94">
        <f t="shared" si="87"/>
        <v>74.59</v>
      </c>
      <c r="V571" s="102">
        <f t="shared" si="87"/>
        <v>77.73</v>
      </c>
      <c r="W571" s="94">
        <f t="shared" si="87"/>
        <v>19.03</v>
      </c>
      <c r="X571" s="332">
        <f t="shared" si="87"/>
        <v>39.589999999999996</v>
      </c>
      <c r="Y571" s="332">
        <f t="shared" si="87"/>
        <v>78.039999999999992</v>
      </c>
      <c r="Z571" s="332">
        <f t="shared" si="87"/>
        <v>71.22999999999999</v>
      </c>
      <c r="AA571" s="332">
        <f t="shared" si="87"/>
        <v>167.01</v>
      </c>
      <c r="AB571" s="94">
        <f t="shared" si="87"/>
        <v>76.010000000000005</v>
      </c>
      <c r="AC571" s="102">
        <f t="shared" si="87"/>
        <v>37.58</v>
      </c>
      <c r="AD571" s="94">
        <f t="shared" si="87"/>
        <v>104.81</v>
      </c>
      <c r="AE571" s="94">
        <f t="shared" si="87"/>
        <v>43.64</v>
      </c>
      <c r="AF571" s="94">
        <f t="shared" si="87"/>
        <v>93.64</v>
      </c>
      <c r="AG571" s="94">
        <f t="shared" si="87"/>
        <v>31.71</v>
      </c>
      <c r="AH571" s="94">
        <f t="shared" si="87"/>
        <v>3</v>
      </c>
      <c r="AI571" s="94">
        <f t="shared" si="87"/>
        <v>34.549999999999997</v>
      </c>
      <c r="AJ571" s="102">
        <f t="shared" si="87"/>
        <v>14.45</v>
      </c>
      <c r="AK571" s="131">
        <f t="shared" si="87"/>
        <v>2884.0700000000006</v>
      </c>
      <c r="AL571" s="72">
        <f t="shared" si="87"/>
        <v>1413.6800000000003</v>
      </c>
      <c r="AM571" s="66">
        <f t="shared" si="87"/>
        <v>1497.3899999999999</v>
      </c>
      <c r="AN571" s="3"/>
      <c r="AO571" s="3"/>
      <c r="AP571" s="3"/>
      <c r="AQ571" s="3"/>
      <c r="AR571" s="3"/>
      <c r="AS571" s="3"/>
    </row>
    <row r="572" spans="3:45" ht="16.5" x14ac:dyDescent="0.25">
      <c r="C572" s="347"/>
      <c r="F572" s="641">
        <f>SUM(F571:H571)</f>
        <v>127.62</v>
      </c>
      <c r="G572" s="597"/>
      <c r="H572" s="598"/>
      <c r="I572" s="641">
        <f>SUM(I571:O571)</f>
        <v>397.9</v>
      </c>
      <c r="J572" s="597"/>
      <c r="K572" s="597"/>
      <c r="L572" s="597"/>
      <c r="M572" s="597"/>
      <c r="N572" s="597"/>
      <c r="O572" s="598"/>
      <c r="P572" s="641">
        <f>SUM(P571:V571)</f>
        <v>1571.26</v>
      </c>
      <c r="Q572" s="597"/>
      <c r="R572" s="597"/>
      <c r="S572" s="597"/>
      <c r="T572" s="597"/>
      <c r="U572" s="597"/>
      <c r="V572" s="598"/>
      <c r="W572" s="641">
        <f>SUM(W571:AC571)</f>
        <v>488.48999999999995</v>
      </c>
      <c r="X572" s="597"/>
      <c r="Y572" s="597"/>
      <c r="Z572" s="597"/>
      <c r="AA572" s="597"/>
      <c r="AB572" s="597"/>
      <c r="AC572" s="598"/>
      <c r="AD572" s="641">
        <f>SUM(AD571:AJ571)</f>
        <v>325.79999999999995</v>
      </c>
      <c r="AE572" s="597"/>
      <c r="AF572" s="597"/>
      <c r="AG572" s="597"/>
      <c r="AH572" s="597"/>
      <c r="AI572" s="597"/>
      <c r="AJ572" s="598"/>
    </row>
    <row r="573" spans="3:45" ht="12.75" x14ac:dyDescent="0.2">
      <c r="C573" s="347"/>
    </row>
    <row r="574" spans="3:45" ht="12.75" x14ac:dyDescent="0.2">
      <c r="C574" s="135"/>
      <c r="D574" s="3"/>
      <c r="E574" s="3"/>
      <c r="F574" s="578" t="s">
        <v>73</v>
      </c>
      <c r="G574" s="577"/>
      <c r="H574" s="577"/>
      <c r="I574" s="577"/>
      <c r="J574" s="577"/>
      <c r="K574" s="577"/>
      <c r="L574" s="577"/>
      <c r="M574" s="577"/>
      <c r="N574" s="577"/>
      <c r="O574" s="577"/>
      <c r="P574" s="577"/>
      <c r="Q574" s="577"/>
      <c r="R574" s="577"/>
      <c r="S574" s="577"/>
      <c r="T574" s="577"/>
      <c r="U574" s="577"/>
      <c r="V574" s="577"/>
      <c r="W574" s="577"/>
      <c r="X574" s="577"/>
      <c r="Y574" s="577"/>
      <c r="Z574" s="577"/>
      <c r="AA574" s="577"/>
      <c r="AB574" s="577"/>
      <c r="AC574" s="577"/>
      <c r="AD574" s="577"/>
      <c r="AE574" s="577"/>
      <c r="AF574" s="577"/>
      <c r="AG574" s="577"/>
      <c r="AH574" s="577"/>
      <c r="AI574" s="577"/>
      <c r="AJ574" s="577"/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3:45" ht="12.75" x14ac:dyDescent="0.2">
      <c r="C575" s="135"/>
      <c r="D575" s="3"/>
      <c r="E575" s="5" t="s">
        <v>9</v>
      </c>
      <c r="F575" s="4" t="s">
        <v>12</v>
      </c>
      <c r="G575" s="4" t="s">
        <v>13</v>
      </c>
      <c r="H575" s="4" t="s">
        <v>14</v>
      </c>
      <c r="I575" s="4" t="s">
        <v>15</v>
      </c>
      <c r="J575" s="4" t="s">
        <v>16</v>
      </c>
      <c r="K575" s="4" t="s">
        <v>10</v>
      </c>
      <c r="L575" s="4" t="s">
        <v>11</v>
      </c>
      <c r="M575" s="4" t="s">
        <v>12</v>
      </c>
      <c r="N575" s="4" t="s">
        <v>13</v>
      </c>
      <c r="O575" s="4" t="s">
        <v>14</v>
      </c>
      <c r="P575" s="4" t="s">
        <v>15</v>
      </c>
      <c r="Q575" s="4" t="s">
        <v>16</v>
      </c>
      <c r="R575" s="4" t="s">
        <v>10</v>
      </c>
      <c r="S575" s="4" t="s">
        <v>11</v>
      </c>
      <c r="T575" s="4" t="s">
        <v>12</v>
      </c>
      <c r="U575" s="4" t="s">
        <v>13</v>
      </c>
      <c r="V575" s="4" t="s">
        <v>14</v>
      </c>
      <c r="W575" s="4" t="s">
        <v>15</v>
      </c>
      <c r="X575" s="4" t="s">
        <v>16</v>
      </c>
      <c r="Y575" s="4" t="s">
        <v>10</v>
      </c>
      <c r="Z575" s="4" t="s">
        <v>11</v>
      </c>
      <c r="AA575" s="4" t="s">
        <v>12</v>
      </c>
      <c r="AB575" s="4" t="s">
        <v>13</v>
      </c>
      <c r="AC575" s="4" t="s">
        <v>14</v>
      </c>
      <c r="AD575" s="4" t="s">
        <v>15</v>
      </c>
      <c r="AE575" s="4" t="s">
        <v>16</v>
      </c>
      <c r="AF575" s="4" t="s">
        <v>10</v>
      </c>
      <c r="AG575" s="4" t="s">
        <v>11</v>
      </c>
      <c r="AH575" s="4" t="s">
        <v>12</v>
      </c>
      <c r="AI575" s="4" t="s">
        <v>13</v>
      </c>
      <c r="AJ575" s="4" t="s">
        <v>14</v>
      </c>
      <c r="AK575" s="9"/>
      <c r="AL575" s="10"/>
      <c r="AM575" s="9"/>
      <c r="AN575" s="11"/>
      <c r="AO575" s="3"/>
      <c r="AP575" s="10"/>
      <c r="AQ575" s="12" t="s">
        <v>17</v>
      </c>
      <c r="AR575" s="12" t="s">
        <v>18</v>
      </c>
      <c r="AS575" s="12" t="s">
        <v>19</v>
      </c>
    </row>
    <row r="576" spans="3:45" ht="12.75" x14ac:dyDescent="0.2">
      <c r="C576" s="135"/>
      <c r="D576" s="3"/>
      <c r="E576" s="5" t="s">
        <v>20</v>
      </c>
      <c r="F576" s="5">
        <v>1</v>
      </c>
      <c r="G576" s="5">
        <v>2</v>
      </c>
      <c r="H576" s="5">
        <v>3</v>
      </c>
      <c r="I576" s="5">
        <v>4</v>
      </c>
      <c r="J576" s="5">
        <v>5</v>
      </c>
      <c r="K576" s="5">
        <v>6</v>
      </c>
      <c r="L576" s="5">
        <v>7</v>
      </c>
      <c r="M576" s="5">
        <v>8</v>
      </c>
      <c r="N576" s="5">
        <v>9</v>
      </c>
      <c r="O576" s="5">
        <v>10</v>
      </c>
      <c r="P576" s="5">
        <v>11</v>
      </c>
      <c r="Q576" s="5">
        <v>12</v>
      </c>
      <c r="R576" s="5">
        <v>13</v>
      </c>
      <c r="S576" s="5">
        <v>14</v>
      </c>
      <c r="T576" s="5">
        <v>15</v>
      </c>
      <c r="U576" s="5">
        <v>16</v>
      </c>
      <c r="V576" s="5">
        <v>17</v>
      </c>
      <c r="W576" s="5">
        <v>18</v>
      </c>
      <c r="X576" s="5">
        <v>19</v>
      </c>
      <c r="Y576" s="5">
        <v>20</v>
      </c>
      <c r="Z576" s="5">
        <v>21</v>
      </c>
      <c r="AA576" s="5">
        <v>22</v>
      </c>
      <c r="AB576" s="5">
        <v>23</v>
      </c>
      <c r="AC576" s="5">
        <v>24</v>
      </c>
      <c r="AD576" s="5">
        <v>25</v>
      </c>
      <c r="AE576" s="5">
        <v>26</v>
      </c>
      <c r="AF576" s="5">
        <v>27</v>
      </c>
      <c r="AG576" s="5">
        <v>28</v>
      </c>
      <c r="AH576" s="5">
        <v>29</v>
      </c>
      <c r="AI576" s="5">
        <v>30</v>
      </c>
      <c r="AJ576" s="348">
        <v>31</v>
      </c>
      <c r="AK576" s="5" t="s">
        <v>21</v>
      </c>
      <c r="AL576" s="10" t="s">
        <v>18</v>
      </c>
      <c r="AM576" s="9" t="s">
        <v>19</v>
      </c>
      <c r="AN576" s="11" t="s">
        <v>22</v>
      </c>
      <c r="AO576" s="3"/>
      <c r="AP576" s="12" t="s">
        <v>23</v>
      </c>
      <c r="AQ576" s="19">
        <f>AK589-AK641</f>
        <v>1166.9900000000002</v>
      </c>
      <c r="AR576" s="19">
        <f t="shared" ref="AR576:AS576" si="88">(AL589-AL641)</f>
        <v>1091.2900000000004</v>
      </c>
      <c r="AS576" s="19">
        <f t="shared" si="88"/>
        <v>58.700000000000045</v>
      </c>
    </row>
    <row r="577" spans="3:45" ht="12.75" x14ac:dyDescent="0.2">
      <c r="C577" s="579" t="s">
        <v>24</v>
      </c>
      <c r="D577" s="20" t="s">
        <v>25</v>
      </c>
      <c r="E577" s="23" t="s">
        <v>18</v>
      </c>
      <c r="F577" s="23"/>
      <c r="G577" s="25">
        <v>2997.48</v>
      </c>
      <c r="H577" s="23"/>
      <c r="I577" s="23"/>
      <c r="J577" s="274"/>
      <c r="K577" s="23"/>
      <c r="L577" s="23"/>
      <c r="M577" s="23"/>
      <c r="N577" s="23"/>
      <c r="O577" s="23"/>
      <c r="P577" s="23"/>
      <c r="Q577" s="23"/>
      <c r="R577" s="23"/>
      <c r="S577" s="23"/>
      <c r="T577" s="25"/>
      <c r="U577" s="23"/>
      <c r="V577" s="25">
        <v>630</v>
      </c>
      <c r="W577" s="23"/>
      <c r="X577" s="23"/>
      <c r="Y577" s="274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96">
        <f t="shared" ref="AK577:AK588" si="89">SUM(F577:AJ577)</f>
        <v>3627.48</v>
      </c>
      <c r="AL577" s="28">
        <f t="shared" ref="AL577:AL578" si="90">AK577</f>
        <v>3627.48</v>
      </c>
      <c r="AM577" s="9"/>
      <c r="AN577" s="29">
        <f>AL577</f>
        <v>3627.48</v>
      </c>
      <c r="AO577" s="3"/>
      <c r="AP577" s="3"/>
      <c r="AQ577" s="3"/>
      <c r="AR577" s="3"/>
      <c r="AS577" s="3"/>
    </row>
    <row r="578" spans="3:45" ht="12.75" x14ac:dyDescent="0.2">
      <c r="C578" s="580"/>
      <c r="D578" s="576" t="s">
        <v>26</v>
      </c>
      <c r="E578" s="10" t="s">
        <v>18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297">
        <f t="shared" si="89"/>
        <v>0</v>
      </c>
      <c r="AL578" s="34">
        <f t="shared" si="90"/>
        <v>0</v>
      </c>
      <c r="AM578" s="35"/>
      <c r="AN578" s="582">
        <f>SUM(AL578:AM579)</f>
        <v>0</v>
      </c>
      <c r="AO578" s="3"/>
      <c r="AP578" s="3"/>
      <c r="AQ578" s="3"/>
      <c r="AR578" s="3"/>
      <c r="AS578" s="3"/>
    </row>
    <row r="579" spans="3:45" ht="12.75" x14ac:dyDescent="0.2">
      <c r="C579" s="580"/>
      <c r="D579" s="577"/>
      <c r="E579" s="9" t="s">
        <v>19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298">
        <f t="shared" si="89"/>
        <v>0</v>
      </c>
      <c r="AL579" s="39"/>
      <c r="AM579" s="40">
        <f t="shared" ref="AM579:AM580" si="91">AK579</f>
        <v>0</v>
      </c>
      <c r="AN579" s="583"/>
      <c r="AO579" s="3"/>
      <c r="AP579" s="3"/>
      <c r="AQ579" s="3"/>
      <c r="AR579" s="3"/>
      <c r="AS579" s="3"/>
    </row>
    <row r="580" spans="3:45" ht="12.75" x14ac:dyDescent="0.2">
      <c r="C580" s="580"/>
      <c r="D580" s="30" t="s">
        <v>27</v>
      </c>
      <c r="E580" s="9" t="s">
        <v>19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298">
        <f t="shared" si="89"/>
        <v>0</v>
      </c>
      <c r="AL580" s="10"/>
      <c r="AM580" s="19">
        <f t="shared" si="91"/>
        <v>0</v>
      </c>
      <c r="AN580" s="29">
        <f>AM580</f>
        <v>0</v>
      </c>
      <c r="AO580" s="3"/>
      <c r="AP580" s="3"/>
      <c r="AQ580" s="3"/>
      <c r="AR580" s="3"/>
      <c r="AS580" s="3"/>
    </row>
    <row r="581" spans="3:45" ht="12.75" x14ac:dyDescent="0.2">
      <c r="C581" s="580"/>
      <c r="D581" s="576" t="s">
        <v>28</v>
      </c>
      <c r="E581" s="10" t="s">
        <v>18</v>
      </c>
      <c r="F581" s="28"/>
      <c r="G581" s="10"/>
      <c r="H581" s="10"/>
      <c r="I581" s="10"/>
      <c r="J581" s="10"/>
      <c r="K581" s="10"/>
      <c r="L581" s="41">
        <v>8</v>
      </c>
      <c r="M581" s="10"/>
      <c r="N581" s="10"/>
      <c r="O581" s="10"/>
      <c r="P581" s="10"/>
      <c r="Q581" s="10"/>
      <c r="R581" s="10"/>
      <c r="S581" s="10"/>
      <c r="T581" s="41">
        <f>50+25</f>
        <v>75</v>
      </c>
      <c r="U581" s="10"/>
      <c r="V581" s="10"/>
      <c r="W581" s="10"/>
      <c r="X581" s="10"/>
      <c r="Y581" s="10"/>
      <c r="Z581" s="41">
        <f>18+30</f>
        <v>48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297">
        <f t="shared" si="89"/>
        <v>131</v>
      </c>
      <c r="AL581" s="34">
        <f>AK581</f>
        <v>131</v>
      </c>
      <c r="AM581" s="35"/>
      <c r="AN581" s="582">
        <f>SUM(AL581:AM582)</f>
        <v>463</v>
      </c>
      <c r="AO581" s="3"/>
      <c r="AP581" s="3"/>
      <c r="AQ581" s="3"/>
      <c r="AR581" s="3"/>
      <c r="AS581" s="3"/>
    </row>
    <row r="582" spans="3:45" ht="12.75" x14ac:dyDescent="0.2">
      <c r="C582" s="580"/>
      <c r="D582" s="577"/>
      <c r="E582" s="9" t="s">
        <v>19</v>
      </c>
      <c r="F582" s="9"/>
      <c r="G582" s="9"/>
      <c r="H582" s="42">
        <v>50</v>
      </c>
      <c r="I582" s="9"/>
      <c r="J582" s="9"/>
      <c r="K582" s="9"/>
      <c r="L582" s="9"/>
      <c r="M582" s="42">
        <v>70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>
        <f>100+12</f>
        <v>112</v>
      </c>
      <c r="AF582" s="9"/>
      <c r="AG582" s="9"/>
      <c r="AH582" s="42">
        <v>100</v>
      </c>
      <c r="AI582" s="9"/>
      <c r="AJ582" s="9"/>
      <c r="AK582" s="298">
        <f t="shared" si="89"/>
        <v>332</v>
      </c>
      <c r="AL582" s="39"/>
      <c r="AM582" s="40">
        <f>AK582</f>
        <v>332</v>
      </c>
      <c r="AN582" s="583"/>
      <c r="AO582" s="3"/>
      <c r="AP582" s="3"/>
      <c r="AQ582" s="3"/>
      <c r="AR582" s="3"/>
      <c r="AS582" s="3"/>
    </row>
    <row r="583" spans="3:45" ht="12.75" x14ac:dyDescent="0.2">
      <c r="C583" s="580"/>
      <c r="D583" s="576" t="s">
        <v>29</v>
      </c>
      <c r="E583" s="10" t="s">
        <v>18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297">
        <f t="shared" si="89"/>
        <v>0</v>
      </c>
      <c r="AL583" s="34">
        <f>AK583</f>
        <v>0</v>
      </c>
      <c r="AM583" s="35"/>
      <c r="AN583" s="582">
        <f>SUM(AL583:AM584)</f>
        <v>0</v>
      </c>
      <c r="AO583" s="3"/>
      <c r="AP583" s="3"/>
      <c r="AQ583" s="3"/>
      <c r="AR583" s="3"/>
      <c r="AS583" s="3"/>
    </row>
    <row r="584" spans="3:45" ht="12.75" x14ac:dyDescent="0.2">
      <c r="C584" s="580"/>
      <c r="D584" s="577"/>
      <c r="E584" s="9" t="s">
        <v>19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298">
        <f t="shared" si="89"/>
        <v>0</v>
      </c>
      <c r="AL584" s="39"/>
      <c r="AM584" s="40">
        <f>AK584</f>
        <v>0</v>
      </c>
      <c r="AN584" s="583"/>
      <c r="AO584" s="3"/>
      <c r="AP584" s="3"/>
      <c r="AQ584" s="3"/>
      <c r="AR584" s="3"/>
      <c r="AS584" s="3"/>
    </row>
    <row r="585" spans="3:45" ht="12.75" x14ac:dyDescent="0.2">
      <c r="C585" s="580"/>
      <c r="D585" s="576" t="s">
        <v>30</v>
      </c>
      <c r="E585" s="10" t="s">
        <v>18</v>
      </c>
      <c r="F585" s="10"/>
      <c r="G585" s="10"/>
      <c r="H585" s="10"/>
      <c r="I585" s="10"/>
      <c r="J585" s="10"/>
      <c r="K585" s="28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297">
        <f t="shared" si="89"/>
        <v>0</v>
      </c>
      <c r="AL585" s="34">
        <f>AK585</f>
        <v>0</v>
      </c>
      <c r="AM585" s="9"/>
      <c r="AN585" s="582">
        <f>SUM(AL585:AM586)</f>
        <v>0</v>
      </c>
      <c r="AO585" s="3"/>
      <c r="AP585" s="3"/>
      <c r="AQ585" s="3"/>
      <c r="AR585" s="3"/>
      <c r="AS585" s="3"/>
    </row>
    <row r="586" spans="3:45" ht="12.75" x14ac:dyDescent="0.2">
      <c r="C586" s="580"/>
      <c r="D586" s="577"/>
      <c r="E586" s="9" t="s">
        <v>19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298">
        <f t="shared" si="89"/>
        <v>0</v>
      </c>
      <c r="AL586" s="45"/>
      <c r="AM586" s="40">
        <f>AK586</f>
        <v>0</v>
      </c>
      <c r="AN586" s="583"/>
      <c r="AO586" s="3"/>
      <c r="AP586" s="3"/>
      <c r="AQ586" s="3"/>
      <c r="AR586" s="3"/>
      <c r="AS586" s="3"/>
    </row>
    <row r="587" spans="3:45" ht="12.75" x14ac:dyDescent="0.2">
      <c r="C587" s="580"/>
      <c r="D587" s="576" t="s">
        <v>31</v>
      </c>
      <c r="E587" s="10" t="s">
        <v>18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297">
        <f t="shared" si="89"/>
        <v>0</v>
      </c>
      <c r="AL587" s="34">
        <f>AK587</f>
        <v>0</v>
      </c>
      <c r="AM587" s="35"/>
      <c r="AN587" s="586">
        <f>SUM(AL587:AM588)</f>
        <v>50</v>
      </c>
      <c r="AO587" s="3"/>
      <c r="AP587" s="3"/>
      <c r="AQ587" s="3"/>
      <c r="AR587" s="3"/>
      <c r="AS587" s="3"/>
    </row>
    <row r="588" spans="3:45" ht="12.75" x14ac:dyDescent="0.2">
      <c r="C588" s="581"/>
      <c r="D588" s="585"/>
      <c r="E588" s="277" t="s">
        <v>19</v>
      </c>
      <c r="F588" s="277"/>
      <c r="G588" s="277"/>
      <c r="H588" s="277"/>
      <c r="I588" s="277"/>
      <c r="J588" s="277"/>
      <c r="K588" s="300">
        <v>50</v>
      </c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  <c r="W588" s="277"/>
      <c r="X588" s="277"/>
      <c r="Y588" s="277"/>
      <c r="Z588" s="277"/>
      <c r="AA588" s="277"/>
      <c r="AB588" s="277"/>
      <c r="AC588" s="277"/>
      <c r="AD588" s="277"/>
      <c r="AE588" s="277"/>
      <c r="AF588" s="277"/>
      <c r="AG588" s="277"/>
      <c r="AH588" s="277"/>
      <c r="AI588" s="277"/>
      <c r="AJ588" s="277"/>
      <c r="AK588" s="301">
        <f t="shared" si="89"/>
        <v>50</v>
      </c>
      <c r="AL588" s="39"/>
      <c r="AM588" s="40">
        <f>AK588</f>
        <v>50</v>
      </c>
      <c r="AN588" s="583"/>
      <c r="AO588" s="3"/>
      <c r="AP588" s="3"/>
      <c r="AQ588" s="3"/>
      <c r="AR588" s="3"/>
      <c r="AS588" s="3"/>
    </row>
    <row r="589" spans="3:45" ht="12.75" x14ac:dyDescent="0.2">
      <c r="C589" s="49" t="s">
        <v>32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51">
        <f t="shared" ref="AK589:AM589" si="92">SUM(AK577:AK588)</f>
        <v>4140.4799999999996</v>
      </c>
      <c r="AL589" s="28">
        <f t="shared" si="92"/>
        <v>3758.48</v>
      </c>
      <c r="AM589" s="19">
        <f t="shared" si="92"/>
        <v>382</v>
      </c>
      <c r="AN589" s="11"/>
      <c r="AO589" s="3"/>
      <c r="AP589" s="3"/>
      <c r="AQ589" s="3"/>
      <c r="AR589" s="3"/>
      <c r="AS589" s="3"/>
    </row>
    <row r="590" spans="3:45" ht="12.75" x14ac:dyDescent="0.2">
      <c r="C590" s="594" t="s">
        <v>33</v>
      </c>
      <c r="D590" s="304" t="s">
        <v>34</v>
      </c>
      <c r="E590" s="305" t="s">
        <v>19</v>
      </c>
      <c r="F590" s="305"/>
      <c r="G590" s="305"/>
      <c r="H590" s="305"/>
      <c r="I590" s="308">
        <v>60</v>
      </c>
      <c r="J590" s="305"/>
      <c r="K590" s="59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  <c r="AB590" s="305"/>
      <c r="AC590" s="305"/>
      <c r="AD590" s="305"/>
      <c r="AE590" s="305"/>
      <c r="AF590" s="305"/>
      <c r="AG590" s="305"/>
      <c r="AH590" s="305"/>
      <c r="AI590" s="305"/>
      <c r="AJ590" s="305"/>
      <c r="AK590" s="310">
        <f t="shared" ref="AK590:AK591" si="93">SUM(F590:AJ590)</f>
        <v>60</v>
      </c>
      <c r="AL590" s="58"/>
      <c r="AM590" s="59">
        <f>AK590</f>
        <v>60</v>
      </c>
      <c r="AN590" s="60">
        <f>AM590</f>
        <v>60</v>
      </c>
      <c r="AO590" s="3"/>
      <c r="AP590" s="3"/>
      <c r="AQ590" s="3"/>
      <c r="AR590" s="3"/>
      <c r="AS590" s="3"/>
    </row>
    <row r="591" spans="3:45" ht="12.75" x14ac:dyDescent="0.2">
      <c r="C591" s="580"/>
      <c r="D591" s="311" t="s">
        <v>35</v>
      </c>
      <c r="E591" s="65" t="s">
        <v>18</v>
      </c>
      <c r="F591" s="65"/>
      <c r="G591" s="87">
        <v>10</v>
      </c>
      <c r="H591" s="65"/>
      <c r="I591" s="65"/>
      <c r="J591" s="65"/>
      <c r="K591" s="72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98">
        <f t="shared" si="93"/>
        <v>10</v>
      </c>
      <c r="AL591" s="72">
        <f>AK591</f>
        <v>10</v>
      </c>
      <c r="AM591" s="62"/>
      <c r="AN591" s="73">
        <f>AL591</f>
        <v>10</v>
      </c>
      <c r="AO591" s="3"/>
      <c r="AP591" s="3"/>
      <c r="AQ591" s="3"/>
      <c r="AR591" s="3"/>
      <c r="AS591" s="3"/>
    </row>
    <row r="592" spans="3:45" ht="12.75" x14ac:dyDescent="0.2">
      <c r="C592" s="580"/>
      <c r="D592" s="649" t="s">
        <v>36</v>
      </c>
      <c r="E592" s="65" t="s">
        <v>18</v>
      </c>
      <c r="F592" s="65"/>
      <c r="G592" s="87">
        <v>17</v>
      </c>
      <c r="H592" s="65"/>
      <c r="I592" s="65"/>
      <c r="J592" s="65"/>
      <c r="K592" s="72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9"/>
      <c r="AL592" s="72">
        <f>SUM(F592:AJ592)</f>
        <v>17</v>
      </c>
      <c r="AM592" s="62"/>
      <c r="AN592" s="589">
        <f>SUM(AL592:AM593)</f>
        <v>17</v>
      </c>
      <c r="AO592" s="3"/>
      <c r="AP592" s="3"/>
      <c r="AQ592" s="3"/>
      <c r="AR592" s="3"/>
      <c r="AS592" s="3"/>
    </row>
    <row r="593" spans="3:45" ht="12.75" x14ac:dyDescent="0.2">
      <c r="C593" s="580"/>
      <c r="D593" s="650"/>
      <c r="E593" s="312" t="s">
        <v>19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5">
        <f t="shared" ref="AK593:AK640" si="94">SUM(F593:AJ593)</f>
        <v>0</v>
      </c>
      <c r="AL593" s="79"/>
      <c r="AM593" s="80">
        <f>AK593</f>
        <v>0</v>
      </c>
      <c r="AN593" s="590"/>
      <c r="AO593" s="3"/>
      <c r="AP593" s="3"/>
      <c r="AQ593" s="3"/>
      <c r="AR593" s="3"/>
      <c r="AS593" s="3"/>
    </row>
    <row r="594" spans="3:45" ht="12.75" x14ac:dyDescent="0.2">
      <c r="C594" s="580"/>
      <c r="D594" s="584" t="s">
        <v>37</v>
      </c>
      <c r="E594" s="65" t="s">
        <v>18</v>
      </c>
      <c r="F594" s="65"/>
      <c r="G594" s="72"/>
      <c r="H594" s="87">
        <v>5</v>
      </c>
      <c r="I594" s="72"/>
      <c r="J594" s="65">
        <f>4.3+3</f>
        <v>7.3</v>
      </c>
      <c r="K594" s="65">
        <f>12.8+12.1+20.6</f>
        <v>45.5</v>
      </c>
      <c r="L594" s="65"/>
      <c r="M594" s="65">
        <f>2.5+1+5+1</f>
        <v>9.5</v>
      </c>
      <c r="N594" s="72"/>
      <c r="O594" s="65"/>
      <c r="P594" s="72"/>
      <c r="Q594" s="65"/>
      <c r="R594" s="65"/>
      <c r="S594" s="72"/>
      <c r="T594" s="87">
        <v>20.5</v>
      </c>
      <c r="U594" s="72"/>
      <c r="V594" s="65"/>
      <c r="W594" s="65"/>
      <c r="X594" s="65"/>
      <c r="Y594" s="65"/>
      <c r="Z594" s="72"/>
      <c r="AA594" s="65"/>
      <c r="AB594" s="65"/>
      <c r="AC594" s="65"/>
      <c r="AD594" s="65"/>
      <c r="AE594" s="65">
        <f>1+2.3</f>
        <v>3.3</v>
      </c>
      <c r="AF594" s="65"/>
      <c r="AG594" s="65"/>
      <c r="AH594" s="65"/>
      <c r="AI594" s="65"/>
      <c r="AJ594" s="65"/>
      <c r="AK594" s="98">
        <f t="shared" si="94"/>
        <v>91.1</v>
      </c>
      <c r="AL594" s="89">
        <f>AK594</f>
        <v>91.1</v>
      </c>
      <c r="AM594" s="62"/>
      <c r="AN594" s="586">
        <f>SUM(AL594:AM595)</f>
        <v>91.1</v>
      </c>
      <c r="AO594" s="3"/>
      <c r="AP594" s="3"/>
      <c r="AQ594" s="3"/>
      <c r="AR594" s="3"/>
      <c r="AS594" s="3"/>
    </row>
    <row r="595" spans="3:45" ht="12.75" x14ac:dyDescent="0.2">
      <c r="C595" s="580"/>
      <c r="D595" s="577"/>
      <c r="E595" s="62" t="s">
        <v>19</v>
      </c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128">
        <f t="shared" si="94"/>
        <v>0</v>
      </c>
      <c r="AL595" s="93"/>
      <c r="AM595" s="94">
        <f>AK595</f>
        <v>0</v>
      </c>
      <c r="AN595" s="583"/>
      <c r="AO595" s="3"/>
      <c r="AP595" s="3"/>
      <c r="AQ595" s="3"/>
      <c r="AR595" s="3"/>
      <c r="AS595" s="3"/>
    </row>
    <row r="596" spans="3:45" ht="12.75" x14ac:dyDescent="0.2">
      <c r="C596" s="580"/>
      <c r="D596" s="81" t="s">
        <v>38</v>
      </c>
      <c r="E596" s="65" t="s">
        <v>18</v>
      </c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70">
        <v>89.63</v>
      </c>
      <c r="AB596" s="65"/>
      <c r="AC596" s="65"/>
      <c r="AD596" s="65"/>
      <c r="AE596" s="65"/>
      <c r="AF596" s="65"/>
      <c r="AG596" s="65"/>
      <c r="AH596" s="65"/>
      <c r="AI596" s="65"/>
      <c r="AJ596" s="65"/>
      <c r="AK596" s="98">
        <f t="shared" si="94"/>
        <v>89.63</v>
      </c>
      <c r="AL596" s="72">
        <f t="shared" ref="AL596:AL598" si="95">AK596</f>
        <v>89.63</v>
      </c>
      <c r="AM596" s="62"/>
      <c r="AN596" s="29">
        <f t="shared" ref="AN596:AN597" si="96">AL596</f>
        <v>89.63</v>
      </c>
      <c r="AO596" s="3"/>
      <c r="AP596" s="3"/>
      <c r="AQ596" s="3"/>
      <c r="AR596" s="3"/>
      <c r="AS596" s="3"/>
    </row>
    <row r="597" spans="3:45" ht="12.75" x14ac:dyDescent="0.2">
      <c r="C597" s="580"/>
      <c r="D597" s="81" t="s">
        <v>39</v>
      </c>
      <c r="E597" s="65" t="s">
        <v>18</v>
      </c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98">
        <f t="shared" si="94"/>
        <v>0</v>
      </c>
      <c r="AL597" s="72">
        <f t="shared" si="95"/>
        <v>0</v>
      </c>
      <c r="AM597" s="62"/>
      <c r="AN597" s="29">
        <f t="shared" si="96"/>
        <v>0</v>
      </c>
      <c r="AO597" s="3"/>
      <c r="AP597" s="3"/>
      <c r="AQ597" s="3"/>
      <c r="AR597" s="3"/>
      <c r="AS597" s="3"/>
    </row>
    <row r="598" spans="3:45" ht="12.75" x14ac:dyDescent="0.2">
      <c r="C598" s="580"/>
      <c r="D598" s="584" t="s">
        <v>40</v>
      </c>
      <c r="E598" s="65" t="s">
        <v>18</v>
      </c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98">
        <f t="shared" si="94"/>
        <v>0</v>
      </c>
      <c r="AL598" s="96">
        <f t="shared" si="95"/>
        <v>0</v>
      </c>
      <c r="AM598" s="97"/>
      <c r="AN598" s="582">
        <f>SUM(AL598:AM599)</f>
        <v>0</v>
      </c>
      <c r="AO598" s="3"/>
      <c r="AP598" s="3"/>
      <c r="AQ598" s="3"/>
      <c r="AR598" s="3"/>
      <c r="AS598" s="3"/>
    </row>
    <row r="599" spans="3:45" ht="12.75" x14ac:dyDescent="0.2">
      <c r="C599" s="580"/>
      <c r="D599" s="577"/>
      <c r="E599" s="62" t="s">
        <v>19</v>
      </c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128">
        <f t="shared" si="94"/>
        <v>0</v>
      </c>
      <c r="AL599" s="93"/>
      <c r="AM599" s="94">
        <f>AK599</f>
        <v>0</v>
      </c>
      <c r="AN599" s="583"/>
      <c r="AO599" s="3"/>
      <c r="AP599" s="3"/>
      <c r="AQ599" s="3"/>
      <c r="AR599" s="3"/>
      <c r="AS599" s="3"/>
    </row>
    <row r="600" spans="3:45" ht="12.75" x14ac:dyDescent="0.2">
      <c r="C600" s="580"/>
      <c r="D600" s="584" t="s">
        <v>41</v>
      </c>
      <c r="E600" s="65" t="s">
        <v>18</v>
      </c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72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72"/>
      <c r="AC600" s="65"/>
      <c r="AD600" s="65"/>
      <c r="AE600" s="65"/>
      <c r="AF600" s="65"/>
      <c r="AG600" s="65">
        <f>13.64+25.24+74.63+9.46</f>
        <v>122.97</v>
      </c>
      <c r="AH600" s="65"/>
      <c r="AI600" s="65"/>
      <c r="AJ600" s="65"/>
      <c r="AK600" s="98">
        <f t="shared" si="94"/>
        <v>122.97</v>
      </c>
      <c r="AL600" s="96">
        <f>AK600</f>
        <v>122.97</v>
      </c>
      <c r="AM600" s="97"/>
      <c r="AN600" s="582">
        <f>SUM(AL600:AM601)</f>
        <v>189.97</v>
      </c>
      <c r="AO600" s="3"/>
      <c r="AP600" s="3"/>
      <c r="AQ600" s="3"/>
      <c r="AR600" s="3"/>
      <c r="AS600" s="3"/>
    </row>
    <row r="601" spans="3:45" ht="12.75" x14ac:dyDescent="0.2">
      <c r="C601" s="580"/>
      <c r="D601" s="577"/>
      <c r="E601" s="62" t="s">
        <v>19</v>
      </c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91">
        <v>10</v>
      </c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91">
        <v>57</v>
      </c>
      <c r="AJ601" s="62"/>
      <c r="AK601" s="128">
        <f t="shared" si="94"/>
        <v>67</v>
      </c>
      <c r="AL601" s="93"/>
      <c r="AM601" s="94">
        <f>AK601</f>
        <v>67</v>
      </c>
      <c r="AN601" s="583"/>
      <c r="AO601" s="3"/>
      <c r="AP601" s="3"/>
      <c r="AQ601" s="3"/>
      <c r="AR601" s="3"/>
      <c r="AS601" s="3"/>
    </row>
    <row r="602" spans="3:45" ht="12.75" x14ac:dyDescent="0.2">
      <c r="C602" s="580"/>
      <c r="D602" s="81" t="s">
        <v>42</v>
      </c>
      <c r="E602" s="65" t="s">
        <v>18</v>
      </c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98">
        <f t="shared" si="94"/>
        <v>0</v>
      </c>
      <c r="AL602" s="72">
        <f>AK602</f>
        <v>0</v>
      </c>
      <c r="AM602" s="62"/>
      <c r="AN602" s="29">
        <f>AL602</f>
        <v>0</v>
      </c>
      <c r="AO602" s="3"/>
      <c r="AP602" s="3"/>
      <c r="AQ602" s="3"/>
      <c r="AR602" s="3"/>
      <c r="AS602" s="3"/>
    </row>
    <row r="603" spans="3:45" ht="12.75" x14ac:dyDescent="0.2">
      <c r="C603" s="580"/>
      <c r="D603" s="81" t="s">
        <v>43</v>
      </c>
      <c r="E603" s="62" t="s">
        <v>19</v>
      </c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128">
        <f t="shared" si="94"/>
        <v>0</v>
      </c>
      <c r="AL603" s="65"/>
      <c r="AM603" s="66">
        <f>AK603</f>
        <v>0</v>
      </c>
      <c r="AN603" s="29">
        <f>AM603</f>
        <v>0</v>
      </c>
      <c r="AO603" s="3"/>
      <c r="AP603" s="3"/>
      <c r="AQ603" s="3"/>
      <c r="AR603" s="3"/>
      <c r="AS603" s="3"/>
    </row>
    <row r="604" spans="3:45" ht="12.75" x14ac:dyDescent="0.2">
      <c r="C604" s="580"/>
      <c r="D604" s="584" t="s">
        <v>44</v>
      </c>
      <c r="E604" s="65" t="s">
        <v>18</v>
      </c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98">
        <f t="shared" si="94"/>
        <v>0</v>
      </c>
      <c r="AL604" s="96">
        <f>AK604</f>
        <v>0</v>
      </c>
      <c r="AM604" s="97"/>
      <c r="AN604" s="582">
        <f>SUM(AL604:AM605)</f>
        <v>0</v>
      </c>
      <c r="AO604" s="3"/>
      <c r="AP604" s="3"/>
      <c r="AQ604" s="3"/>
      <c r="AR604" s="3"/>
      <c r="AS604" s="3"/>
    </row>
    <row r="605" spans="3:45" ht="12.75" x14ac:dyDescent="0.2">
      <c r="C605" s="581"/>
      <c r="D605" s="585"/>
      <c r="E605" s="62" t="s">
        <v>19</v>
      </c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  <c r="AA605" s="284"/>
      <c r="AB605" s="284"/>
      <c r="AC605" s="284"/>
      <c r="AD605" s="284"/>
      <c r="AE605" s="284"/>
      <c r="AF605" s="284"/>
      <c r="AG605" s="284"/>
      <c r="AH605" s="284"/>
      <c r="AI605" s="284"/>
      <c r="AJ605" s="284"/>
      <c r="AK605" s="128">
        <f t="shared" si="94"/>
        <v>0</v>
      </c>
      <c r="AL605" s="93"/>
      <c r="AM605" s="94">
        <f>AK605</f>
        <v>0</v>
      </c>
      <c r="AN605" s="583"/>
      <c r="AO605" s="3"/>
      <c r="AP605" s="3"/>
      <c r="AQ605" s="3"/>
      <c r="AR605" s="3"/>
      <c r="AS605" s="3"/>
    </row>
    <row r="606" spans="3:45" ht="12.75" x14ac:dyDescent="0.2">
      <c r="C606" s="594" t="s">
        <v>45</v>
      </c>
      <c r="D606" s="599" t="s">
        <v>46</v>
      </c>
      <c r="E606" s="105" t="s">
        <v>18</v>
      </c>
      <c r="F606" s="108">
        <f>5.26+4.18+5.09-(0.07+0.24+0.19+0.15+0.19+0.06+0.06)</f>
        <v>13.569999999999999</v>
      </c>
      <c r="G606" s="108">
        <f>2.59+4.99+3.65+3.06+4.12</f>
        <v>18.41</v>
      </c>
      <c r="H606" s="108">
        <f>0.01</f>
        <v>0.01</v>
      </c>
      <c r="I606" s="108">
        <f>3.79+0.99+4.54+28.82+4.48</f>
        <v>42.620000000000005</v>
      </c>
      <c r="J606" s="105"/>
      <c r="K606" s="108">
        <f>4.21+2.59+9.29+12.96+1.38+4.44+2.09+1.66+1.66</f>
        <v>40.279999999999987</v>
      </c>
      <c r="L606" s="105">
        <f>1.79+5.99+(1.49*4)</f>
        <v>13.74</v>
      </c>
      <c r="M606" s="106">
        <v>1.46</v>
      </c>
      <c r="N606" s="108"/>
      <c r="O606" s="108"/>
      <c r="P606" s="105">
        <f>2.59+3.38+3.18+4.57+3.57+2.79+0.49</f>
        <v>20.569999999999997</v>
      </c>
      <c r="Q606" s="105"/>
      <c r="R606" s="106">
        <v>5.96</v>
      </c>
      <c r="S606" s="108"/>
      <c r="T606" s="108">
        <f>(1.49*4)</f>
        <v>5.96</v>
      </c>
      <c r="U606" s="105"/>
      <c r="V606" s="108"/>
      <c r="W606" s="105"/>
      <c r="X606" s="105"/>
      <c r="Y606" s="106">
        <v>12.27</v>
      </c>
      <c r="Z606" s="108"/>
      <c r="AA606" s="108">
        <f>12.27+4.48</f>
        <v>16.75</v>
      </c>
      <c r="AB606" s="105">
        <f>3.99+3.99+2.75+4.73+3.97</f>
        <v>19.43</v>
      </c>
      <c r="AC606" s="108"/>
      <c r="AD606" s="106">
        <v>15.15</v>
      </c>
      <c r="AE606" s="108"/>
      <c r="AF606" s="108">
        <f>7.99+3.34</f>
        <v>11.33</v>
      </c>
      <c r="AG606" s="105">
        <f>4.44+2.59+2.35+4.22</f>
        <v>13.600000000000001</v>
      </c>
      <c r="AH606" s="105">
        <f>5.99-1.82+1.7+1.7+6.3-3.15+3.34-0.67</f>
        <v>13.39</v>
      </c>
      <c r="AI606" s="105">
        <f>3.54+2.95+4.68</f>
        <v>11.17</v>
      </c>
      <c r="AJ606" s="105">
        <f>11.99+0.99+1.97+5.69+(1.49*4)</f>
        <v>26.6</v>
      </c>
      <c r="AK606" s="98">
        <f t="shared" si="94"/>
        <v>302.2700000000001</v>
      </c>
      <c r="AL606" s="96">
        <f>AK606</f>
        <v>302.2700000000001</v>
      </c>
      <c r="AM606" s="97"/>
      <c r="AN606" s="582">
        <f>SUM(AL606:AM607)</f>
        <v>302.2700000000001</v>
      </c>
      <c r="AO606" s="3"/>
      <c r="AP606" s="3"/>
      <c r="AQ606" s="3"/>
      <c r="AR606" s="3"/>
      <c r="AS606" s="3"/>
    </row>
    <row r="607" spans="3:45" ht="12.75" x14ac:dyDescent="0.2">
      <c r="C607" s="580"/>
      <c r="D607" s="577"/>
      <c r="E607" s="62" t="s">
        <v>19</v>
      </c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128">
        <f t="shared" si="94"/>
        <v>0</v>
      </c>
      <c r="AL607" s="93"/>
      <c r="AM607" s="94">
        <f>AK607</f>
        <v>0</v>
      </c>
      <c r="AN607" s="583"/>
      <c r="AO607" s="3"/>
      <c r="AP607" s="3"/>
      <c r="AQ607" s="3"/>
      <c r="AR607" s="3"/>
      <c r="AS607" s="3"/>
    </row>
    <row r="608" spans="3:45" ht="12.75" x14ac:dyDescent="0.2">
      <c r="C608" s="580"/>
      <c r="D608" s="591" t="s">
        <v>47</v>
      </c>
      <c r="E608" s="65" t="s">
        <v>18</v>
      </c>
      <c r="F608" s="72">
        <f>1.93+5.79+1.66+1.66</f>
        <v>11.04</v>
      </c>
      <c r="G608" s="72">
        <f>2.69+1.59+3.69</f>
        <v>7.9700000000000006</v>
      </c>
      <c r="H608" s="72">
        <f>1.88</f>
        <v>1.88</v>
      </c>
      <c r="I608" s="72">
        <f>4.3+1.39</f>
        <v>5.6899999999999995</v>
      </c>
      <c r="J608" s="72"/>
      <c r="K608" s="72">
        <f>2.59+2.19+1.39+1.59+4.3</f>
        <v>12.059999999999999</v>
      </c>
      <c r="L608" s="72">
        <f>2.59+5.79+2.59+1.59+4.23+6.34</f>
        <v>23.13</v>
      </c>
      <c r="M608" s="72">
        <f>17.72</f>
        <v>17.72</v>
      </c>
      <c r="N608" s="70">
        <v>4.72</v>
      </c>
      <c r="O608" s="70">
        <v>6.58</v>
      </c>
      <c r="P608" s="72">
        <f>2.59+2.89</f>
        <v>5.48</v>
      </c>
      <c r="Q608" s="87"/>
      <c r="R608" s="72">
        <f>3.3+8.1</f>
        <v>11.399999999999999</v>
      </c>
      <c r="S608" s="87">
        <v>9.92</v>
      </c>
      <c r="T608" s="72">
        <f>15.31+4.29+4.29</f>
        <v>23.89</v>
      </c>
      <c r="U608" s="87">
        <v>9.18</v>
      </c>
      <c r="V608" s="70">
        <v>60.42</v>
      </c>
      <c r="W608" s="72">
        <f>31</f>
        <v>31</v>
      </c>
      <c r="X608" s="72"/>
      <c r="Y608" s="70">
        <v>1.79</v>
      </c>
      <c r="Z608" s="87">
        <f>45+21.33</f>
        <v>66.33</v>
      </c>
      <c r="AA608" s="72"/>
      <c r="AB608" s="65">
        <f>6.63+(1.19-0.24)+1.66</f>
        <v>9.24</v>
      </c>
      <c r="AC608" s="72"/>
      <c r="AD608" s="72">
        <f>4.44+1.49</f>
        <v>5.9300000000000006</v>
      </c>
      <c r="AE608" s="72">
        <f>0.49+2.99+1.48+2.96+0.49+2.89+1.75+4.39</f>
        <v>17.440000000000001</v>
      </c>
      <c r="AF608" s="72">
        <f>(0.99*2)+2.09</f>
        <v>4.07</v>
      </c>
      <c r="AG608" s="72">
        <f>2.19+1.99</f>
        <v>4.18</v>
      </c>
      <c r="AH608" s="72">
        <f>25.42+18.13+10.99</f>
        <v>54.54</v>
      </c>
      <c r="AI608" s="65">
        <f>2.19+1.81+4.23</f>
        <v>8.23</v>
      </c>
      <c r="AJ608" s="65">
        <f>4.19+2.88</f>
        <v>7.07</v>
      </c>
      <c r="AK608" s="98">
        <f t="shared" si="94"/>
        <v>420.90000000000003</v>
      </c>
      <c r="AL608" s="96">
        <f>AK608</f>
        <v>420.90000000000003</v>
      </c>
      <c r="AM608" s="97"/>
      <c r="AN608" s="593">
        <f>SUM(AL608:AM609)</f>
        <v>438.90000000000003</v>
      </c>
      <c r="AO608" s="3"/>
      <c r="AP608" s="3"/>
      <c r="AQ608" s="3"/>
      <c r="AR608" s="3"/>
      <c r="AS608" s="3"/>
    </row>
    <row r="609" spans="3:45" ht="12.75" x14ac:dyDescent="0.2">
      <c r="C609" s="580"/>
      <c r="D609" s="577"/>
      <c r="E609" s="62" t="s">
        <v>19</v>
      </c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91">
        <v>18</v>
      </c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128">
        <f t="shared" si="94"/>
        <v>18</v>
      </c>
      <c r="AL609" s="93"/>
      <c r="AM609" s="94">
        <f>AK609</f>
        <v>18</v>
      </c>
      <c r="AN609" s="583"/>
      <c r="AO609" s="3"/>
      <c r="AP609" s="3"/>
      <c r="AQ609" s="3"/>
      <c r="AR609" s="3"/>
      <c r="AS609" s="3"/>
    </row>
    <row r="610" spans="3:45" ht="12.75" x14ac:dyDescent="0.2">
      <c r="C610" s="580"/>
      <c r="D610" s="591" t="s">
        <v>48</v>
      </c>
      <c r="E610" s="65" t="s">
        <v>18</v>
      </c>
      <c r="F610" s="65"/>
      <c r="G610" s="72">
        <f>10.24-6.3</f>
        <v>3.9400000000000004</v>
      </c>
      <c r="H610" s="65"/>
      <c r="I610" s="65"/>
      <c r="J610" s="65"/>
      <c r="K610" s="72"/>
      <c r="L610" s="65"/>
      <c r="M610" s="65"/>
      <c r="N610" s="65"/>
      <c r="O610" s="65"/>
      <c r="P610" s="65"/>
      <c r="Q610" s="87">
        <v>2.14</v>
      </c>
      <c r="R610" s="65"/>
      <c r="S610" s="65"/>
      <c r="T610" s="65"/>
      <c r="U610" s="72"/>
      <c r="V610" s="65"/>
      <c r="W610" s="72"/>
      <c r="X610" s="65"/>
      <c r="Y610" s="72"/>
      <c r="Z610" s="65"/>
      <c r="AA610" s="65"/>
      <c r="AB610" s="72"/>
      <c r="AC610" s="65"/>
      <c r="AD610" s="72"/>
      <c r="AE610" s="65"/>
      <c r="AF610" s="65"/>
      <c r="AG610" s="65"/>
      <c r="AH610" s="65"/>
      <c r="AI610" s="65"/>
      <c r="AJ610" s="65"/>
      <c r="AK610" s="98">
        <f t="shared" si="94"/>
        <v>6.08</v>
      </c>
      <c r="AL610" s="96">
        <f>AK610</f>
        <v>6.08</v>
      </c>
      <c r="AM610" s="97"/>
      <c r="AN610" s="582">
        <f>SUM(AL610:AM611)</f>
        <v>6.08</v>
      </c>
      <c r="AO610" s="3"/>
      <c r="AP610" s="3"/>
      <c r="AQ610" s="3"/>
      <c r="AR610" s="3"/>
      <c r="AS610" s="3"/>
    </row>
    <row r="611" spans="3:45" ht="12.75" x14ac:dyDescent="0.2">
      <c r="C611" s="580"/>
      <c r="D611" s="577"/>
      <c r="E611" s="62" t="s">
        <v>19</v>
      </c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128">
        <f t="shared" si="94"/>
        <v>0</v>
      </c>
      <c r="AL611" s="93"/>
      <c r="AM611" s="94">
        <f>AK611</f>
        <v>0</v>
      </c>
      <c r="AN611" s="583"/>
      <c r="AO611" s="3"/>
      <c r="AP611" s="3"/>
      <c r="AQ611" s="3"/>
      <c r="AR611" s="3"/>
      <c r="AS611" s="3"/>
    </row>
    <row r="612" spans="3:45" ht="12.75" x14ac:dyDescent="0.2">
      <c r="C612" s="580"/>
      <c r="D612" s="591" t="s">
        <v>49</v>
      </c>
      <c r="E612" s="65" t="s">
        <v>18</v>
      </c>
      <c r="F612" s="70">
        <v>3.5</v>
      </c>
      <c r="G612" s="70">
        <v>3.5</v>
      </c>
      <c r="H612" s="72"/>
      <c r="I612" s="72"/>
      <c r="J612" s="87">
        <v>3.9</v>
      </c>
      <c r="K612" s="87">
        <v>3.5</v>
      </c>
      <c r="L612" s="70">
        <v>3.5</v>
      </c>
      <c r="M612" s="72">
        <f>3.5+5</f>
        <v>8.5</v>
      </c>
      <c r="N612" s="65"/>
      <c r="O612" s="87">
        <v>3.5</v>
      </c>
      <c r="P612" s="65"/>
      <c r="Q612" s="87">
        <v>3.5</v>
      </c>
      <c r="R612" s="72">
        <f>10+4.3</f>
        <v>14.3</v>
      </c>
      <c r="S612" s="72">
        <f>3.5+7</f>
        <v>10.5</v>
      </c>
      <c r="T612" s="70">
        <v>7</v>
      </c>
      <c r="U612" s="70">
        <f>7+1.83</f>
        <v>8.83</v>
      </c>
      <c r="V612" s="70">
        <v>3.5</v>
      </c>
      <c r="W612" s="65"/>
      <c r="X612" s="72"/>
      <c r="Y612" s="70">
        <v>3.5</v>
      </c>
      <c r="Z612" s="72">
        <f>2.33</f>
        <v>2.33</v>
      </c>
      <c r="AA612" s="70">
        <f>8.5</f>
        <v>8.5</v>
      </c>
      <c r="AB612" s="65">
        <f>7+2.49+(3.19-0.65)</f>
        <v>12.030000000000001</v>
      </c>
      <c r="AC612" s="72"/>
      <c r="AD612" s="70"/>
      <c r="AE612" s="87">
        <v>9</v>
      </c>
      <c r="AF612" s="70">
        <v>3.5</v>
      </c>
      <c r="AG612" s="72"/>
      <c r="AH612" s="72"/>
      <c r="AI612" s="87">
        <v>3.99</v>
      </c>
      <c r="AJ612" s="65"/>
      <c r="AK612" s="98">
        <f t="shared" si="94"/>
        <v>120.38</v>
      </c>
      <c r="AL612" s="96">
        <f>AK612</f>
        <v>120.38</v>
      </c>
      <c r="AM612" s="97"/>
      <c r="AN612" s="582">
        <f>SUM(AL612:AM613)</f>
        <v>157.38</v>
      </c>
      <c r="AO612" s="3"/>
      <c r="AP612" s="3"/>
      <c r="AQ612" s="3"/>
      <c r="AR612" s="3"/>
      <c r="AS612" s="3"/>
    </row>
    <row r="613" spans="3:45" ht="12.75" x14ac:dyDescent="0.2">
      <c r="C613" s="580"/>
      <c r="D613" s="577"/>
      <c r="E613" s="62" t="s">
        <v>19</v>
      </c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91">
        <v>3.5</v>
      </c>
      <c r="Q613" s="91"/>
      <c r="R613" s="91">
        <v>5</v>
      </c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91">
        <v>5</v>
      </c>
      <c r="AD613" s="91">
        <v>5</v>
      </c>
      <c r="AE613" s="62"/>
      <c r="AF613" s="62"/>
      <c r="AG613" s="91">
        <v>5</v>
      </c>
      <c r="AH613" s="91">
        <v>10</v>
      </c>
      <c r="AI613" s="62"/>
      <c r="AJ613" s="91">
        <v>3.5</v>
      </c>
      <c r="AK613" s="128">
        <f t="shared" si="94"/>
        <v>37</v>
      </c>
      <c r="AL613" s="93"/>
      <c r="AM613" s="94">
        <f>AK613</f>
        <v>37</v>
      </c>
      <c r="AN613" s="583"/>
      <c r="AO613" s="3"/>
      <c r="AP613" s="3"/>
      <c r="AQ613" s="3"/>
      <c r="AR613" s="3"/>
      <c r="AS613" s="3"/>
    </row>
    <row r="614" spans="3:45" ht="12.75" x14ac:dyDescent="0.2">
      <c r="C614" s="580"/>
      <c r="D614" s="592" t="s">
        <v>50</v>
      </c>
      <c r="E614" s="65" t="s">
        <v>18</v>
      </c>
      <c r="F614" s="87">
        <v>6.3</v>
      </c>
      <c r="G614" s="70">
        <v>6.3</v>
      </c>
      <c r="H614" s="70">
        <v>12.6</v>
      </c>
      <c r="I614" s="70">
        <v>6.3</v>
      </c>
      <c r="J614" s="72">
        <f>4.1+6.3</f>
        <v>10.399999999999999</v>
      </c>
      <c r="K614" s="70">
        <v>6.3</v>
      </c>
      <c r="L614" s="70">
        <v>6.3</v>
      </c>
      <c r="M614" s="70">
        <f>12.6+0.07</f>
        <v>12.67</v>
      </c>
      <c r="N614" s="87">
        <v>6.3</v>
      </c>
      <c r="O614" s="70">
        <v>6.3</v>
      </c>
      <c r="P614" s="70">
        <v>6.3</v>
      </c>
      <c r="Q614" s="65"/>
      <c r="R614" s="72"/>
      <c r="S614" s="70">
        <v>12.6</v>
      </c>
      <c r="T614" s="70">
        <v>6.38</v>
      </c>
      <c r="U614" s="72"/>
      <c r="V614" s="70">
        <v>31.5</v>
      </c>
      <c r="W614" s="72"/>
      <c r="X614" s="72"/>
      <c r="Y614" s="70">
        <v>12.6</v>
      </c>
      <c r="Z614" s="65"/>
      <c r="AA614" s="87">
        <v>6.3</v>
      </c>
      <c r="AB614" s="72"/>
      <c r="AC614" s="72"/>
      <c r="AD614" s="70">
        <v>6.3</v>
      </c>
      <c r="AE614" s="87">
        <v>12.6</v>
      </c>
      <c r="AF614" s="70">
        <v>6.3</v>
      </c>
      <c r="AG614" s="72"/>
      <c r="AH614" s="72"/>
      <c r="AI614" s="87">
        <v>2.6</v>
      </c>
      <c r="AJ614" s="65"/>
      <c r="AK614" s="98">
        <f t="shared" si="94"/>
        <v>183.24999999999997</v>
      </c>
      <c r="AL614" s="96">
        <f>AK614</f>
        <v>183.24999999999997</v>
      </c>
      <c r="AM614" s="97"/>
      <c r="AN614" s="582">
        <f>SUM(AL614:AM615)</f>
        <v>218.45</v>
      </c>
      <c r="AO614" s="3"/>
      <c r="AP614" s="3"/>
      <c r="AQ614" s="3"/>
      <c r="AR614" s="3"/>
      <c r="AS614" s="3"/>
    </row>
    <row r="615" spans="3:45" ht="12.75" x14ac:dyDescent="0.2">
      <c r="C615" s="580"/>
      <c r="D615" s="577"/>
      <c r="E615" s="62" t="s">
        <v>19</v>
      </c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91">
        <v>12.6</v>
      </c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91">
        <v>6.3</v>
      </c>
      <c r="AH615" s="91">
        <v>6.3</v>
      </c>
      <c r="AI615" s="91">
        <v>10</v>
      </c>
      <c r="AJ615" s="62"/>
      <c r="AK615" s="128">
        <f t="shared" si="94"/>
        <v>35.200000000000003</v>
      </c>
      <c r="AL615" s="93"/>
      <c r="AM615" s="94">
        <f>AK615</f>
        <v>35.200000000000003</v>
      </c>
      <c r="AN615" s="583"/>
      <c r="AO615" s="3"/>
      <c r="AP615" s="3"/>
      <c r="AQ615" s="3"/>
      <c r="AR615" s="3"/>
      <c r="AS615" s="3"/>
    </row>
    <row r="616" spans="3:45" ht="12.75" x14ac:dyDescent="0.2">
      <c r="C616" s="580"/>
      <c r="D616" s="592" t="s">
        <v>1</v>
      </c>
      <c r="E616" s="65" t="s">
        <v>18</v>
      </c>
      <c r="F616" s="72"/>
      <c r="G616" s="65"/>
      <c r="H616" s="65"/>
      <c r="I616" s="65"/>
      <c r="J616" s="72"/>
      <c r="K616" s="65"/>
      <c r="L616" s="65"/>
      <c r="M616" s="65"/>
      <c r="N616" s="65"/>
      <c r="O616" s="65"/>
      <c r="P616" s="65"/>
      <c r="Q616" s="87">
        <v>36.14</v>
      </c>
      <c r="R616" s="65"/>
      <c r="S616" s="72"/>
      <c r="T616" s="65"/>
      <c r="U616" s="65"/>
      <c r="V616" s="65"/>
      <c r="W616" s="65"/>
      <c r="X616" s="65"/>
      <c r="Y616" s="65"/>
      <c r="Z616" s="72"/>
      <c r="AA616" s="65"/>
      <c r="AB616" s="65"/>
      <c r="AC616" s="65"/>
      <c r="AD616" s="65"/>
      <c r="AE616" s="65">
        <f>(4.25*3)+5.29+5.29</f>
        <v>23.33</v>
      </c>
      <c r="AF616" s="65"/>
      <c r="AG616" s="65"/>
      <c r="AH616" s="65"/>
      <c r="AI616" s="65"/>
      <c r="AJ616" s="65"/>
      <c r="AK616" s="98">
        <f t="shared" si="94"/>
        <v>59.47</v>
      </c>
      <c r="AL616" s="89">
        <f>AK616</f>
        <v>59.47</v>
      </c>
      <c r="AM616" s="62"/>
      <c r="AN616" s="582">
        <f>SUM(AL616:AM617)</f>
        <v>59.47</v>
      </c>
      <c r="AO616" s="3"/>
      <c r="AP616" s="3"/>
      <c r="AQ616" s="3"/>
      <c r="AR616" s="3"/>
      <c r="AS616" s="3"/>
    </row>
    <row r="617" spans="3:45" ht="12.75" x14ac:dyDescent="0.2">
      <c r="C617" s="580"/>
      <c r="D617" s="577"/>
      <c r="E617" s="62" t="s">
        <v>19</v>
      </c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128">
        <f t="shared" si="94"/>
        <v>0</v>
      </c>
      <c r="AL617" s="114"/>
      <c r="AM617" s="66">
        <f>AK617</f>
        <v>0</v>
      </c>
      <c r="AN617" s="583"/>
      <c r="AO617" s="3"/>
      <c r="AP617" s="3"/>
      <c r="AQ617" s="3"/>
      <c r="AR617" s="3"/>
      <c r="AS617" s="3"/>
    </row>
    <row r="618" spans="3:45" ht="12.75" x14ac:dyDescent="0.2">
      <c r="C618" s="580"/>
      <c r="D618" s="576" t="s">
        <v>51</v>
      </c>
      <c r="E618" s="65" t="s">
        <v>18</v>
      </c>
      <c r="F618" s="65"/>
      <c r="G618" s="65"/>
      <c r="H618" s="65"/>
      <c r="I618" s="72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98">
        <f t="shared" si="94"/>
        <v>0</v>
      </c>
      <c r="AL618" s="96">
        <f>AK618</f>
        <v>0</v>
      </c>
      <c r="AM618" s="97"/>
      <c r="AN618" s="586">
        <f>SUM(AL618:AM619)</f>
        <v>26.1</v>
      </c>
      <c r="AO618" s="3"/>
      <c r="AP618" s="3"/>
      <c r="AQ618" s="3"/>
      <c r="AR618" s="3"/>
      <c r="AS618" s="3"/>
    </row>
    <row r="619" spans="3:45" ht="12.75" x14ac:dyDescent="0.2">
      <c r="C619" s="580"/>
      <c r="D619" s="577"/>
      <c r="E619" s="62" t="s">
        <v>19</v>
      </c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91">
        <v>26.1</v>
      </c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128">
        <f t="shared" si="94"/>
        <v>26.1</v>
      </c>
      <c r="AL619" s="93"/>
      <c r="AM619" s="94">
        <f>AK619</f>
        <v>26.1</v>
      </c>
      <c r="AN619" s="583"/>
      <c r="AO619" s="3"/>
      <c r="AP619" s="3"/>
      <c r="AQ619" s="3"/>
      <c r="AR619" s="3"/>
      <c r="AS619" s="3"/>
    </row>
    <row r="620" spans="3:45" ht="12.75" x14ac:dyDescent="0.2">
      <c r="C620" s="580"/>
      <c r="D620" s="576" t="s">
        <v>52</v>
      </c>
      <c r="E620" s="65" t="s">
        <v>18</v>
      </c>
      <c r="F620" s="65"/>
      <c r="G620" s="65"/>
      <c r="H620" s="65"/>
      <c r="I620" s="65"/>
      <c r="J620" s="65"/>
      <c r="K620" s="65"/>
      <c r="L620" s="65"/>
      <c r="M620" s="72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8"/>
      <c r="AK620" s="98">
        <f t="shared" si="94"/>
        <v>0</v>
      </c>
      <c r="AL620" s="96">
        <f>AK620</f>
        <v>0</v>
      </c>
      <c r="AM620" s="97"/>
      <c r="AN620" s="582">
        <f>SUM(AL620:AM621)</f>
        <v>0</v>
      </c>
      <c r="AO620" s="3"/>
      <c r="AP620" s="3"/>
      <c r="AQ620" s="3"/>
      <c r="AR620" s="3"/>
      <c r="AS620" s="3"/>
    </row>
    <row r="621" spans="3:45" ht="12.75" x14ac:dyDescent="0.2">
      <c r="C621" s="581"/>
      <c r="D621" s="585"/>
      <c r="E621" s="62" t="s">
        <v>19</v>
      </c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1"/>
      <c r="AK621" s="128">
        <f t="shared" si="94"/>
        <v>0</v>
      </c>
      <c r="AL621" s="93"/>
      <c r="AM621" s="94">
        <f>AK621</f>
        <v>0</v>
      </c>
      <c r="AN621" s="583"/>
      <c r="AO621" s="3"/>
      <c r="AP621" s="3"/>
      <c r="AQ621" s="3"/>
      <c r="AR621" s="3"/>
      <c r="AS621" s="3"/>
    </row>
    <row r="622" spans="3:45" ht="12.75" x14ac:dyDescent="0.2">
      <c r="C622" s="594" t="s">
        <v>53</v>
      </c>
      <c r="D622" s="115" t="s">
        <v>54</v>
      </c>
      <c r="E622" s="105" t="s">
        <v>18</v>
      </c>
      <c r="F622" s="105"/>
      <c r="G622" s="105">
        <f>47+5+65</f>
        <v>117</v>
      </c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8"/>
      <c r="S622" s="105"/>
      <c r="T622" s="105"/>
      <c r="U622" s="109">
        <v>5.58</v>
      </c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8"/>
      <c r="AF622" s="108"/>
      <c r="AG622" s="105"/>
      <c r="AH622" s="105"/>
      <c r="AI622" s="105"/>
      <c r="AJ622" s="103"/>
      <c r="AK622" s="98">
        <f t="shared" si="94"/>
        <v>122.58</v>
      </c>
      <c r="AL622" s="72">
        <f t="shared" ref="AL622:AL623" si="97">AK622</f>
        <v>122.58</v>
      </c>
      <c r="AM622" s="62"/>
      <c r="AN622" s="29">
        <f>AL622</f>
        <v>122.58</v>
      </c>
      <c r="AO622" s="3"/>
      <c r="AP622" s="3"/>
      <c r="AQ622" s="3"/>
      <c r="AR622" s="3"/>
      <c r="AS622" s="3"/>
    </row>
    <row r="623" spans="3:45" ht="12.75" x14ac:dyDescent="0.2">
      <c r="C623" s="580"/>
      <c r="D623" s="584" t="s">
        <v>55</v>
      </c>
      <c r="E623" s="65" t="s">
        <v>18</v>
      </c>
      <c r="F623" s="65"/>
      <c r="G623" s="65"/>
      <c r="H623" s="72"/>
      <c r="I623" s="65"/>
      <c r="J623" s="65"/>
      <c r="K623" s="72"/>
      <c r="L623" s="65"/>
      <c r="M623" s="72"/>
      <c r="N623" s="87">
        <v>27.21</v>
      </c>
      <c r="O623" s="87">
        <v>157.9</v>
      </c>
      <c r="P623" s="87">
        <v>9.92</v>
      </c>
      <c r="Q623" s="65"/>
      <c r="R623" s="65"/>
      <c r="S623" s="65"/>
      <c r="T623" s="65"/>
      <c r="U623" s="87">
        <v>60.21</v>
      </c>
      <c r="V623" s="65"/>
      <c r="W623" s="65"/>
      <c r="X623" s="65"/>
      <c r="Y623" s="65"/>
      <c r="Z623" s="65"/>
      <c r="AA623" s="72"/>
      <c r="AB623" s="65"/>
      <c r="AC623" s="65"/>
      <c r="AD623" s="65"/>
      <c r="AE623" s="65"/>
      <c r="AF623" s="87">
        <v>416.33</v>
      </c>
      <c r="AG623" s="87">
        <v>19.52</v>
      </c>
      <c r="AH623" s="65"/>
      <c r="AI623" s="65"/>
      <c r="AJ623" s="68"/>
      <c r="AK623" s="98">
        <f t="shared" si="94"/>
        <v>691.08999999999992</v>
      </c>
      <c r="AL623" s="96">
        <f t="shared" si="97"/>
        <v>691.08999999999992</v>
      </c>
      <c r="AM623" s="97"/>
      <c r="AN623" s="582">
        <f>SUM(AL623:AM624)</f>
        <v>691.08999999999992</v>
      </c>
      <c r="AO623" s="3"/>
      <c r="AP623" s="3"/>
      <c r="AQ623" s="3"/>
      <c r="AR623" s="3"/>
      <c r="AS623" s="3"/>
    </row>
    <row r="624" spans="3:45" ht="12.75" x14ac:dyDescent="0.2">
      <c r="C624" s="580"/>
      <c r="D624" s="577"/>
      <c r="E624" s="62" t="s">
        <v>19</v>
      </c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1"/>
      <c r="AK624" s="128">
        <f t="shared" si="94"/>
        <v>0</v>
      </c>
      <c r="AL624" s="93"/>
      <c r="AM624" s="94">
        <f>AK624</f>
        <v>0</v>
      </c>
      <c r="AN624" s="583"/>
      <c r="AO624" s="3"/>
      <c r="AP624" s="3"/>
      <c r="AQ624" s="3"/>
      <c r="AR624" s="3"/>
      <c r="AS624" s="3"/>
    </row>
    <row r="625" spans="3:45" ht="12.75" x14ac:dyDescent="0.2">
      <c r="C625" s="580"/>
      <c r="D625" s="584" t="s">
        <v>56</v>
      </c>
      <c r="E625" s="65" t="s">
        <v>18</v>
      </c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8"/>
      <c r="AK625" s="98">
        <f t="shared" si="94"/>
        <v>0</v>
      </c>
      <c r="AL625" s="96">
        <f>AK625</f>
        <v>0</v>
      </c>
      <c r="AM625" s="97"/>
      <c r="AN625" s="582">
        <f>SUM(AL625:AM626)</f>
        <v>0</v>
      </c>
      <c r="AO625" s="3"/>
      <c r="AP625" s="3"/>
      <c r="AQ625" s="3"/>
      <c r="AR625" s="3"/>
      <c r="AS625" s="3"/>
    </row>
    <row r="626" spans="3:45" ht="12.75" x14ac:dyDescent="0.2">
      <c r="C626" s="580"/>
      <c r="D626" s="577"/>
      <c r="E626" s="62" t="s">
        <v>19</v>
      </c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1"/>
      <c r="AK626" s="128">
        <f t="shared" si="94"/>
        <v>0</v>
      </c>
      <c r="AL626" s="93"/>
      <c r="AM626" s="94">
        <f>AK626</f>
        <v>0</v>
      </c>
      <c r="AN626" s="583"/>
      <c r="AO626" s="3"/>
      <c r="AP626" s="3"/>
      <c r="AQ626" s="3"/>
      <c r="AR626" s="3"/>
      <c r="AS626" s="3"/>
    </row>
    <row r="627" spans="3:45" ht="12.75" x14ac:dyDescent="0.2">
      <c r="C627" s="580"/>
      <c r="D627" s="584" t="s">
        <v>57</v>
      </c>
      <c r="E627" s="65" t="s">
        <v>18</v>
      </c>
      <c r="F627" s="65"/>
      <c r="G627" s="65"/>
      <c r="H627" s="65"/>
      <c r="I627" s="65"/>
      <c r="J627" s="65"/>
      <c r="K627" s="65"/>
      <c r="L627" s="65"/>
      <c r="M627" s="87">
        <v>50.97</v>
      </c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8"/>
      <c r="AK627" s="98">
        <f t="shared" si="94"/>
        <v>50.97</v>
      </c>
      <c r="AL627" s="96">
        <f>AK627</f>
        <v>50.97</v>
      </c>
      <c r="AM627" s="97"/>
      <c r="AN627" s="582">
        <f>SUM(AL627:AM628)</f>
        <v>50.97</v>
      </c>
      <c r="AO627" s="3"/>
      <c r="AP627" s="3"/>
      <c r="AQ627" s="3"/>
      <c r="AR627" s="3"/>
      <c r="AS627" s="3"/>
    </row>
    <row r="628" spans="3:45" ht="12.75" x14ac:dyDescent="0.2">
      <c r="C628" s="581"/>
      <c r="D628" s="585"/>
      <c r="E628" s="284" t="s">
        <v>19</v>
      </c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  <c r="AA628" s="284"/>
      <c r="AB628" s="284"/>
      <c r="AC628" s="284"/>
      <c r="AD628" s="284"/>
      <c r="AE628" s="284"/>
      <c r="AF628" s="284"/>
      <c r="AG628" s="284"/>
      <c r="AH628" s="284"/>
      <c r="AI628" s="284"/>
      <c r="AJ628" s="100"/>
      <c r="AK628" s="128">
        <f t="shared" si="94"/>
        <v>0</v>
      </c>
      <c r="AL628" s="93"/>
      <c r="AM628" s="94">
        <f>AK628</f>
        <v>0</v>
      </c>
      <c r="AN628" s="583"/>
      <c r="AO628" s="3"/>
      <c r="AP628" s="3"/>
      <c r="AQ628" s="3"/>
      <c r="AR628" s="3"/>
      <c r="AS628" s="3"/>
    </row>
    <row r="629" spans="3:45" ht="12.75" x14ac:dyDescent="0.2">
      <c r="C629" s="594" t="s">
        <v>58</v>
      </c>
      <c r="D629" s="604" t="s">
        <v>59</v>
      </c>
      <c r="E629" s="105" t="s">
        <v>18</v>
      </c>
      <c r="F629" s="105"/>
      <c r="G629" s="105"/>
      <c r="H629" s="105"/>
      <c r="I629" s="105"/>
      <c r="J629" s="105"/>
      <c r="K629" s="108"/>
      <c r="L629" s="105"/>
      <c r="M629" s="108"/>
      <c r="N629" s="105"/>
      <c r="O629" s="105"/>
      <c r="P629" s="105"/>
      <c r="Q629" s="109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8"/>
      <c r="AE629" s="105"/>
      <c r="AF629" s="105"/>
      <c r="AG629" s="105"/>
      <c r="AH629" s="105"/>
      <c r="AI629" s="105"/>
      <c r="AJ629" s="103"/>
      <c r="AK629" s="98">
        <f t="shared" si="94"/>
        <v>0</v>
      </c>
      <c r="AL629" s="96">
        <f>AK629</f>
        <v>0</v>
      </c>
      <c r="AM629" s="97"/>
      <c r="AN629" s="616">
        <f>SUM(AL629:AM630)</f>
        <v>50</v>
      </c>
      <c r="AO629" s="3"/>
      <c r="AP629" s="3"/>
      <c r="AQ629" s="3"/>
      <c r="AR629" s="3"/>
      <c r="AS629" s="3"/>
    </row>
    <row r="630" spans="3:45" ht="12.75" x14ac:dyDescent="0.2">
      <c r="C630" s="580"/>
      <c r="D630" s="577"/>
      <c r="E630" s="62" t="s">
        <v>19</v>
      </c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91">
        <v>50</v>
      </c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1"/>
      <c r="AK630" s="128">
        <f t="shared" si="94"/>
        <v>50</v>
      </c>
      <c r="AL630" s="93"/>
      <c r="AM630" s="94">
        <f>AK630</f>
        <v>50</v>
      </c>
      <c r="AN630" s="585"/>
      <c r="AO630" s="3"/>
      <c r="AP630" s="3"/>
      <c r="AQ630" s="3"/>
      <c r="AR630" s="3"/>
      <c r="AS630" s="3"/>
    </row>
    <row r="631" spans="3:45" ht="12.75" x14ac:dyDescent="0.2">
      <c r="C631" s="580"/>
      <c r="D631" s="584" t="s">
        <v>60</v>
      </c>
      <c r="E631" s="65" t="s">
        <v>18</v>
      </c>
      <c r="F631" s="65"/>
      <c r="G631" s="65"/>
      <c r="H631" s="65"/>
      <c r="I631" s="65"/>
      <c r="J631" s="72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87">
        <v>170</v>
      </c>
      <c r="AF631" s="65"/>
      <c r="AG631" s="65"/>
      <c r="AH631" s="65"/>
      <c r="AI631" s="65"/>
      <c r="AJ631" s="68"/>
      <c r="AK631" s="98">
        <f t="shared" si="94"/>
        <v>170</v>
      </c>
      <c r="AL631" s="89">
        <f>AK631</f>
        <v>170</v>
      </c>
      <c r="AM631" s="62"/>
      <c r="AN631" s="582">
        <f>SUM(AL631:AM632)</f>
        <v>170</v>
      </c>
      <c r="AO631" s="3"/>
      <c r="AP631" s="3"/>
      <c r="AQ631" s="3"/>
      <c r="AR631" s="3"/>
      <c r="AS631" s="3"/>
    </row>
    <row r="632" spans="3:45" ht="12.75" x14ac:dyDescent="0.2">
      <c r="C632" s="580"/>
      <c r="D632" s="577"/>
      <c r="E632" s="62" t="s">
        <v>19</v>
      </c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1"/>
      <c r="AK632" s="128">
        <f t="shared" si="94"/>
        <v>0</v>
      </c>
      <c r="AL632" s="114"/>
      <c r="AM632" s="66">
        <f>AK632</f>
        <v>0</v>
      </c>
      <c r="AN632" s="583"/>
      <c r="AO632" s="3"/>
      <c r="AP632" s="3"/>
      <c r="AQ632" s="3"/>
      <c r="AR632" s="3"/>
      <c r="AS632" s="3"/>
    </row>
    <row r="633" spans="3:45" ht="12.75" x14ac:dyDescent="0.2">
      <c r="C633" s="580"/>
      <c r="D633" s="584" t="s">
        <v>61</v>
      </c>
      <c r="E633" s="65" t="s">
        <v>18</v>
      </c>
      <c r="F633" s="65"/>
      <c r="G633" s="65"/>
      <c r="H633" s="65">
        <f>58+66+13</f>
        <v>137</v>
      </c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72"/>
      <c r="T633" s="65"/>
      <c r="U633" s="65"/>
      <c r="V633" s="65"/>
      <c r="W633" s="65"/>
      <c r="X633" s="72"/>
      <c r="Y633" s="65"/>
      <c r="Z633" s="65"/>
      <c r="AA633" s="65"/>
      <c r="AB633" s="65"/>
      <c r="AC633" s="65"/>
      <c r="AD633" s="65"/>
      <c r="AE633" s="87">
        <v>37.5</v>
      </c>
      <c r="AF633" s="65"/>
      <c r="AG633" s="65"/>
      <c r="AH633" s="65"/>
      <c r="AI633" s="65"/>
      <c r="AJ633" s="68"/>
      <c r="AK633" s="88">
        <f t="shared" si="94"/>
        <v>174.5</v>
      </c>
      <c r="AL633" s="96">
        <f>AK633</f>
        <v>174.5</v>
      </c>
      <c r="AM633" s="97"/>
      <c r="AN633" s="616">
        <f>SUM(AL633:AM634)</f>
        <v>174.5</v>
      </c>
      <c r="AO633" s="3"/>
      <c r="AP633" s="3"/>
      <c r="AQ633" s="3"/>
      <c r="AR633" s="3"/>
      <c r="AS633" s="3"/>
    </row>
    <row r="634" spans="3:45" ht="12.75" x14ac:dyDescent="0.2">
      <c r="C634" s="580"/>
      <c r="D634" s="577"/>
      <c r="E634" s="62" t="s">
        <v>19</v>
      </c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1"/>
      <c r="AK634" s="92">
        <f t="shared" si="94"/>
        <v>0</v>
      </c>
      <c r="AL634" s="93"/>
      <c r="AM634" s="94">
        <f>AK634</f>
        <v>0</v>
      </c>
      <c r="AN634" s="585"/>
      <c r="AO634" s="3"/>
      <c r="AP634" s="3"/>
      <c r="AQ634" s="3"/>
      <c r="AR634" s="3"/>
      <c r="AS634" s="3"/>
    </row>
    <row r="635" spans="3:45" ht="12.75" x14ac:dyDescent="0.2">
      <c r="C635" s="580"/>
      <c r="D635" s="584" t="s">
        <v>62</v>
      </c>
      <c r="E635" s="65" t="s">
        <v>18</v>
      </c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8"/>
      <c r="AK635" s="88">
        <f t="shared" si="94"/>
        <v>0</v>
      </c>
      <c r="AL635" s="96">
        <f>AK635</f>
        <v>0</v>
      </c>
      <c r="AM635" s="97"/>
      <c r="AN635" s="582">
        <f>SUM(AL635:AM636)</f>
        <v>0</v>
      </c>
      <c r="AO635" s="3"/>
      <c r="AP635" s="3"/>
      <c r="AQ635" s="3"/>
      <c r="AR635" s="3"/>
      <c r="AS635" s="3"/>
    </row>
    <row r="636" spans="3:45" ht="12.75" x14ac:dyDescent="0.2">
      <c r="C636" s="581"/>
      <c r="D636" s="577"/>
      <c r="E636" s="62" t="s">
        <v>19</v>
      </c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1"/>
      <c r="AK636" s="92">
        <f t="shared" si="94"/>
        <v>0</v>
      </c>
      <c r="AL636" s="93"/>
      <c r="AM636" s="94">
        <f>AK636</f>
        <v>0</v>
      </c>
      <c r="AN636" s="583"/>
      <c r="AO636" s="3"/>
      <c r="AP636" s="3"/>
      <c r="AQ636" s="3"/>
      <c r="AR636" s="3"/>
      <c r="AS636" s="3"/>
    </row>
    <row r="637" spans="3:45" ht="12.75" x14ac:dyDescent="0.2">
      <c r="C637" s="594" t="s">
        <v>63</v>
      </c>
      <c r="D637" s="604" t="s">
        <v>64</v>
      </c>
      <c r="E637" s="105" t="s">
        <v>18</v>
      </c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9">
        <v>35</v>
      </c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3"/>
      <c r="AK637" s="98">
        <f t="shared" si="94"/>
        <v>35</v>
      </c>
      <c r="AL637" s="108">
        <f>AK637</f>
        <v>35</v>
      </c>
      <c r="AM637" s="97"/>
      <c r="AN637" s="582">
        <f>SUM(AL637:AM638)</f>
        <v>35</v>
      </c>
      <c r="AO637" s="3"/>
      <c r="AP637" s="3"/>
      <c r="AQ637" s="3"/>
      <c r="AR637" s="3"/>
      <c r="AS637" s="3"/>
    </row>
    <row r="638" spans="3:45" ht="12.75" x14ac:dyDescent="0.2">
      <c r="C638" s="580"/>
      <c r="D638" s="577"/>
      <c r="E638" s="62" t="s">
        <v>19</v>
      </c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1"/>
      <c r="AK638" s="128">
        <f t="shared" si="94"/>
        <v>0</v>
      </c>
      <c r="AL638" s="93"/>
      <c r="AM638" s="94">
        <f>AK638</f>
        <v>0</v>
      </c>
      <c r="AN638" s="583"/>
      <c r="AO638" s="3"/>
      <c r="AP638" s="3"/>
      <c r="AQ638" s="3"/>
      <c r="AR638" s="3"/>
      <c r="AS638" s="3"/>
    </row>
    <row r="639" spans="3:45" ht="12.75" x14ac:dyDescent="0.2">
      <c r="C639" s="580"/>
      <c r="D639" s="584" t="s">
        <v>65</v>
      </c>
      <c r="E639" s="65" t="s">
        <v>18</v>
      </c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8"/>
      <c r="AK639" s="98">
        <f t="shared" si="94"/>
        <v>0</v>
      </c>
      <c r="AL639" s="96">
        <f>AK639</f>
        <v>0</v>
      </c>
      <c r="AM639" s="97"/>
      <c r="AN639" s="582">
        <f>SUM(AL639:AM640)</f>
        <v>30</v>
      </c>
      <c r="AO639" s="3"/>
      <c r="AP639" s="3"/>
      <c r="AQ639" s="3"/>
      <c r="AR639" s="3"/>
      <c r="AS639" s="3"/>
    </row>
    <row r="640" spans="3:45" ht="12.75" x14ac:dyDescent="0.2">
      <c r="C640" s="581"/>
      <c r="D640" s="585"/>
      <c r="E640" s="284" t="s">
        <v>19</v>
      </c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6">
        <v>30</v>
      </c>
      <c r="U640" s="284"/>
      <c r="V640" s="284"/>
      <c r="W640" s="284"/>
      <c r="X640" s="284"/>
      <c r="Y640" s="284"/>
      <c r="Z640" s="284"/>
      <c r="AA640" s="284"/>
      <c r="AB640" s="284"/>
      <c r="AC640" s="284"/>
      <c r="AD640" s="284"/>
      <c r="AE640" s="284"/>
      <c r="AF640" s="284"/>
      <c r="AG640" s="284"/>
      <c r="AH640" s="284"/>
      <c r="AI640" s="284"/>
      <c r="AJ640" s="100"/>
      <c r="AK640" s="317">
        <f t="shared" si="94"/>
        <v>30</v>
      </c>
      <c r="AL640" s="93"/>
      <c r="AM640" s="94">
        <f>AK640</f>
        <v>30</v>
      </c>
      <c r="AN640" s="583"/>
      <c r="AO640" s="3"/>
      <c r="AP640" s="3"/>
      <c r="AQ640" s="3"/>
      <c r="AR640" s="3"/>
      <c r="AS640" s="3"/>
    </row>
    <row r="641" spans="3:45" ht="12.75" x14ac:dyDescent="0.2">
      <c r="C641" s="246" t="s">
        <v>32</v>
      </c>
      <c r="D641" s="62"/>
      <c r="E641" s="62"/>
      <c r="F641" s="66">
        <f t="shared" ref="F641:AM641" si="98">SUM(F590:F640)</f>
        <v>34.409999999999997</v>
      </c>
      <c r="G641" s="66">
        <f t="shared" si="98"/>
        <v>184.12</v>
      </c>
      <c r="H641" s="66">
        <f t="shared" si="98"/>
        <v>156.49</v>
      </c>
      <c r="I641" s="66">
        <f t="shared" si="98"/>
        <v>114.61</v>
      </c>
      <c r="J641" s="66">
        <f t="shared" si="98"/>
        <v>21.599999999999998</v>
      </c>
      <c r="K641" s="66">
        <f t="shared" si="98"/>
        <v>107.63999999999999</v>
      </c>
      <c r="L641" s="66">
        <f t="shared" si="98"/>
        <v>46.669999999999995</v>
      </c>
      <c r="M641" s="66">
        <f t="shared" si="98"/>
        <v>100.82</v>
      </c>
      <c r="N641" s="66">
        <f t="shared" si="98"/>
        <v>38.230000000000004</v>
      </c>
      <c r="O641" s="66">
        <f t="shared" si="98"/>
        <v>174.28</v>
      </c>
      <c r="P641" s="66">
        <f t="shared" si="98"/>
        <v>45.769999999999996</v>
      </c>
      <c r="Q641" s="66">
        <f t="shared" si="98"/>
        <v>130.48000000000002</v>
      </c>
      <c r="R641" s="66">
        <f t="shared" si="98"/>
        <v>46.66</v>
      </c>
      <c r="S641" s="66">
        <f t="shared" si="98"/>
        <v>33.020000000000003</v>
      </c>
      <c r="T641" s="66">
        <f t="shared" si="98"/>
        <v>128.73000000000002</v>
      </c>
      <c r="U641" s="66">
        <f t="shared" si="98"/>
        <v>83.8</v>
      </c>
      <c r="V641" s="66">
        <f t="shared" si="98"/>
        <v>95.42</v>
      </c>
      <c r="W641" s="66">
        <f t="shared" si="98"/>
        <v>49</v>
      </c>
      <c r="X641" s="66">
        <f t="shared" si="98"/>
        <v>0</v>
      </c>
      <c r="Y641" s="66">
        <f t="shared" si="98"/>
        <v>30.159999999999997</v>
      </c>
      <c r="Z641" s="66">
        <f t="shared" si="98"/>
        <v>68.66</v>
      </c>
      <c r="AA641" s="66">
        <f t="shared" si="98"/>
        <v>121.17999999999999</v>
      </c>
      <c r="AB641" s="66">
        <f t="shared" si="98"/>
        <v>40.700000000000003</v>
      </c>
      <c r="AC641" s="66">
        <f t="shared" si="98"/>
        <v>5</v>
      </c>
      <c r="AD641" s="66">
        <f t="shared" si="98"/>
        <v>32.380000000000003</v>
      </c>
      <c r="AE641" s="66">
        <f t="shared" si="98"/>
        <v>273.17</v>
      </c>
      <c r="AF641" s="66">
        <f t="shared" si="98"/>
        <v>441.53</v>
      </c>
      <c r="AG641" s="66">
        <f t="shared" si="98"/>
        <v>171.57000000000002</v>
      </c>
      <c r="AH641" s="66">
        <f t="shared" si="98"/>
        <v>84.23</v>
      </c>
      <c r="AI641" s="66">
        <f t="shared" si="98"/>
        <v>92.99</v>
      </c>
      <c r="AJ641" s="66">
        <f t="shared" si="98"/>
        <v>37.17</v>
      </c>
      <c r="AK641" s="131">
        <f t="shared" si="98"/>
        <v>2973.4899999999993</v>
      </c>
      <c r="AL641" s="72">
        <f t="shared" si="98"/>
        <v>2667.1899999999996</v>
      </c>
      <c r="AM641" s="66">
        <f t="shared" si="98"/>
        <v>323.29999999999995</v>
      </c>
      <c r="AN641" s="3"/>
      <c r="AO641" s="3"/>
      <c r="AP641" s="3"/>
      <c r="AQ641" s="3"/>
      <c r="AR641" s="3"/>
      <c r="AS641" s="3"/>
    </row>
    <row r="643" spans="3:45" ht="12.75" x14ac:dyDescent="0.2">
      <c r="C643" s="3"/>
      <c r="D643" s="3"/>
      <c r="E643" s="3"/>
      <c r="F643" s="578" t="s">
        <v>74</v>
      </c>
      <c r="G643" s="577"/>
      <c r="H643" s="577"/>
      <c r="I643" s="577"/>
      <c r="J643" s="577"/>
      <c r="K643" s="577"/>
      <c r="L643" s="577"/>
      <c r="M643" s="577"/>
      <c r="N643" s="577"/>
      <c r="O643" s="577"/>
      <c r="P643" s="577"/>
      <c r="Q643" s="577"/>
      <c r="R643" s="577"/>
      <c r="S643" s="577"/>
      <c r="T643" s="577"/>
      <c r="U643" s="577"/>
      <c r="V643" s="577"/>
      <c r="W643" s="577"/>
      <c r="X643" s="577"/>
      <c r="Y643" s="577"/>
      <c r="Z643" s="577"/>
      <c r="AA643" s="577"/>
      <c r="AB643" s="577"/>
      <c r="AC643" s="577"/>
      <c r="AD643" s="577"/>
      <c r="AE643" s="577"/>
      <c r="AF643" s="577"/>
      <c r="AG643" s="577"/>
      <c r="AH643" s="577"/>
      <c r="AI643" s="577"/>
      <c r="AJ643" s="577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3:45" ht="12.75" x14ac:dyDescent="0.2">
      <c r="C644" s="3"/>
      <c r="D644" s="3"/>
      <c r="E644" s="5" t="s">
        <v>9</v>
      </c>
      <c r="F644" s="4" t="s">
        <v>10</v>
      </c>
      <c r="G644" s="4" t="s">
        <v>11</v>
      </c>
      <c r="H644" s="4" t="s">
        <v>12</v>
      </c>
      <c r="I644" s="4" t="s">
        <v>13</v>
      </c>
      <c r="J644" s="4" t="s">
        <v>14</v>
      </c>
      <c r="K644" s="4" t="s">
        <v>15</v>
      </c>
      <c r="L644" s="4" t="s">
        <v>16</v>
      </c>
      <c r="M644" s="4" t="s">
        <v>10</v>
      </c>
      <c r="N644" s="4" t="s">
        <v>11</v>
      </c>
      <c r="O644" s="4" t="s">
        <v>12</v>
      </c>
      <c r="P644" s="4" t="s">
        <v>13</v>
      </c>
      <c r="Q644" s="4" t="s">
        <v>14</v>
      </c>
      <c r="R644" s="4" t="s">
        <v>15</v>
      </c>
      <c r="S644" s="4" t="s">
        <v>16</v>
      </c>
      <c r="T644" s="4" t="s">
        <v>10</v>
      </c>
      <c r="U644" s="4" t="s">
        <v>11</v>
      </c>
      <c r="V644" s="4" t="s">
        <v>12</v>
      </c>
      <c r="W644" s="4" t="s">
        <v>13</v>
      </c>
      <c r="X644" s="4" t="s">
        <v>14</v>
      </c>
      <c r="Y644" s="4" t="s">
        <v>15</v>
      </c>
      <c r="Z644" s="4" t="s">
        <v>16</v>
      </c>
      <c r="AA644" s="4" t="s">
        <v>10</v>
      </c>
      <c r="AB644" s="4" t="s">
        <v>11</v>
      </c>
      <c r="AC644" s="4" t="s">
        <v>12</v>
      </c>
      <c r="AD644" s="4" t="s">
        <v>13</v>
      </c>
      <c r="AE644" s="4" t="s">
        <v>14</v>
      </c>
      <c r="AF644" s="4" t="s">
        <v>15</v>
      </c>
      <c r="AG644" s="4" t="s">
        <v>16</v>
      </c>
      <c r="AH644" s="4" t="s">
        <v>10</v>
      </c>
      <c r="AI644" s="4" t="s">
        <v>11</v>
      </c>
      <c r="AJ644" s="4"/>
      <c r="AK644" s="9"/>
      <c r="AL644" s="10"/>
      <c r="AM644" s="9"/>
      <c r="AN644" s="11"/>
      <c r="AO644" s="3"/>
      <c r="AP644" s="10"/>
      <c r="AQ644" s="12" t="s">
        <v>17</v>
      </c>
      <c r="AR644" s="12" t="s">
        <v>18</v>
      </c>
      <c r="AS644" s="12" t="s">
        <v>19</v>
      </c>
    </row>
    <row r="645" spans="3:45" ht="12.75" x14ac:dyDescent="0.2">
      <c r="C645" s="3"/>
      <c r="D645" s="3"/>
      <c r="E645" s="5" t="s">
        <v>20</v>
      </c>
      <c r="F645" s="5">
        <v>1</v>
      </c>
      <c r="G645" s="5">
        <v>2</v>
      </c>
      <c r="H645" s="5">
        <v>3</v>
      </c>
      <c r="I645" s="5">
        <v>4</v>
      </c>
      <c r="J645" s="5">
        <v>5</v>
      </c>
      <c r="K645" s="5">
        <v>6</v>
      </c>
      <c r="L645" s="5">
        <v>7</v>
      </c>
      <c r="M645" s="5">
        <v>8</v>
      </c>
      <c r="N645" s="5">
        <v>9</v>
      </c>
      <c r="O645" s="5">
        <v>10</v>
      </c>
      <c r="P645" s="5">
        <v>11</v>
      </c>
      <c r="Q645" s="5">
        <v>12</v>
      </c>
      <c r="R645" s="5">
        <v>13</v>
      </c>
      <c r="S645" s="5">
        <v>14</v>
      </c>
      <c r="T645" s="5">
        <v>15</v>
      </c>
      <c r="U645" s="5">
        <v>16</v>
      </c>
      <c r="V645" s="5">
        <v>17</v>
      </c>
      <c r="W645" s="5">
        <v>18</v>
      </c>
      <c r="X645" s="5">
        <v>19</v>
      </c>
      <c r="Y645" s="5">
        <v>20</v>
      </c>
      <c r="Z645" s="5">
        <v>21</v>
      </c>
      <c r="AA645" s="5">
        <v>22</v>
      </c>
      <c r="AB645" s="5">
        <v>23</v>
      </c>
      <c r="AC645" s="5">
        <v>24</v>
      </c>
      <c r="AD645" s="5">
        <v>25</v>
      </c>
      <c r="AE645" s="5">
        <v>26</v>
      </c>
      <c r="AF645" s="5">
        <v>27</v>
      </c>
      <c r="AG645" s="5">
        <v>28</v>
      </c>
      <c r="AH645" s="5">
        <v>29</v>
      </c>
      <c r="AI645" s="5">
        <v>30</v>
      </c>
      <c r="AJ645" s="19"/>
      <c r="AK645" s="5" t="s">
        <v>21</v>
      </c>
      <c r="AL645" s="10" t="s">
        <v>18</v>
      </c>
      <c r="AM645" s="9" t="s">
        <v>19</v>
      </c>
      <c r="AN645" s="11" t="s">
        <v>22</v>
      </c>
      <c r="AO645" s="3"/>
      <c r="AP645" s="12" t="s">
        <v>23</v>
      </c>
      <c r="AQ645" s="19">
        <f>AK658-AK710</f>
        <v>-676.63000000000034</v>
      </c>
      <c r="AR645" s="19">
        <f t="shared" ref="AR645:AS645" si="99">(AL658-AL710)</f>
        <v>-643.63000000000034</v>
      </c>
      <c r="AS645" s="19">
        <f t="shared" si="99"/>
        <v>-60</v>
      </c>
    </row>
    <row r="646" spans="3:45" ht="12.75" x14ac:dyDescent="0.2">
      <c r="C646" s="579" t="s">
        <v>24</v>
      </c>
      <c r="D646" s="20" t="s">
        <v>25</v>
      </c>
      <c r="E646" s="23" t="s">
        <v>18</v>
      </c>
      <c r="F646" s="23"/>
      <c r="G646" s="274"/>
      <c r="H646" s="23"/>
      <c r="I646" s="23"/>
      <c r="J646" s="24">
        <v>1176</v>
      </c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4">
        <v>630</v>
      </c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96">
        <f t="shared" ref="AK646:AK657" si="100">SUM(F646:AJ646)</f>
        <v>1806</v>
      </c>
      <c r="AL646" s="28">
        <f t="shared" ref="AL646:AL647" si="101">AK646</f>
        <v>1806</v>
      </c>
      <c r="AM646" s="9"/>
      <c r="AN646" s="29">
        <f>AL646</f>
        <v>1806</v>
      </c>
      <c r="AO646" s="3"/>
      <c r="AP646" s="3"/>
      <c r="AQ646" s="3"/>
      <c r="AR646" s="3"/>
      <c r="AS646" s="3"/>
    </row>
    <row r="647" spans="3:45" ht="12.75" x14ac:dyDescent="0.2">
      <c r="C647" s="580"/>
      <c r="D647" s="576" t="s">
        <v>26</v>
      </c>
      <c r="E647" s="10" t="s">
        <v>18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297">
        <f t="shared" si="100"/>
        <v>0</v>
      </c>
      <c r="AL647" s="34">
        <f t="shared" si="101"/>
        <v>0</v>
      </c>
      <c r="AM647" s="35"/>
      <c r="AN647" s="582">
        <f>SUM(AL647:AM648)</f>
        <v>0</v>
      </c>
      <c r="AO647" s="3"/>
      <c r="AP647" s="3"/>
      <c r="AQ647" s="3"/>
      <c r="AR647" s="3"/>
      <c r="AS647" s="3"/>
    </row>
    <row r="648" spans="3:45" ht="12.75" x14ac:dyDescent="0.2">
      <c r="C648" s="580"/>
      <c r="D648" s="577"/>
      <c r="E648" s="9" t="s">
        <v>19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298">
        <f t="shared" si="100"/>
        <v>0</v>
      </c>
      <c r="AL648" s="39"/>
      <c r="AM648" s="40">
        <f t="shared" ref="AM648:AM649" si="102">AK648</f>
        <v>0</v>
      </c>
      <c r="AN648" s="583"/>
      <c r="AO648" s="3"/>
      <c r="AP648" s="3"/>
      <c r="AQ648" s="3"/>
      <c r="AR648" s="3"/>
      <c r="AS648" s="3"/>
    </row>
    <row r="649" spans="3:45" ht="12.75" x14ac:dyDescent="0.2">
      <c r="C649" s="580"/>
      <c r="D649" s="30" t="s">
        <v>27</v>
      </c>
      <c r="E649" s="9" t="s">
        <v>19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298">
        <f t="shared" si="100"/>
        <v>0</v>
      </c>
      <c r="AL649" s="10"/>
      <c r="AM649" s="19">
        <f t="shared" si="102"/>
        <v>0</v>
      </c>
      <c r="AN649" s="29">
        <f>AM649</f>
        <v>0</v>
      </c>
      <c r="AO649" s="3"/>
      <c r="AP649" s="3"/>
      <c r="AQ649" s="3"/>
      <c r="AR649" s="3"/>
      <c r="AS649" s="3"/>
    </row>
    <row r="650" spans="3:45" ht="12.75" x14ac:dyDescent="0.2">
      <c r="C650" s="580"/>
      <c r="D650" s="576" t="s">
        <v>28</v>
      </c>
      <c r="E650" s="10" t="s">
        <v>18</v>
      </c>
      <c r="F650" s="41">
        <f>106+13</f>
        <v>119</v>
      </c>
      <c r="G650" s="10"/>
      <c r="H650" s="10"/>
      <c r="I650" s="10"/>
      <c r="J650" s="28"/>
      <c r="K650" s="10"/>
      <c r="L650" s="28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28"/>
      <c r="AC650" s="10"/>
      <c r="AD650" s="10"/>
      <c r="AE650" s="10"/>
      <c r="AF650" s="10"/>
      <c r="AG650" s="10"/>
      <c r="AH650" s="10"/>
      <c r="AI650" s="10"/>
      <c r="AJ650" s="10"/>
      <c r="AK650" s="297">
        <f t="shared" si="100"/>
        <v>119</v>
      </c>
      <c r="AL650" s="34">
        <f>AK650</f>
        <v>119</v>
      </c>
      <c r="AM650" s="35"/>
      <c r="AN650" s="582">
        <f>SUM(AL650:AM651)</f>
        <v>119</v>
      </c>
      <c r="AO650" s="3"/>
      <c r="AP650" s="3"/>
      <c r="AQ650" s="3"/>
      <c r="AR650" s="3"/>
      <c r="AS650" s="3"/>
    </row>
    <row r="651" spans="3:45" ht="12.75" x14ac:dyDescent="0.2">
      <c r="C651" s="580"/>
      <c r="D651" s="577"/>
      <c r="E651" s="9" t="s">
        <v>19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298">
        <f t="shared" si="100"/>
        <v>0</v>
      </c>
      <c r="AL651" s="39"/>
      <c r="AM651" s="40">
        <f>AK651</f>
        <v>0</v>
      </c>
      <c r="AN651" s="583"/>
      <c r="AO651" s="3"/>
      <c r="AP651" s="3"/>
      <c r="AQ651" s="3"/>
      <c r="AR651" s="3"/>
      <c r="AS651" s="3"/>
    </row>
    <row r="652" spans="3:45" ht="12.75" x14ac:dyDescent="0.2">
      <c r="C652" s="580"/>
      <c r="D652" s="576" t="s">
        <v>29</v>
      </c>
      <c r="E652" s="10" t="s">
        <v>18</v>
      </c>
      <c r="F652" s="10"/>
      <c r="G652" s="10"/>
      <c r="H652" s="10"/>
      <c r="I652" s="10"/>
      <c r="J652" s="10"/>
      <c r="K652" s="4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297">
        <f t="shared" si="100"/>
        <v>0</v>
      </c>
      <c r="AL652" s="34">
        <f>AK652</f>
        <v>0</v>
      </c>
      <c r="AM652" s="35"/>
      <c r="AN652" s="582">
        <f>SUM(AL652:AM653)</f>
        <v>0</v>
      </c>
      <c r="AO652" s="3"/>
      <c r="AP652" s="3"/>
      <c r="AQ652" s="3"/>
      <c r="AR652" s="3"/>
      <c r="AS652" s="3"/>
    </row>
    <row r="653" spans="3:45" ht="12.75" x14ac:dyDescent="0.2">
      <c r="C653" s="580"/>
      <c r="D653" s="577"/>
      <c r="E653" s="9" t="s">
        <v>19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298">
        <f t="shared" si="100"/>
        <v>0</v>
      </c>
      <c r="AL653" s="39"/>
      <c r="AM653" s="40">
        <f>AK653</f>
        <v>0</v>
      </c>
      <c r="AN653" s="583"/>
      <c r="AO653" s="3"/>
      <c r="AP653" s="3"/>
      <c r="AQ653" s="3"/>
      <c r="AR653" s="3"/>
      <c r="AS653" s="3"/>
    </row>
    <row r="654" spans="3:45" ht="12.75" x14ac:dyDescent="0.2">
      <c r="C654" s="580"/>
      <c r="D654" s="576" t="s">
        <v>30</v>
      </c>
      <c r="E654" s="10" t="s">
        <v>18</v>
      </c>
      <c r="F654" s="10"/>
      <c r="G654" s="10"/>
      <c r="H654" s="10"/>
      <c r="I654" s="10"/>
      <c r="J654" s="10"/>
      <c r="K654" s="41">
        <v>105.86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297">
        <f t="shared" si="100"/>
        <v>105.86</v>
      </c>
      <c r="AL654" s="34">
        <f>AK654</f>
        <v>105.86</v>
      </c>
      <c r="AM654" s="19"/>
      <c r="AN654" s="582">
        <f>SUM(AL654:AM655)</f>
        <v>105.86</v>
      </c>
      <c r="AO654" s="3"/>
      <c r="AP654" s="3"/>
      <c r="AQ654" s="3"/>
      <c r="AR654" s="3"/>
      <c r="AS654" s="3"/>
    </row>
    <row r="655" spans="3:45" ht="12.75" x14ac:dyDescent="0.2">
      <c r="C655" s="580"/>
      <c r="D655" s="577"/>
      <c r="E655" s="9" t="s">
        <v>19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298">
        <f t="shared" si="100"/>
        <v>0</v>
      </c>
      <c r="AL655" s="45"/>
      <c r="AM655" s="40">
        <f>AK655</f>
        <v>0</v>
      </c>
      <c r="AN655" s="583"/>
      <c r="AO655" s="3"/>
      <c r="AP655" s="3"/>
      <c r="AQ655" s="3"/>
      <c r="AR655" s="3"/>
      <c r="AS655" s="3"/>
    </row>
    <row r="656" spans="3:45" ht="12.75" x14ac:dyDescent="0.2">
      <c r="C656" s="580"/>
      <c r="D656" s="576" t="s">
        <v>31</v>
      </c>
      <c r="E656" s="10" t="s">
        <v>18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297">
        <f t="shared" si="100"/>
        <v>0</v>
      </c>
      <c r="AL656" s="34">
        <f>AK656</f>
        <v>0</v>
      </c>
      <c r="AM656" s="35"/>
      <c r="AN656" s="586">
        <f>SUM(AL656:AM657)</f>
        <v>0</v>
      </c>
      <c r="AO656" s="3"/>
      <c r="AP656" s="3"/>
      <c r="AQ656" s="3"/>
      <c r="AR656" s="3"/>
      <c r="AS656" s="3"/>
    </row>
    <row r="657" spans="3:45" ht="12.75" x14ac:dyDescent="0.2">
      <c r="C657" s="581"/>
      <c r="D657" s="585"/>
      <c r="E657" s="277" t="s">
        <v>19</v>
      </c>
      <c r="F657" s="277"/>
      <c r="G657" s="277"/>
      <c r="H657" s="277"/>
      <c r="I657" s="277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  <c r="W657" s="277"/>
      <c r="X657" s="277"/>
      <c r="Y657" s="277"/>
      <c r="Z657" s="277"/>
      <c r="AA657" s="277"/>
      <c r="AB657" s="277"/>
      <c r="AC657" s="277"/>
      <c r="AD657" s="277"/>
      <c r="AE657" s="277"/>
      <c r="AF657" s="277"/>
      <c r="AG657" s="277"/>
      <c r="AH657" s="277"/>
      <c r="AI657" s="277"/>
      <c r="AJ657" s="277"/>
      <c r="AK657" s="301">
        <f t="shared" si="100"/>
        <v>0</v>
      </c>
      <c r="AL657" s="39"/>
      <c r="AM657" s="40">
        <f>AK657</f>
        <v>0</v>
      </c>
      <c r="AN657" s="583"/>
      <c r="AO657" s="3"/>
      <c r="AP657" s="3"/>
      <c r="AQ657" s="3"/>
      <c r="AR657" s="3"/>
      <c r="AS657" s="3"/>
    </row>
    <row r="658" spans="3:45" ht="12.75" x14ac:dyDescent="0.2">
      <c r="C658" s="49" t="s">
        <v>32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51">
        <f t="shared" ref="AK658:AM658" si="103">SUM(AK646:AK657)</f>
        <v>2030.86</v>
      </c>
      <c r="AL658" s="28">
        <f t="shared" si="103"/>
        <v>2030.86</v>
      </c>
      <c r="AM658" s="19">
        <f t="shared" si="103"/>
        <v>0</v>
      </c>
      <c r="AN658" s="11"/>
      <c r="AO658" s="3"/>
      <c r="AP658" s="3"/>
      <c r="AQ658" s="3"/>
      <c r="AR658" s="3"/>
      <c r="AS658" s="3"/>
    </row>
    <row r="659" spans="3:45" ht="12.75" x14ac:dyDescent="0.2">
      <c r="C659" s="594" t="s">
        <v>33</v>
      </c>
      <c r="D659" s="304" t="s">
        <v>34</v>
      </c>
      <c r="E659" s="305" t="s">
        <v>19</v>
      </c>
      <c r="F659" s="305"/>
      <c r="G659" s="305"/>
      <c r="H659" s="305"/>
      <c r="I659" s="305"/>
      <c r="J659" s="59"/>
      <c r="K659" s="308">
        <v>60</v>
      </c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  <c r="AB659" s="305"/>
      <c r="AC659" s="305"/>
      <c r="AD659" s="305"/>
      <c r="AE659" s="305"/>
      <c r="AF659" s="305"/>
      <c r="AG659" s="305"/>
      <c r="AH659" s="305"/>
      <c r="AI659" s="305"/>
      <c r="AJ659" s="305"/>
      <c r="AK659" s="310">
        <f t="shared" ref="AK659:AK660" si="104">SUM(F659:AJ659)</f>
        <v>60</v>
      </c>
      <c r="AL659" s="58"/>
      <c r="AM659" s="59">
        <f>AK659</f>
        <v>60</v>
      </c>
      <c r="AN659" s="60">
        <f>AM659</f>
        <v>60</v>
      </c>
      <c r="AO659" s="3"/>
      <c r="AP659" s="3"/>
      <c r="AQ659" s="3"/>
      <c r="AR659" s="3"/>
      <c r="AS659" s="3"/>
    </row>
    <row r="660" spans="3:45" ht="12.75" x14ac:dyDescent="0.2">
      <c r="C660" s="580"/>
      <c r="D660" s="311" t="s">
        <v>35</v>
      </c>
      <c r="E660" s="65" t="s">
        <v>18</v>
      </c>
      <c r="F660" s="65"/>
      <c r="G660" s="65"/>
      <c r="H660" s="65"/>
      <c r="I660" s="65"/>
      <c r="J660" s="72"/>
      <c r="K660" s="87">
        <v>10</v>
      </c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98">
        <f t="shared" si="104"/>
        <v>10</v>
      </c>
      <c r="AL660" s="72">
        <f>AK660</f>
        <v>10</v>
      </c>
      <c r="AM660" s="62"/>
      <c r="AN660" s="73">
        <f>AL660</f>
        <v>10</v>
      </c>
      <c r="AO660" s="3"/>
      <c r="AP660" s="3"/>
      <c r="AQ660" s="3"/>
      <c r="AR660" s="3"/>
      <c r="AS660" s="3"/>
    </row>
    <row r="661" spans="3:45" ht="12.75" x14ac:dyDescent="0.2">
      <c r="C661" s="580"/>
      <c r="D661" s="649" t="s">
        <v>36</v>
      </c>
      <c r="E661" s="65" t="s">
        <v>18</v>
      </c>
      <c r="F661" s="65"/>
      <c r="G661" s="65"/>
      <c r="H661" s="65"/>
      <c r="I661" s="65"/>
      <c r="J661" s="72"/>
      <c r="K661" s="87">
        <v>27</v>
      </c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9"/>
      <c r="AL661" s="72">
        <f>SUM(F661:AJ661)</f>
        <v>27</v>
      </c>
      <c r="AM661" s="62"/>
      <c r="AN661" s="589">
        <f>SUM(AL661:AM662)</f>
        <v>27</v>
      </c>
      <c r="AO661" s="3"/>
      <c r="AP661" s="3"/>
      <c r="AQ661" s="3"/>
      <c r="AR661" s="3"/>
      <c r="AS661" s="3"/>
    </row>
    <row r="662" spans="3:45" ht="12.75" x14ac:dyDescent="0.2">
      <c r="C662" s="580"/>
      <c r="D662" s="650"/>
      <c r="E662" s="312" t="s">
        <v>19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5">
        <f t="shared" ref="AK662:AK709" si="105">SUM(F662:AJ662)</f>
        <v>0</v>
      </c>
      <c r="AL662" s="79"/>
      <c r="AM662" s="80">
        <f>AK662</f>
        <v>0</v>
      </c>
      <c r="AN662" s="590"/>
      <c r="AO662" s="3"/>
      <c r="AP662" s="3"/>
      <c r="AQ662" s="3"/>
      <c r="AR662" s="3"/>
      <c r="AS662" s="3"/>
    </row>
    <row r="663" spans="3:45" ht="12.75" x14ac:dyDescent="0.2">
      <c r="C663" s="580"/>
      <c r="D663" s="584" t="s">
        <v>37</v>
      </c>
      <c r="E663" s="65" t="s">
        <v>18</v>
      </c>
      <c r="F663" s="72"/>
      <c r="G663" s="87">
        <v>4.17</v>
      </c>
      <c r="H663" s="72"/>
      <c r="I663" s="87">
        <v>1.6</v>
      </c>
      <c r="J663" s="65"/>
      <c r="K663" s="72"/>
      <c r="L663" s="65"/>
      <c r="M663" s="72"/>
      <c r="N663" s="87">
        <v>1.9</v>
      </c>
      <c r="O663" s="72"/>
      <c r="P663" s="87">
        <v>3.9</v>
      </c>
      <c r="Q663" s="72"/>
      <c r="R663" s="72"/>
      <c r="S663" s="70">
        <v>23.6</v>
      </c>
      <c r="T663" s="72"/>
      <c r="U663" s="87">
        <v>3.9</v>
      </c>
      <c r="V663" s="72"/>
      <c r="W663" s="65"/>
      <c r="X663" s="65"/>
      <c r="Y663" s="72"/>
      <c r="Z663" s="70">
        <v>5</v>
      </c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98">
        <f t="shared" si="105"/>
        <v>44.07</v>
      </c>
      <c r="AL663" s="89">
        <f>AK663</f>
        <v>44.07</v>
      </c>
      <c r="AM663" s="62"/>
      <c r="AN663" s="586">
        <f>SUM(AL663:AM664)</f>
        <v>44.07</v>
      </c>
      <c r="AO663" s="3"/>
      <c r="AP663" s="3"/>
      <c r="AQ663" s="3"/>
      <c r="AR663" s="3"/>
      <c r="AS663" s="3"/>
    </row>
    <row r="664" spans="3:45" ht="12.75" x14ac:dyDescent="0.2">
      <c r="C664" s="580"/>
      <c r="D664" s="577"/>
      <c r="E664" s="62" t="s">
        <v>19</v>
      </c>
      <c r="F664" s="6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128">
        <f t="shared" si="105"/>
        <v>0</v>
      </c>
      <c r="AL664" s="93"/>
      <c r="AM664" s="94">
        <f>AK664</f>
        <v>0</v>
      </c>
      <c r="AN664" s="583"/>
      <c r="AO664" s="3"/>
      <c r="AP664" s="3"/>
      <c r="AQ664" s="3"/>
      <c r="AR664" s="3"/>
      <c r="AS664" s="3"/>
    </row>
    <row r="665" spans="3:45" ht="12.75" x14ac:dyDescent="0.2">
      <c r="C665" s="580"/>
      <c r="D665" s="81" t="s">
        <v>38</v>
      </c>
      <c r="E665" s="65" t="s">
        <v>18</v>
      </c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87">
        <v>90.64</v>
      </c>
      <c r="AB665" s="65"/>
      <c r="AC665" s="65"/>
      <c r="AD665" s="65"/>
      <c r="AE665" s="65"/>
      <c r="AF665" s="65"/>
      <c r="AG665" s="65"/>
      <c r="AH665" s="65"/>
      <c r="AI665" s="65"/>
      <c r="AJ665" s="65"/>
      <c r="AK665" s="98">
        <f t="shared" si="105"/>
        <v>90.64</v>
      </c>
      <c r="AL665" s="72">
        <f t="shared" ref="AL665:AL667" si="106">AK665</f>
        <v>90.64</v>
      </c>
      <c r="AM665" s="62"/>
      <c r="AN665" s="29">
        <f t="shared" ref="AN665:AN666" si="107">AL665</f>
        <v>90.64</v>
      </c>
      <c r="AO665" s="3"/>
      <c r="AP665" s="3"/>
      <c r="AQ665" s="3"/>
      <c r="AR665" s="3"/>
      <c r="AS665" s="3"/>
    </row>
    <row r="666" spans="3:45" ht="12.75" x14ac:dyDescent="0.2">
      <c r="C666" s="580"/>
      <c r="D666" s="81" t="s">
        <v>39</v>
      </c>
      <c r="E666" s="65" t="s">
        <v>18</v>
      </c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98">
        <f t="shared" si="105"/>
        <v>0</v>
      </c>
      <c r="AL666" s="72">
        <f t="shared" si="106"/>
        <v>0</v>
      </c>
      <c r="AM666" s="62"/>
      <c r="AN666" s="29">
        <f t="shared" si="107"/>
        <v>0</v>
      </c>
      <c r="AO666" s="3"/>
      <c r="AP666" s="3"/>
      <c r="AQ666" s="3"/>
      <c r="AR666" s="3"/>
      <c r="AS666" s="3"/>
    </row>
    <row r="667" spans="3:45" ht="12.75" x14ac:dyDescent="0.2">
      <c r="C667" s="580"/>
      <c r="D667" s="584" t="s">
        <v>40</v>
      </c>
      <c r="E667" s="65" t="s">
        <v>18</v>
      </c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98">
        <f t="shared" si="105"/>
        <v>0</v>
      </c>
      <c r="AL667" s="96">
        <f t="shared" si="106"/>
        <v>0</v>
      </c>
      <c r="AM667" s="97"/>
      <c r="AN667" s="582">
        <f>SUM(AL667:AM668)</f>
        <v>0</v>
      </c>
      <c r="AO667" s="3"/>
      <c r="AP667" s="3"/>
      <c r="AQ667" s="3"/>
      <c r="AR667" s="3"/>
      <c r="AS667" s="3"/>
    </row>
    <row r="668" spans="3:45" ht="12.75" x14ac:dyDescent="0.2">
      <c r="C668" s="580"/>
      <c r="D668" s="577"/>
      <c r="E668" s="62" t="s">
        <v>19</v>
      </c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128">
        <f t="shared" si="105"/>
        <v>0</v>
      </c>
      <c r="AL668" s="93"/>
      <c r="AM668" s="94">
        <f>AK668</f>
        <v>0</v>
      </c>
      <c r="AN668" s="583"/>
      <c r="AO668" s="3"/>
      <c r="AP668" s="3"/>
      <c r="AQ668" s="3"/>
      <c r="AR668" s="3"/>
      <c r="AS668" s="3"/>
    </row>
    <row r="669" spans="3:45" ht="12.75" x14ac:dyDescent="0.2">
      <c r="C669" s="580"/>
      <c r="D669" s="584" t="s">
        <v>41</v>
      </c>
      <c r="E669" s="65" t="s">
        <v>18</v>
      </c>
      <c r="F669" s="65"/>
      <c r="G669" s="65"/>
      <c r="H669" s="65"/>
      <c r="I669" s="72"/>
      <c r="J669" s="65"/>
      <c r="K669" s="65"/>
      <c r="L669" s="65"/>
      <c r="M669" s="65"/>
      <c r="N669" s="65"/>
      <c r="O669" s="65"/>
      <c r="P669" s="87">
        <v>100</v>
      </c>
      <c r="Q669" s="65"/>
      <c r="R669" s="65"/>
      <c r="S669" s="65"/>
      <c r="T669" s="65"/>
      <c r="U669" s="65"/>
      <c r="V669" s="72"/>
      <c r="W669" s="65"/>
      <c r="X669" s="65"/>
      <c r="Y669" s="65"/>
      <c r="Z669" s="65"/>
      <c r="AA669" s="65"/>
      <c r="AB669" s="65">
        <f>9.38+3</f>
        <v>12.38</v>
      </c>
      <c r="AC669" s="65"/>
      <c r="AD669" s="65"/>
      <c r="AE669" s="65"/>
      <c r="AF669" s="65"/>
      <c r="AG669" s="65"/>
      <c r="AH669" s="65"/>
      <c r="AI669" s="65"/>
      <c r="AJ669" s="65"/>
      <c r="AK669" s="98">
        <f t="shared" si="105"/>
        <v>112.38</v>
      </c>
      <c r="AL669" s="96">
        <f>AK669</f>
        <v>112.38</v>
      </c>
      <c r="AM669" s="97"/>
      <c r="AN669" s="582">
        <f>SUM(AL669:AM670)</f>
        <v>112.38</v>
      </c>
      <c r="AO669" s="3"/>
      <c r="AP669" s="3"/>
      <c r="AQ669" s="3"/>
      <c r="AR669" s="3"/>
      <c r="AS669" s="3"/>
    </row>
    <row r="670" spans="3:45" ht="12.75" x14ac:dyDescent="0.2">
      <c r="C670" s="580"/>
      <c r="D670" s="577"/>
      <c r="E670" s="62" t="s">
        <v>19</v>
      </c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6"/>
      <c r="R670" s="66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128">
        <f t="shared" si="105"/>
        <v>0</v>
      </c>
      <c r="AL670" s="93"/>
      <c r="AM670" s="94">
        <f>AK670</f>
        <v>0</v>
      </c>
      <c r="AN670" s="583"/>
      <c r="AO670" s="3"/>
      <c r="AP670" s="3"/>
      <c r="AQ670" s="3"/>
      <c r="AR670" s="3"/>
      <c r="AS670" s="3"/>
    </row>
    <row r="671" spans="3:45" ht="12.75" x14ac:dyDescent="0.2">
      <c r="C671" s="580"/>
      <c r="D671" s="81" t="s">
        <v>42</v>
      </c>
      <c r="E671" s="65" t="s">
        <v>18</v>
      </c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98">
        <f t="shared" si="105"/>
        <v>0</v>
      </c>
      <c r="AL671" s="72">
        <f>AK671</f>
        <v>0</v>
      </c>
      <c r="AM671" s="62"/>
      <c r="AN671" s="29">
        <f>AL671</f>
        <v>0</v>
      </c>
      <c r="AO671" s="3"/>
      <c r="AP671" s="3"/>
      <c r="AQ671" s="3"/>
      <c r="AR671" s="3"/>
      <c r="AS671" s="3"/>
    </row>
    <row r="672" spans="3:45" ht="12.75" x14ac:dyDescent="0.2">
      <c r="C672" s="580"/>
      <c r="D672" s="81" t="s">
        <v>43</v>
      </c>
      <c r="E672" s="62" t="s">
        <v>19</v>
      </c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128">
        <f t="shared" si="105"/>
        <v>0</v>
      </c>
      <c r="AL672" s="65"/>
      <c r="AM672" s="66">
        <f>AK672</f>
        <v>0</v>
      </c>
      <c r="AN672" s="29">
        <f>AM672</f>
        <v>0</v>
      </c>
      <c r="AO672" s="3"/>
      <c r="AP672" s="3"/>
      <c r="AQ672" s="3"/>
      <c r="AR672" s="3"/>
      <c r="AS672" s="3"/>
    </row>
    <row r="673" spans="3:45" ht="12.75" x14ac:dyDescent="0.2">
      <c r="C673" s="580"/>
      <c r="D673" s="584" t="s">
        <v>44</v>
      </c>
      <c r="E673" s="65" t="s">
        <v>18</v>
      </c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98">
        <f t="shared" si="105"/>
        <v>0</v>
      </c>
      <c r="AL673" s="96">
        <f>AK673</f>
        <v>0</v>
      </c>
      <c r="AM673" s="97"/>
      <c r="AN673" s="582">
        <f>SUM(AL673:AM674)</f>
        <v>0</v>
      </c>
      <c r="AO673" s="3"/>
      <c r="AP673" s="3"/>
      <c r="AQ673" s="3"/>
      <c r="AR673" s="3"/>
      <c r="AS673" s="3"/>
    </row>
    <row r="674" spans="3:45" ht="12.75" x14ac:dyDescent="0.2">
      <c r="C674" s="581"/>
      <c r="D674" s="585"/>
      <c r="E674" s="62" t="s">
        <v>19</v>
      </c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  <c r="AA674" s="284"/>
      <c r="AB674" s="284"/>
      <c r="AC674" s="284"/>
      <c r="AD674" s="284"/>
      <c r="AE674" s="284"/>
      <c r="AF674" s="284"/>
      <c r="AG674" s="284"/>
      <c r="AH674" s="284"/>
      <c r="AI674" s="284"/>
      <c r="AJ674" s="284"/>
      <c r="AK674" s="128">
        <f t="shared" si="105"/>
        <v>0</v>
      </c>
      <c r="AL674" s="93"/>
      <c r="AM674" s="94">
        <f>AK674</f>
        <v>0</v>
      </c>
      <c r="AN674" s="583"/>
      <c r="AO674" s="3"/>
      <c r="AP674" s="3"/>
      <c r="AQ674" s="3"/>
      <c r="AR674" s="3"/>
      <c r="AS674" s="3"/>
    </row>
    <row r="675" spans="3:45" ht="12.75" x14ac:dyDescent="0.2">
      <c r="C675" s="594" t="s">
        <v>45</v>
      </c>
      <c r="D675" s="599" t="s">
        <v>46</v>
      </c>
      <c r="E675" s="105" t="s">
        <v>18</v>
      </c>
      <c r="F675" s="105">
        <f>1.9+2.44+6.08+2.49+1.51+4.39-1.42</f>
        <v>17.39</v>
      </c>
      <c r="G675" s="106">
        <v>4.5999999999999996</v>
      </c>
      <c r="H675" s="109">
        <v>3.41</v>
      </c>
      <c r="I675" s="105">
        <f>2.01+2.23+4.7+4.96+6.19+9.99</f>
        <v>30.080000000000005</v>
      </c>
      <c r="J675" s="108"/>
      <c r="K675" s="108">
        <f>1.91+2.59+3.54+4.1</f>
        <v>12.139999999999999</v>
      </c>
      <c r="L675" s="105"/>
      <c r="M675" s="105">
        <f>1.96+2.29+4.78+2.59</f>
        <v>11.620000000000001</v>
      </c>
      <c r="N675" s="105">
        <f>1.29+2.08+3.46+4.81+7.79+3.29</f>
        <v>22.72</v>
      </c>
      <c r="O675" s="105">
        <f>2.03+12.61+0.5</f>
        <v>15.139999999999999</v>
      </c>
      <c r="P675" s="108"/>
      <c r="Q675" s="105"/>
      <c r="R675" s="108">
        <v>5.58</v>
      </c>
      <c r="S675" s="109">
        <v>1.19</v>
      </c>
      <c r="T675" s="108">
        <f>3.89+1.69+3.84</f>
        <v>9.42</v>
      </c>
      <c r="U675" s="105"/>
      <c r="V675" s="105">
        <f>2.01+5+6.49+4.77+5.04+2.99+12.27+1.66+1.66</f>
        <v>41.889999999999986</v>
      </c>
      <c r="W675" s="108"/>
      <c r="X675" s="108"/>
      <c r="Y675" s="108">
        <f>4.59+3.49+2.43+5.99</f>
        <v>16.5</v>
      </c>
      <c r="Z675" s="105">
        <f>4.22+2.95+1.52+1.03+6.81+9.95+10.31</f>
        <v>36.79</v>
      </c>
      <c r="AA675" s="105">
        <f>(1.66*4)+0.64+1.99</f>
        <v>9.27</v>
      </c>
      <c r="AB675" s="108"/>
      <c r="AC675" s="105">
        <f>3.45+11.64</f>
        <v>15.09</v>
      </c>
      <c r="AD675" s="108">
        <f>1.66*2</f>
        <v>3.32</v>
      </c>
      <c r="AE675" s="108">
        <f>3.03+2.75+4.64+5.09</f>
        <v>15.509999999999998</v>
      </c>
      <c r="AF675" s="105">
        <f>1.79+12.72</f>
        <v>14.510000000000002</v>
      </c>
      <c r="AG675" s="108"/>
      <c r="AH675" s="108"/>
      <c r="AI675" s="105"/>
      <c r="AJ675" s="105"/>
      <c r="AK675" s="98">
        <f t="shared" si="105"/>
        <v>286.16999999999996</v>
      </c>
      <c r="AL675" s="96">
        <f>AK675</f>
        <v>286.16999999999996</v>
      </c>
      <c r="AM675" s="97"/>
      <c r="AN675" s="582">
        <f>SUM(AL675:AM676)</f>
        <v>286.16999999999996</v>
      </c>
      <c r="AO675" s="3"/>
      <c r="AP675" s="3"/>
      <c r="AQ675" s="3"/>
      <c r="AR675" s="3"/>
      <c r="AS675" s="3"/>
    </row>
    <row r="676" spans="3:45" ht="12.75" x14ac:dyDescent="0.2">
      <c r="C676" s="580"/>
      <c r="D676" s="577"/>
      <c r="E676" s="62" t="s">
        <v>19</v>
      </c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128">
        <f t="shared" si="105"/>
        <v>0</v>
      </c>
      <c r="AL676" s="93"/>
      <c r="AM676" s="94">
        <f>AK676</f>
        <v>0</v>
      </c>
      <c r="AN676" s="583"/>
      <c r="AO676" s="3"/>
      <c r="AP676" s="3"/>
      <c r="AQ676" s="3"/>
      <c r="AR676" s="3"/>
      <c r="AS676" s="3"/>
    </row>
    <row r="677" spans="3:45" ht="12.75" x14ac:dyDescent="0.2">
      <c r="C677" s="580"/>
      <c r="D677" s="591" t="s">
        <v>47</v>
      </c>
      <c r="E677" s="65" t="s">
        <v>18</v>
      </c>
      <c r="F677" s="72">
        <f>1.59+1.59</f>
        <v>3.18</v>
      </c>
      <c r="G677" s="72">
        <f>10.72-4.6</f>
        <v>6.120000000000001</v>
      </c>
      <c r="H677" s="72">
        <f>2.39+2.98+1.59</f>
        <v>6.96</v>
      </c>
      <c r="I677" s="65">
        <f>2.14+2.14+1.59+1.59+1.59+2.69+2.98+1.47+1.46+6.35-0.87</f>
        <v>23.13</v>
      </c>
      <c r="J677" s="72">
        <f>2.59+2.59+7.29+7.49+0.45+1.31+5.41</f>
        <v>27.13</v>
      </c>
      <c r="K677" s="72">
        <f>3.99+2.04+1.59+1.49</f>
        <v>9.11</v>
      </c>
      <c r="L677" s="70">
        <v>5.86</v>
      </c>
      <c r="M677" s="72">
        <f>1.59</f>
        <v>1.59</v>
      </c>
      <c r="N677" s="72">
        <f>2.89+1.59+1.53</f>
        <v>6.0100000000000007</v>
      </c>
      <c r="O677" s="65">
        <f>1.59+2.45+2.77</f>
        <v>6.8100000000000005</v>
      </c>
      <c r="P677" s="70">
        <v>8.17</v>
      </c>
      <c r="Q677" s="72"/>
      <c r="R677" s="72">
        <v>8.620000000000001</v>
      </c>
      <c r="S677" s="72"/>
      <c r="T677" s="72">
        <f>7.45+3.99+1.59</f>
        <v>13.030000000000001</v>
      </c>
      <c r="U677" s="72"/>
      <c r="V677" s="65">
        <f>1.59+4.12</f>
        <v>5.71</v>
      </c>
      <c r="W677" s="70">
        <v>6.94</v>
      </c>
      <c r="X677" s="72">
        <f>5.04</f>
        <v>5.04</v>
      </c>
      <c r="Y677" s="72">
        <f>1.55+3.53+5.31</f>
        <v>10.39</v>
      </c>
      <c r="Z677" s="72"/>
      <c r="AA677" s="72">
        <f>4.29+1.59</f>
        <v>5.88</v>
      </c>
      <c r="AB677" s="72"/>
      <c r="AC677" s="65">
        <f>2.89</f>
        <v>2.89</v>
      </c>
      <c r="AD677" s="72">
        <f>5.79+4.99+2.09</f>
        <v>12.870000000000001</v>
      </c>
      <c r="AE677" s="72">
        <f>5.85</f>
        <v>5.85</v>
      </c>
      <c r="AF677" s="72">
        <f>4.29</f>
        <v>4.29</v>
      </c>
      <c r="AG677" s="72">
        <f>6.65</f>
        <v>6.65</v>
      </c>
      <c r="AH677" s="72">
        <f>(1.74*2)+1.57+10.99+2.57+2.87+8.6</f>
        <v>30.08</v>
      </c>
      <c r="AI677" s="87">
        <v>13.8</v>
      </c>
      <c r="AJ677" s="65"/>
      <c r="AK677" s="98">
        <f t="shared" si="105"/>
        <v>236.11</v>
      </c>
      <c r="AL677" s="96">
        <f>AK677</f>
        <v>236.11</v>
      </c>
      <c r="AM677" s="97"/>
      <c r="AN677" s="593">
        <f>SUM(AL677:AM678)</f>
        <v>236.11</v>
      </c>
      <c r="AO677" s="3"/>
      <c r="AP677" s="3"/>
      <c r="AQ677" s="3"/>
      <c r="AR677" s="3"/>
      <c r="AS677" s="3"/>
    </row>
    <row r="678" spans="3:45" ht="12.75" x14ac:dyDescent="0.2">
      <c r="C678" s="580"/>
      <c r="D678" s="577"/>
      <c r="E678" s="62" t="s">
        <v>19</v>
      </c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128">
        <f t="shared" si="105"/>
        <v>0</v>
      </c>
      <c r="AL678" s="93"/>
      <c r="AM678" s="94">
        <f>AK678</f>
        <v>0</v>
      </c>
      <c r="AN678" s="583"/>
      <c r="AO678" s="3"/>
      <c r="AP678" s="3"/>
      <c r="AQ678" s="3"/>
      <c r="AR678" s="3"/>
      <c r="AS678" s="3"/>
    </row>
    <row r="679" spans="3:45" ht="12.75" x14ac:dyDescent="0.2">
      <c r="C679" s="580"/>
      <c r="D679" s="591" t="s">
        <v>48</v>
      </c>
      <c r="E679" s="65" t="s">
        <v>18</v>
      </c>
      <c r="F679" s="65"/>
      <c r="G679" s="65">
        <f>12.38-6.3</f>
        <v>6.080000000000001</v>
      </c>
      <c r="H679" s="65"/>
      <c r="I679" s="65"/>
      <c r="J679" s="72"/>
      <c r="K679" s="70">
        <v>6.08</v>
      </c>
      <c r="L679" s="72"/>
      <c r="M679" s="72"/>
      <c r="N679" s="65"/>
      <c r="O679" s="65"/>
      <c r="P679" s="65"/>
      <c r="Q679" s="65"/>
      <c r="R679" s="65"/>
      <c r="S679" s="72"/>
      <c r="T679" s="72"/>
      <c r="U679" s="70">
        <v>4.9800000000000004</v>
      </c>
      <c r="V679" s="65"/>
      <c r="W679" s="87">
        <v>2.14</v>
      </c>
      <c r="X679" s="72"/>
      <c r="Y679" s="72">
        <f>14.89+4.28</f>
        <v>19.170000000000002</v>
      </c>
      <c r="Z679" s="65"/>
      <c r="AA679" s="65"/>
      <c r="AB679" s="70">
        <v>2.14</v>
      </c>
      <c r="AC679" s="65"/>
      <c r="AD679" s="87">
        <f>3.94+6.08</f>
        <v>10.02</v>
      </c>
      <c r="AE679" s="72"/>
      <c r="AF679" s="65"/>
      <c r="AG679" s="65"/>
      <c r="AH679" s="65"/>
      <c r="AI679" s="65"/>
      <c r="AJ679" s="65"/>
      <c r="AK679" s="98">
        <f t="shared" si="105"/>
        <v>50.61</v>
      </c>
      <c r="AL679" s="96">
        <f>AK679</f>
        <v>50.61</v>
      </c>
      <c r="AM679" s="97"/>
      <c r="AN679" s="582">
        <f>SUM(AL679:AM680)</f>
        <v>50.61</v>
      </c>
      <c r="AO679" s="3"/>
      <c r="AP679" s="3"/>
      <c r="AQ679" s="3"/>
      <c r="AR679" s="3"/>
      <c r="AS679" s="3"/>
    </row>
    <row r="680" spans="3:45" ht="12.75" x14ac:dyDescent="0.2">
      <c r="C680" s="580"/>
      <c r="D680" s="577"/>
      <c r="E680" s="62" t="s">
        <v>19</v>
      </c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128">
        <f t="shared" si="105"/>
        <v>0</v>
      </c>
      <c r="AL680" s="93"/>
      <c r="AM680" s="94">
        <f>AK680</f>
        <v>0</v>
      </c>
      <c r="AN680" s="583"/>
      <c r="AO680" s="3"/>
      <c r="AP680" s="3"/>
      <c r="AQ680" s="3"/>
      <c r="AR680" s="3"/>
      <c r="AS680" s="3"/>
    </row>
    <row r="681" spans="3:45" ht="12.75" x14ac:dyDescent="0.2">
      <c r="C681" s="580"/>
      <c r="D681" s="591" t="s">
        <v>49</v>
      </c>
      <c r="E681" s="65" t="s">
        <v>18</v>
      </c>
      <c r="F681" s="70">
        <v>10</v>
      </c>
      <c r="G681" s="87">
        <v>3.5</v>
      </c>
      <c r="H681" s="70">
        <v>3.5</v>
      </c>
      <c r="I681" s="87">
        <v>3.5</v>
      </c>
      <c r="J681" s="72"/>
      <c r="K681" s="72"/>
      <c r="L681" s="70">
        <v>5</v>
      </c>
      <c r="M681" s="87">
        <v>3.5</v>
      </c>
      <c r="N681" s="72"/>
      <c r="O681" s="65"/>
      <c r="P681" s="65"/>
      <c r="Q681" s="70"/>
      <c r="R681" s="70">
        <v>3.5</v>
      </c>
      <c r="S681" s="70">
        <v>3.4</v>
      </c>
      <c r="T681" s="87">
        <v>10</v>
      </c>
      <c r="U681" s="87">
        <v>3.5</v>
      </c>
      <c r="V681" s="87">
        <v>4.1900000000000004</v>
      </c>
      <c r="W681" s="65"/>
      <c r="X681" s="72">
        <f>2.49+7</f>
        <v>9.49</v>
      </c>
      <c r="Y681" s="65">
        <f>3.5*2</f>
        <v>7</v>
      </c>
      <c r="Z681" s="72">
        <f>2.69</f>
        <v>2.69</v>
      </c>
      <c r="AA681" s="70">
        <v>7</v>
      </c>
      <c r="AB681" s="65"/>
      <c r="AC681" s="87">
        <v>7</v>
      </c>
      <c r="AD681" s="87">
        <v>3.5</v>
      </c>
      <c r="AE681" s="65"/>
      <c r="AF681" s="87">
        <v>3.5</v>
      </c>
      <c r="AG681" s="87">
        <v>10</v>
      </c>
      <c r="AH681" s="70">
        <v>10.199999999999999</v>
      </c>
      <c r="AI681" s="87">
        <v>3.5</v>
      </c>
      <c r="AJ681" s="65"/>
      <c r="AK681" s="98">
        <f t="shared" si="105"/>
        <v>117.47</v>
      </c>
      <c r="AL681" s="96">
        <f>AK681</f>
        <v>117.47</v>
      </c>
      <c r="AM681" s="97"/>
      <c r="AN681" s="582">
        <f>SUM(AL681:AM682)</f>
        <v>117.47</v>
      </c>
      <c r="AO681" s="3"/>
      <c r="AP681" s="3"/>
      <c r="AQ681" s="3"/>
      <c r="AR681" s="3"/>
      <c r="AS681" s="3"/>
    </row>
    <row r="682" spans="3:45" ht="12.75" x14ac:dyDescent="0.2">
      <c r="C682" s="580"/>
      <c r="D682" s="577"/>
      <c r="E682" s="62" t="s">
        <v>19</v>
      </c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128">
        <f t="shared" si="105"/>
        <v>0</v>
      </c>
      <c r="AL682" s="93"/>
      <c r="AM682" s="94">
        <f>AK682</f>
        <v>0</v>
      </c>
      <c r="AN682" s="583"/>
      <c r="AO682" s="3"/>
      <c r="AP682" s="3"/>
      <c r="AQ682" s="3"/>
      <c r="AR682" s="3"/>
      <c r="AS682" s="3"/>
    </row>
    <row r="683" spans="3:45" ht="12.75" x14ac:dyDescent="0.2">
      <c r="C683" s="580"/>
      <c r="D683" s="592" t="s">
        <v>50</v>
      </c>
      <c r="E683" s="65" t="s">
        <v>18</v>
      </c>
      <c r="F683" s="72"/>
      <c r="G683" s="70">
        <f>6.3+6.3</f>
        <v>12.6</v>
      </c>
      <c r="H683" s="70">
        <v>6.3</v>
      </c>
      <c r="I683" s="87">
        <v>6.3</v>
      </c>
      <c r="J683" s="70">
        <v>6.3</v>
      </c>
      <c r="K683" s="70">
        <v>6.3</v>
      </c>
      <c r="L683" s="87">
        <v>6.3</v>
      </c>
      <c r="M683" s="70">
        <v>6.3</v>
      </c>
      <c r="N683" s="72"/>
      <c r="O683" s="70">
        <v>6.3</v>
      </c>
      <c r="P683" s="87">
        <v>6.3</v>
      </c>
      <c r="Q683" s="70"/>
      <c r="R683" s="70">
        <v>6.3</v>
      </c>
      <c r="S683" s="72">
        <f>6.3+6.6</f>
        <v>12.899999999999999</v>
      </c>
      <c r="T683" s="70">
        <v>6.3</v>
      </c>
      <c r="U683" s="70">
        <v>6.3</v>
      </c>
      <c r="V683" s="70">
        <v>6.3</v>
      </c>
      <c r="W683" s="87">
        <v>6.3</v>
      </c>
      <c r="X683" s="70">
        <v>6.3</v>
      </c>
      <c r="Y683" s="70">
        <v>12.6</v>
      </c>
      <c r="Z683" s="72"/>
      <c r="AA683" s="72"/>
      <c r="AB683" s="70">
        <v>12.6</v>
      </c>
      <c r="AC683" s="87">
        <v>6.3</v>
      </c>
      <c r="AD683" s="70">
        <v>12.3</v>
      </c>
      <c r="AE683" s="72"/>
      <c r="AF683" s="70">
        <v>6.3</v>
      </c>
      <c r="AG683" s="70">
        <v>6.3</v>
      </c>
      <c r="AH683" s="87">
        <v>6.3</v>
      </c>
      <c r="AI683" s="87">
        <v>6.3</v>
      </c>
      <c r="AJ683" s="65"/>
      <c r="AK683" s="98">
        <f t="shared" si="105"/>
        <v>182.70000000000005</v>
      </c>
      <c r="AL683" s="96">
        <f>AK683</f>
        <v>182.70000000000005</v>
      </c>
      <c r="AM683" s="97"/>
      <c r="AN683" s="582">
        <f>SUM(AL683:AM684)</f>
        <v>182.70000000000005</v>
      </c>
      <c r="AO683" s="3"/>
      <c r="AP683" s="3"/>
      <c r="AQ683" s="3"/>
      <c r="AR683" s="3"/>
      <c r="AS683" s="3"/>
    </row>
    <row r="684" spans="3:45" ht="12.75" x14ac:dyDescent="0.2">
      <c r="C684" s="580"/>
      <c r="D684" s="577"/>
      <c r="E684" s="62" t="s">
        <v>19</v>
      </c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128">
        <f t="shared" si="105"/>
        <v>0</v>
      </c>
      <c r="AL684" s="93"/>
      <c r="AM684" s="94">
        <f>AK684</f>
        <v>0</v>
      </c>
      <c r="AN684" s="583"/>
      <c r="AO684" s="3"/>
      <c r="AP684" s="3"/>
      <c r="AQ684" s="3"/>
      <c r="AR684" s="3"/>
      <c r="AS684" s="3"/>
    </row>
    <row r="685" spans="3:45" ht="12.75" x14ac:dyDescent="0.2">
      <c r="C685" s="580"/>
      <c r="D685" s="592" t="s">
        <v>1</v>
      </c>
      <c r="E685" s="65" t="s">
        <v>18</v>
      </c>
      <c r="F685" s="87">
        <v>2.39</v>
      </c>
      <c r="G685" s="65"/>
      <c r="H685" s="72"/>
      <c r="I685" s="65"/>
      <c r="J685" s="65">
        <f>4.15+3.79+2.39</f>
        <v>10.33</v>
      </c>
      <c r="K685" s="65"/>
      <c r="L685" s="72"/>
      <c r="M685" s="72"/>
      <c r="N685" s="65"/>
      <c r="O685" s="72"/>
      <c r="P685" s="65"/>
      <c r="Q685" s="65"/>
      <c r="R685" s="65"/>
      <c r="S685" s="87">
        <v>2.39</v>
      </c>
      <c r="T685" s="65"/>
      <c r="U685" s="72"/>
      <c r="V685" s="72"/>
      <c r="W685" s="65"/>
      <c r="X685" s="65"/>
      <c r="Y685" s="65"/>
      <c r="Z685" s="65">
        <f>7+2.97+6.12+8.11</f>
        <v>24.2</v>
      </c>
      <c r="AA685" s="65"/>
      <c r="AB685" s="72"/>
      <c r="AC685" s="65"/>
      <c r="AD685" s="65"/>
      <c r="AE685" s="65"/>
      <c r="AF685" s="65"/>
      <c r="AG685" s="65"/>
      <c r="AH685" s="65"/>
      <c r="AI685" s="65"/>
      <c r="AJ685" s="65"/>
      <c r="AK685" s="98">
        <f t="shared" si="105"/>
        <v>39.31</v>
      </c>
      <c r="AL685" s="89">
        <f>AK685</f>
        <v>39.31</v>
      </c>
      <c r="AM685" s="62"/>
      <c r="AN685" s="582">
        <f>SUM(AL685:AM686)</f>
        <v>39.31</v>
      </c>
      <c r="AO685" s="3"/>
      <c r="AP685" s="3"/>
      <c r="AQ685" s="3"/>
      <c r="AR685" s="3"/>
      <c r="AS685" s="3"/>
    </row>
    <row r="686" spans="3:45" ht="12.75" x14ac:dyDescent="0.2">
      <c r="C686" s="580"/>
      <c r="D686" s="577"/>
      <c r="E686" s="62" t="s">
        <v>19</v>
      </c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128">
        <f t="shared" si="105"/>
        <v>0</v>
      </c>
      <c r="AL686" s="114"/>
      <c r="AM686" s="66">
        <f>AK686</f>
        <v>0</v>
      </c>
      <c r="AN686" s="583"/>
      <c r="AO686" s="3"/>
      <c r="AP686" s="3"/>
      <c r="AQ686" s="3"/>
      <c r="AR686" s="3"/>
      <c r="AS686" s="3"/>
    </row>
    <row r="687" spans="3:45" ht="12.75" x14ac:dyDescent="0.2">
      <c r="C687" s="580"/>
      <c r="D687" s="576" t="s">
        <v>51</v>
      </c>
      <c r="E687" s="65" t="s">
        <v>18</v>
      </c>
      <c r="F687" s="65"/>
      <c r="G687" s="65"/>
      <c r="H687" s="65"/>
      <c r="I687" s="87">
        <v>26.1</v>
      </c>
      <c r="J687" s="65"/>
      <c r="K687" s="65"/>
      <c r="L687" s="65"/>
      <c r="M687" s="65"/>
      <c r="N687" s="65"/>
      <c r="O687" s="65"/>
      <c r="P687" s="65"/>
      <c r="Q687" s="65"/>
      <c r="R687" s="72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98">
        <f t="shared" si="105"/>
        <v>26.1</v>
      </c>
      <c r="AL687" s="96">
        <f>AK687</f>
        <v>26.1</v>
      </c>
      <c r="AM687" s="97"/>
      <c r="AN687" s="586">
        <f>SUM(AL687:AM688)</f>
        <v>26.1</v>
      </c>
      <c r="AO687" s="3"/>
      <c r="AP687" s="3"/>
      <c r="AQ687" s="3"/>
      <c r="AR687" s="3"/>
      <c r="AS687" s="3"/>
    </row>
    <row r="688" spans="3:45" ht="12.75" x14ac:dyDescent="0.2">
      <c r="C688" s="580"/>
      <c r="D688" s="577"/>
      <c r="E688" s="62" t="s">
        <v>19</v>
      </c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128">
        <f t="shared" si="105"/>
        <v>0</v>
      </c>
      <c r="AL688" s="93"/>
      <c r="AM688" s="94">
        <f>AK688</f>
        <v>0</v>
      </c>
      <c r="AN688" s="583"/>
      <c r="AO688" s="3"/>
      <c r="AP688" s="3"/>
      <c r="AQ688" s="3"/>
      <c r="AR688" s="3"/>
      <c r="AS688" s="3"/>
    </row>
    <row r="689" spans="3:45" ht="12.75" x14ac:dyDescent="0.2">
      <c r="C689" s="580"/>
      <c r="D689" s="576" t="s">
        <v>52</v>
      </c>
      <c r="E689" s="65" t="s">
        <v>18</v>
      </c>
      <c r="F689" s="65"/>
      <c r="G689" s="65"/>
      <c r="H689" s="65"/>
      <c r="I689" s="65"/>
      <c r="J689" s="65"/>
      <c r="K689" s="65"/>
      <c r="L689" s="65"/>
      <c r="M689" s="87">
        <v>9.18</v>
      </c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8"/>
      <c r="AK689" s="98">
        <f t="shared" si="105"/>
        <v>9.18</v>
      </c>
      <c r="AL689" s="96">
        <f>AK689</f>
        <v>9.18</v>
      </c>
      <c r="AM689" s="97"/>
      <c r="AN689" s="582">
        <f>SUM(AL689:AM690)</f>
        <v>9.18</v>
      </c>
      <c r="AO689" s="3"/>
      <c r="AP689" s="3"/>
      <c r="AQ689" s="3"/>
      <c r="AR689" s="3"/>
      <c r="AS689" s="3"/>
    </row>
    <row r="690" spans="3:45" ht="12.75" x14ac:dyDescent="0.2">
      <c r="C690" s="581"/>
      <c r="D690" s="585"/>
      <c r="E690" s="62" t="s">
        <v>19</v>
      </c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1"/>
      <c r="AK690" s="128">
        <f t="shared" si="105"/>
        <v>0</v>
      </c>
      <c r="AL690" s="93"/>
      <c r="AM690" s="94">
        <f>AK690</f>
        <v>0</v>
      </c>
      <c r="AN690" s="583"/>
      <c r="AO690" s="3"/>
      <c r="AP690" s="3"/>
      <c r="AQ690" s="3"/>
      <c r="AR690" s="3"/>
      <c r="AS690" s="3"/>
    </row>
    <row r="691" spans="3:45" ht="12.75" x14ac:dyDescent="0.2">
      <c r="C691" s="594" t="s">
        <v>53</v>
      </c>
      <c r="D691" s="115" t="s">
        <v>54</v>
      </c>
      <c r="E691" s="105" t="s">
        <v>18</v>
      </c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9"/>
      <c r="R691" s="109">
        <v>47.85</v>
      </c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9">
        <v>67.8</v>
      </c>
      <c r="AF691" s="109">
        <v>12.04</v>
      </c>
      <c r="AG691" s="105"/>
      <c r="AH691" s="105"/>
      <c r="AI691" s="105">
        <f>40.79+34.19</f>
        <v>74.97999999999999</v>
      </c>
      <c r="AJ691" s="103"/>
      <c r="AK691" s="98">
        <f t="shared" si="105"/>
        <v>202.67</v>
      </c>
      <c r="AL691" s="72">
        <f t="shared" ref="AL691:AL692" si="108">AK691</f>
        <v>202.67</v>
      </c>
      <c r="AM691" s="62"/>
      <c r="AN691" s="29">
        <f>AL691</f>
        <v>202.67</v>
      </c>
      <c r="AO691" s="3"/>
      <c r="AP691" s="3"/>
      <c r="AQ691" s="3"/>
      <c r="AR691" s="3"/>
      <c r="AS691" s="3"/>
    </row>
    <row r="692" spans="3:45" ht="12.75" x14ac:dyDescent="0.2">
      <c r="C692" s="580"/>
      <c r="D692" s="584" t="s">
        <v>55</v>
      </c>
      <c r="E692" s="65" t="s">
        <v>18</v>
      </c>
      <c r="F692" s="65"/>
      <c r="G692" s="65"/>
      <c r="H692" s="87">
        <v>136.69999999999999</v>
      </c>
      <c r="I692" s="65"/>
      <c r="J692" s="65"/>
      <c r="K692" s="87">
        <v>559.16999999999996</v>
      </c>
      <c r="L692" s="65"/>
      <c r="M692" s="87">
        <v>56.65</v>
      </c>
      <c r="N692" s="65"/>
      <c r="O692" s="65"/>
      <c r="P692" s="72"/>
      <c r="Q692" s="65"/>
      <c r="R692" s="72"/>
      <c r="S692" s="65"/>
      <c r="T692" s="65"/>
      <c r="U692" s="65"/>
      <c r="V692" s="65"/>
      <c r="W692" s="65"/>
      <c r="X692" s="65"/>
      <c r="Y692" s="65"/>
      <c r="Z692" s="72"/>
      <c r="AA692" s="87">
        <v>192.7</v>
      </c>
      <c r="AB692" s="65"/>
      <c r="AC692" s="65"/>
      <c r="AD692" s="65"/>
      <c r="AE692" s="65"/>
      <c r="AF692" s="65"/>
      <c r="AG692" s="65"/>
      <c r="AH692" s="72"/>
      <c r="AI692" s="65"/>
      <c r="AJ692" s="68"/>
      <c r="AK692" s="98">
        <f t="shared" si="105"/>
        <v>945.2199999999998</v>
      </c>
      <c r="AL692" s="96">
        <f t="shared" si="108"/>
        <v>945.2199999999998</v>
      </c>
      <c r="AM692" s="97"/>
      <c r="AN692" s="582">
        <f>SUM(AL692:AM693)</f>
        <v>945.2199999999998</v>
      </c>
      <c r="AO692" s="3"/>
      <c r="AP692" s="3"/>
      <c r="AQ692" s="3"/>
      <c r="AR692" s="3"/>
      <c r="AS692" s="3"/>
    </row>
    <row r="693" spans="3:45" ht="12.75" x14ac:dyDescent="0.2">
      <c r="C693" s="580"/>
      <c r="D693" s="577"/>
      <c r="E693" s="62" t="s">
        <v>19</v>
      </c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1"/>
      <c r="AK693" s="128">
        <f t="shared" si="105"/>
        <v>0</v>
      </c>
      <c r="AL693" s="93"/>
      <c r="AM693" s="94">
        <f>AK693</f>
        <v>0</v>
      </c>
      <c r="AN693" s="583"/>
      <c r="AO693" s="3"/>
      <c r="AP693" s="3"/>
      <c r="AQ693" s="3"/>
      <c r="AR693" s="3"/>
      <c r="AS693" s="3"/>
    </row>
    <row r="694" spans="3:45" ht="12.75" x14ac:dyDescent="0.2">
      <c r="C694" s="580"/>
      <c r="D694" s="584" t="s">
        <v>56</v>
      </c>
      <c r="E694" s="65" t="s">
        <v>18</v>
      </c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8"/>
      <c r="AK694" s="98">
        <f t="shared" si="105"/>
        <v>0</v>
      </c>
      <c r="AL694" s="96">
        <f>AK694</f>
        <v>0</v>
      </c>
      <c r="AM694" s="97"/>
      <c r="AN694" s="582">
        <f>SUM(AL694:AM695)</f>
        <v>0</v>
      </c>
      <c r="AO694" s="3"/>
      <c r="AP694" s="3"/>
      <c r="AQ694" s="3"/>
      <c r="AR694" s="3"/>
      <c r="AS694" s="3"/>
    </row>
    <row r="695" spans="3:45" ht="12.75" x14ac:dyDescent="0.2">
      <c r="C695" s="580"/>
      <c r="D695" s="577"/>
      <c r="E695" s="62" t="s">
        <v>19</v>
      </c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1"/>
      <c r="AK695" s="128">
        <f t="shared" si="105"/>
        <v>0</v>
      </c>
      <c r="AL695" s="93"/>
      <c r="AM695" s="94">
        <f>AK695</f>
        <v>0</v>
      </c>
      <c r="AN695" s="583"/>
      <c r="AO695" s="3"/>
      <c r="AP695" s="3"/>
      <c r="AQ695" s="3"/>
      <c r="AR695" s="3"/>
      <c r="AS695" s="3"/>
    </row>
    <row r="696" spans="3:45" ht="12.75" x14ac:dyDescent="0.2">
      <c r="C696" s="580"/>
      <c r="D696" s="584" t="s">
        <v>57</v>
      </c>
      <c r="E696" s="65" t="s">
        <v>18</v>
      </c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8"/>
      <c r="AK696" s="98">
        <f t="shared" si="105"/>
        <v>0</v>
      </c>
      <c r="AL696" s="96">
        <f>AK696</f>
        <v>0</v>
      </c>
      <c r="AM696" s="97"/>
      <c r="AN696" s="582">
        <f>SUM(AL696:AM697)</f>
        <v>0</v>
      </c>
      <c r="AO696" s="3"/>
      <c r="AP696" s="3"/>
      <c r="AQ696" s="3"/>
      <c r="AR696" s="3"/>
      <c r="AS696" s="3"/>
    </row>
    <row r="697" spans="3:45" ht="12.75" x14ac:dyDescent="0.2">
      <c r="C697" s="581"/>
      <c r="D697" s="585"/>
      <c r="E697" s="284" t="s">
        <v>19</v>
      </c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  <c r="AA697" s="284"/>
      <c r="AB697" s="284"/>
      <c r="AC697" s="284"/>
      <c r="AD697" s="284"/>
      <c r="AE697" s="284"/>
      <c r="AF697" s="284"/>
      <c r="AG697" s="284"/>
      <c r="AH697" s="284"/>
      <c r="AI697" s="284"/>
      <c r="AJ697" s="100"/>
      <c r="AK697" s="128">
        <f t="shared" si="105"/>
        <v>0</v>
      </c>
      <c r="AL697" s="93"/>
      <c r="AM697" s="94">
        <f>AK697</f>
        <v>0</v>
      </c>
      <c r="AN697" s="583"/>
      <c r="AO697" s="3"/>
      <c r="AP697" s="3"/>
      <c r="AQ697" s="3"/>
      <c r="AR697" s="3"/>
      <c r="AS697" s="3"/>
    </row>
    <row r="698" spans="3:45" ht="12.75" x14ac:dyDescent="0.2">
      <c r="C698" s="594" t="s">
        <v>58</v>
      </c>
      <c r="D698" s="604" t="s">
        <v>59</v>
      </c>
      <c r="E698" s="105" t="s">
        <v>18</v>
      </c>
      <c r="F698" s="105"/>
      <c r="G698" s="105"/>
      <c r="H698" s="105"/>
      <c r="I698" s="105"/>
      <c r="J698" s="105"/>
      <c r="K698" s="109">
        <v>50</v>
      </c>
      <c r="L698" s="105"/>
      <c r="M698" s="109">
        <v>25.88</v>
      </c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9">
        <v>50</v>
      </c>
      <c r="AE698" s="105"/>
      <c r="AF698" s="109"/>
      <c r="AG698" s="105"/>
      <c r="AH698" s="105"/>
      <c r="AI698" s="105"/>
      <c r="AJ698" s="103"/>
      <c r="AK698" s="98">
        <f t="shared" si="105"/>
        <v>125.88</v>
      </c>
      <c r="AL698" s="96">
        <f>AK698</f>
        <v>125.88</v>
      </c>
      <c r="AM698" s="97"/>
      <c r="AN698" s="616">
        <f>SUM(AL698:AM699)</f>
        <v>125.88</v>
      </c>
      <c r="AO698" s="3"/>
      <c r="AP698" s="3"/>
      <c r="AQ698" s="3"/>
      <c r="AR698" s="3"/>
      <c r="AS698" s="3"/>
    </row>
    <row r="699" spans="3:45" ht="12.75" x14ac:dyDescent="0.2">
      <c r="C699" s="580"/>
      <c r="D699" s="577"/>
      <c r="E699" s="62" t="s">
        <v>19</v>
      </c>
      <c r="F699" s="62"/>
      <c r="G699" s="62"/>
      <c r="H699" s="62"/>
      <c r="I699" s="62"/>
      <c r="J699" s="62"/>
      <c r="K699" s="66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1"/>
      <c r="AK699" s="128">
        <f t="shared" si="105"/>
        <v>0</v>
      </c>
      <c r="AL699" s="93"/>
      <c r="AM699" s="94">
        <f>AK699</f>
        <v>0</v>
      </c>
      <c r="AN699" s="585"/>
      <c r="AO699" s="3"/>
      <c r="AP699" s="3"/>
      <c r="AQ699" s="3"/>
      <c r="AR699" s="3"/>
      <c r="AS699" s="3"/>
    </row>
    <row r="700" spans="3:45" ht="12.75" x14ac:dyDescent="0.2">
      <c r="C700" s="580"/>
      <c r="D700" s="584" t="s">
        <v>60</v>
      </c>
      <c r="E700" s="65" t="s">
        <v>18</v>
      </c>
      <c r="F700" s="65"/>
      <c r="G700" s="65"/>
      <c r="H700" s="65"/>
      <c r="I700" s="65"/>
      <c r="J700" s="87">
        <v>50</v>
      </c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72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8"/>
      <c r="AK700" s="98">
        <f t="shared" si="105"/>
        <v>50</v>
      </c>
      <c r="AL700" s="89">
        <f>AK700</f>
        <v>50</v>
      </c>
      <c r="AM700" s="62"/>
      <c r="AN700" s="582">
        <f>SUM(AL700:AM701)</f>
        <v>50</v>
      </c>
      <c r="AO700" s="3"/>
      <c r="AP700" s="3"/>
      <c r="AQ700" s="3"/>
      <c r="AR700" s="3"/>
      <c r="AS700" s="3"/>
    </row>
    <row r="701" spans="3:45" ht="12.75" x14ac:dyDescent="0.2">
      <c r="C701" s="580"/>
      <c r="D701" s="577"/>
      <c r="E701" s="62" t="s">
        <v>19</v>
      </c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1"/>
      <c r="AK701" s="128">
        <f t="shared" si="105"/>
        <v>0</v>
      </c>
      <c r="AL701" s="114"/>
      <c r="AM701" s="66">
        <f>AK701</f>
        <v>0</v>
      </c>
      <c r="AN701" s="583"/>
      <c r="AO701" s="3"/>
      <c r="AP701" s="3"/>
      <c r="AQ701" s="3"/>
      <c r="AR701" s="3"/>
      <c r="AS701" s="3"/>
    </row>
    <row r="702" spans="3:45" ht="12.75" x14ac:dyDescent="0.2">
      <c r="C702" s="580"/>
      <c r="D702" s="584" t="s">
        <v>61</v>
      </c>
      <c r="E702" s="65" t="s">
        <v>18</v>
      </c>
      <c r="F702" s="65"/>
      <c r="G702" s="65"/>
      <c r="H702" s="65"/>
      <c r="I702" s="65"/>
      <c r="J702" s="65"/>
      <c r="K702" s="65"/>
      <c r="L702" s="72"/>
      <c r="M702" s="65"/>
      <c r="N702" s="65"/>
      <c r="O702" s="65"/>
      <c r="P702" s="65"/>
      <c r="Q702" s="65"/>
      <c r="R702" s="65"/>
      <c r="S702" s="87">
        <f>59+26</f>
        <v>85</v>
      </c>
      <c r="T702" s="65"/>
      <c r="U702" s="65"/>
      <c r="V702" s="72"/>
      <c r="W702" s="65"/>
      <c r="X702" s="65">
        <f>33.98</f>
        <v>33.979999999999997</v>
      </c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8"/>
      <c r="AK702" s="88">
        <f t="shared" si="105"/>
        <v>118.97999999999999</v>
      </c>
      <c r="AL702" s="96">
        <f>AK702</f>
        <v>118.97999999999999</v>
      </c>
      <c r="AM702" s="97"/>
      <c r="AN702" s="616">
        <f>SUM(AL702:AM703)</f>
        <v>118.97999999999999</v>
      </c>
      <c r="AO702" s="3"/>
      <c r="AP702" s="3"/>
      <c r="AQ702" s="3"/>
      <c r="AR702" s="3"/>
      <c r="AS702" s="3"/>
    </row>
    <row r="703" spans="3:45" ht="12.75" x14ac:dyDescent="0.2">
      <c r="C703" s="580"/>
      <c r="D703" s="577"/>
      <c r="E703" s="62" t="s">
        <v>19</v>
      </c>
      <c r="F703" s="62"/>
      <c r="G703" s="62"/>
      <c r="H703" s="66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1"/>
      <c r="AK703" s="92">
        <f t="shared" si="105"/>
        <v>0</v>
      </c>
      <c r="AL703" s="93"/>
      <c r="AM703" s="94">
        <f>AK703</f>
        <v>0</v>
      </c>
      <c r="AN703" s="585"/>
      <c r="AO703" s="3"/>
      <c r="AP703" s="3"/>
      <c r="AQ703" s="3"/>
      <c r="AR703" s="3"/>
      <c r="AS703" s="3"/>
    </row>
    <row r="704" spans="3:45" ht="12.75" x14ac:dyDescent="0.2">
      <c r="C704" s="580"/>
      <c r="D704" s="584" t="s">
        <v>62</v>
      </c>
      <c r="E704" s="65" t="s">
        <v>18</v>
      </c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8"/>
      <c r="AK704" s="88">
        <f t="shared" si="105"/>
        <v>0</v>
      </c>
      <c r="AL704" s="96">
        <f>AK704</f>
        <v>0</v>
      </c>
      <c r="AM704" s="97"/>
      <c r="AN704" s="582">
        <f>SUM(AL704:AM705)</f>
        <v>0</v>
      </c>
      <c r="AO704" s="3"/>
      <c r="AP704" s="3"/>
      <c r="AQ704" s="3"/>
      <c r="AR704" s="3"/>
      <c r="AS704" s="3"/>
    </row>
    <row r="705" spans="3:45" ht="12.75" x14ac:dyDescent="0.2">
      <c r="C705" s="581"/>
      <c r="D705" s="577"/>
      <c r="E705" s="62" t="s">
        <v>19</v>
      </c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1"/>
      <c r="AK705" s="92">
        <f t="shared" si="105"/>
        <v>0</v>
      </c>
      <c r="AL705" s="93"/>
      <c r="AM705" s="94">
        <f>AK705</f>
        <v>0</v>
      </c>
      <c r="AN705" s="583"/>
      <c r="AO705" s="3"/>
      <c r="AP705" s="3"/>
      <c r="AQ705" s="3"/>
      <c r="AR705" s="3"/>
      <c r="AS705" s="3"/>
    </row>
    <row r="706" spans="3:45" ht="12.75" x14ac:dyDescent="0.2">
      <c r="C706" s="594" t="s">
        <v>63</v>
      </c>
      <c r="D706" s="604" t="s">
        <v>75</v>
      </c>
      <c r="E706" s="105" t="s">
        <v>18</v>
      </c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3"/>
      <c r="AK706" s="98">
        <f t="shared" si="105"/>
        <v>0</v>
      </c>
      <c r="AL706" s="108">
        <f>AK706</f>
        <v>0</v>
      </c>
      <c r="AM706" s="97"/>
      <c r="AN706" s="582">
        <f>SUM(AL706:AM707)</f>
        <v>0</v>
      </c>
      <c r="AO706" s="3"/>
      <c r="AP706" s="3"/>
      <c r="AQ706" s="3"/>
      <c r="AR706" s="3"/>
      <c r="AS706" s="3"/>
    </row>
    <row r="707" spans="3:45" ht="12.75" x14ac:dyDescent="0.2">
      <c r="C707" s="580"/>
      <c r="D707" s="577"/>
      <c r="E707" s="62" t="s">
        <v>19</v>
      </c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1"/>
      <c r="AK707" s="128">
        <f t="shared" si="105"/>
        <v>0</v>
      </c>
      <c r="AL707" s="93"/>
      <c r="AM707" s="94">
        <f>AK707</f>
        <v>0</v>
      </c>
      <c r="AN707" s="583"/>
      <c r="AO707" s="3"/>
      <c r="AP707" s="3"/>
      <c r="AQ707" s="3"/>
      <c r="AR707" s="3"/>
      <c r="AS707" s="3"/>
    </row>
    <row r="708" spans="3:45" ht="12.75" x14ac:dyDescent="0.2">
      <c r="C708" s="580"/>
      <c r="D708" s="584" t="s">
        <v>65</v>
      </c>
      <c r="E708" s="65" t="s">
        <v>18</v>
      </c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8"/>
      <c r="AK708" s="98">
        <f t="shared" si="105"/>
        <v>0</v>
      </c>
      <c r="AL708" s="96">
        <f>AK708</f>
        <v>0</v>
      </c>
      <c r="AM708" s="97"/>
      <c r="AN708" s="582">
        <f>SUM(AL708:AM709)</f>
        <v>0</v>
      </c>
      <c r="AO708" s="3"/>
      <c r="AP708" s="3"/>
      <c r="AQ708" s="3"/>
      <c r="AR708" s="3"/>
      <c r="AS708" s="3"/>
    </row>
    <row r="709" spans="3:45" ht="12.75" x14ac:dyDescent="0.2">
      <c r="C709" s="581"/>
      <c r="D709" s="585"/>
      <c r="E709" s="284" t="s">
        <v>19</v>
      </c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94"/>
      <c r="V709" s="284"/>
      <c r="W709" s="284"/>
      <c r="X709" s="284"/>
      <c r="Y709" s="284"/>
      <c r="Z709" s="284"/>
      <c r="AA709" s="284"/>
      <c r="AB709" s="284"/>
      <c r="AC709" s="284"/>
      <c r="AD709" s="284"/>
      <c r="AE709" s="284"/>
      <c r="AF709" s="284"/>
      <c r="AG709" s="284"/>
      <c r="AH709" s="284"/>
      <c r="AI709" s="284"/>
      <c r="AJ709" s="100"/>
      <c r="AK709" s="317">
        <f t="shared" si="105"/>
        <v>0</v>
      </c>
      <c r="AL709" s="93"/>
      <c r="AM709" s="94">
        <f>AK709</f>
        <v>0</v>
      </c>
      <c r="AN709" s="583"/>
      <c r="AO709" s="3"/>
      <c r="AP709" s="3"/>
      <c r="AQ709" s="3"/>
      <c r="AR709" s="3"/>
      <c r="AS709" s="3"/>
    </row>
    <row r="710" spans="3:45" ht="12.75" x14ac:dyDescent="0.2">
      <c r="C710" s="246" t="s">
        <v>32</v>
      </c>
      <c r="D710" s="62"/>
      <c r="E710" s="62"/>
      <c r="F710" s="66">
        <f t="shared" ref="F710:AM710" si="109">SUM(F659:F709)</f>
        <v>32.96</v>
      </c>
      <c r="G710" s="66">
        <f t="shared" si="109"/>
        <v>37.07</v>
      </c>
      <c r="H710" s="66">
        <f t="shared" si="109"/>
        <v>156.87</v>
      </c>
      <c r="I710" s="66">
        <f t="shared" si="109"/>
        <v>90.710000000000008</v>
      </c>
      <c r="J710" s="66">
        <f t="shared" si="109"/>
        <v>93.759999999999991</v>
      </c>
      <c r="K710" s="66">
        <f t="shared" si="109"/>
        <v>739.8</v>
      </c>
      <c r="L710" s="66">
        <f t="shared" si="109"/>
        <v>17.16</v>
      </c>
      <c r="M710" s="66">
        <f t="shared" si="109"/>
        <v>114.72</v>
      </c>
      <c r="N710" s="66">
        <f t="shared" si="109"/>
        <v>30.63</v>
      </c>
      <c r="O710" s="66">
        <f t="shared" si="109"/>
        <v>28.25</v>
      </c>
      <c r="P710" s="66">
        <f t="shared" si="109"/>
        <v>118.37</v>
      </c>
      <c r="Q710" s="66">
        <f t="shared" si="109"/>
        <v>0</v>
      </c>
      <c r="R710" s="66">
        <f t="shared" si="109"/>
        <v>71.850000000000009</v>
      </c>
      <c r="S710" s="66">
        <f t="shared" si="109"/>
        <v>128.48000000000002</v>
      </c>
      <c r="T710" s="66">
        <f t="shared" si="109"/>
        <v>38.75</v>
      </c>
      <c r="U710" s="66">
        <f t="shared" si="109"/>
        <v>18.68</v>
      </c>
      <c r="V710" s="66">
        <f t="shared" si="109"/>
        <v>58.089999999999982</v>
      </c>
      <c r="W710" s="66">
        <f t="shared" si="109"/>
        <v>15.379999999999999</v>
      </c>
      <c r="X710" s="66">
        <f t="shared" si="109"/>
        <v>54.81</v>
      </c>
      <c r="Y710" s="66">
        <f t="shared" si="109"/>
        <v>65.66</v>
      </c>
      <c r="Z710" s="66">
        <f t="shared" si="109"/>
        <v>68.679999999999993</v>
      </c>
      <c r="AA710" s="66">
        <f t="shared" si="109"/>
        <v>305.49</v>
      </c>
      <c r="AB710" s="66">
        <f t="shared" si="109"/>
        <v>27.12</v>
      </c>
      <c r="AC710" s="66">
        <f t="shared" si="109"/>
        <v>31.28</v>
      </c>
      <c r="AD710" s="66">
        <f t="shared" si="109"/>
        <v>92.01</v>
      </c>
      <c r="AE710" s="66">
        <f t="shared" si="109"/>
        <v>89.16</v>
      </c>
      <c r="AF710" s="66">
        <f t="shared" si="109"/>
        <v>40.64</v>
      </c>
      <c r="AG710" s="66">
        <f t="shared" si="109"/>
        <v>22.95</v>
      </c>
      <c r="AH710" s="66">
        <f t="shared" si="109"/>
        <v>46.58</v>
      </c>
      <c r="AI710" s="66">
        <f t="shared" si="109"/>
        <v>98.579999999999984</v>
      </c>
      <c r="AJ710" s="66">
        <f t="shared" si="109"/>
        <v>0</v>
      </c>
      <c r="AK710" s="131">
        <f t="shared" si="109"/>
        <v>2707.4900000000002</v>
      </c>
      <c r="AL710" s="72">
        <f t="shared" si="109"/>
        <v>2674.4900000000002</v>
      </c>
      <c r="AM710" s="66">
        <f t="shared" si="109"/>
        <v>60</v>
      </c>
      <c r="AN710" s="3"/>
      <c r="AO710" s="3"/>
      <c r="AP710" s="3"/>
      <c r="AQ710" s="3"/>
      <c r="AR710" s="3"/>
      <c r="AS710" s="3"/>
    </row>
    <row r="712" spans="3:45" ht="12.75" x14ac:dyDescent="0.2">
      <c r="C712" s="3"/>
      <c r="D712" s="3"/>
      <c r="E712" s="3"/>
      <c r="F712" s="578" t="s">
        <v>76</v>
      </c>
      <c r="G712" s="577"/>
      <c r="H712" s="577"/>
      <c r="I712" s="577"/>
      <c r="J712" s="577"/>
      <c r="K712" s="577"/>
      <c r="L712" s="577"/>
      <c r="M712" s="577"/>
      <c r="N712" s="577"/>
      <c r="O712" s="577"/>
      <c r="P712" s="577"/>
      <c r="Q712" s="577"/>
      <c r="R712" s="577"/>
      <c r="S712" s="577"/>
      <c r="T712" s="577"/>
      <c r="U712" s="577"/>
      <c r="V712" s="577"/>
      <c r="W712" s="577"/>
      <c r="X712" s="577"/>
      <c r="Y712" s="577"/>
      <c r="Z712" s="577"/>
      <c r="AA712" s="577"/>
      <c r="AB712" s="577"/>
      <c r="AC712" s="577"/>
      <c r="AD712" s="577"/>
      <c r="AE712" s="577"/>
      <c r="AF712" s="577"/>
      <c r="AG712" s="577"/>
      <c r="AH712" s="577"/>
      <c r="AI712" s="577"/>
      <c r="AJ712" s="577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3:45" ht="12.75" x14ac:dyDescent="0.2">
      <c r="C713" s="3"/>
      <c r="D713" s="3"/>
      <c r="E713" s="302" t="s">
        <v>9</v>
      </c>
      <c r="F713" s="349" t="s">
        <v>14</v>
      </c>
      <c r="G713" s="349" t="s">
        <v>15</v>
      </c>
      <c r="H713" s="349" t="s">
        <v>16</v>
      </c>
      <c r="I713" s="349" t="s">
        <v>10</v>
      </c>
      <c r="J713" s="349" t="s">
        <v>11</v>
      </c>
      <c r="K713" s="349" t="s">
        <v>12</v>
      </c>
      <c r="L713" s="349" t="s">
        <v>13</v>
      </c>
      <c r="M713" s="349" t="s">
        <v>14</v>
      </c>
      <c r="N713" s="349" t="s">
        <v>15</v>
      </c>
      <c r="O713" s="349" t="s">
        <v>16</v>
      </c>
      <c r="P713" s="349" t="s">
        <v>10</v>
      </c>
      <c r="Q713" s="349" t="s">
        <v>11</v>
      </c>
      <c r="R713" s="349" t="s">
        <v>12</v>
      </c>
      <c r="S713" s="349" t="s">
        <v>13</v>
      </c>
      <c r="T713" s="349" t="s">
        <v>14</v>
      </c>
      <c r="U713" s="349" t="s">
        <v>15</v>
      </c>
      <c r="V713" s="349" t="s">
        <v>16</v>
      </c>
      <c r="W713" s="349" t="s">
        <v>10</v>
      </c>
      <c r="X713" s="349" t="s">
        <v>11</v>
      </c>
      <c r="Y713" s="349" t="s">
        <v>12</v>
      </c>
      <c r="Z713" s="349" t="s">
        <v>13</v>
      </c>
      <c r="AA713" s="349" t="s">
        <v>14</v>
      </c>
      <c r="AB713" s="349" t="s">
        <v>15</v>
      </c>
      <c r="AC713" s="349" t="s">
        <v>16</v>
      </c>
      <c r="AD713" s="349" t="s">
        <v>10</v>
      </c>
      <c r="AE713" s="349" t="s">
        <v>11</v>
      </c>
      <c r="AF713" s="349" t="s">
        <v>12</v>
      </c>
      <c r="AG713" s="349" t="s">
        <v>13</v>
      </c>
      <c r="AH713" s="349" t="s">
        <v>14</v>
      </c>
      <c r="AI713" s="349" t="s">
        <v>15</v>
      </c>
      <c r="AJ713" s="349" t="s">
        <v>16</v>
      </c>
      <c r="AK713" s="350"/>
      <c r="AL713" s="10"/>
      <c r="AM713" s="9"/>
      <c r="AN713" s="11"/>
      <c r="AO713" s="3"/>
      <c r="AP713" s="10"/>
      <c r="AQ713" s="12" t="s">
        <v>17</v>
      </c>
      <c r="AR713" s="12" t="s">
        <v>18</v>
      </c>
      <c r="AS713" s="12" t="s">
        <v>19</v>
      </c>
    </row>
    <row r="714" spans="3:45" ht="12.75" x14ac:dyDescent="0.2">
      <c r="C714" s="3"/>
      <c r="D714" s="3"/>
      <c r="E714" s="302" t="s">
        <v>20</v>
      </c>
      <c r="F714" s="302">
        <v>1</v>
      </c>
      <c r="G714" s="302">
        <v>2</v>
      </c>
      <c r="H714" s="302">
        <v>3</v>
      </c>
      <c r="I714" s="302">
        <v>4</v>
      </c>
      <c r="J714" s="302">
        <v>5</v>
      </c>
      <c r="K714" s="302">
        <v>6</v>
      </c>
      <c r="L714" s="302">
        <v>7</v>
      </c>
      <c r="M714" s="302">
        <v>8</v>
      </c>
      <c r="N714" s="302">
        <v>9</v>
      </c>
      <c r="O714" s="302">
        <v>10</v>
      </c>
      <c r="P714" s="302">
        <v>11</v>
      </c>
      <c r="Q714" s="302">
        <v>12</v>
      </c>
      <c r="R714" s="302">
        <v>13</v>
      </c>
      <c r="S714" s="302">
        <v>14</v>
      </c>
      <c r="T714" s="302">
        <v>15</v>
      </c>
      <c r="U714" s="302">
        <v>16</v>
      </c>
      <c r="V714" s="302">
        <v>17</v>
      </c>
      <c r="W714" s="302">
        <v>18</v>
      </c>
      <c r="X714" s="302">
        <v>19</v>
      </c>
      <c r="Y714" s="302">
        <v>20</v>
      </c>
      <c r="Z714" s="302">
        <v>21</v>
      </c>
      <c r="AA714" s="302">
        <v>22</v>
      </c>
      <c r="AB714" s="302">
        <v>23</v>
      </c>
      <c r="AC714" s="302">
        <v>24</v>
      </c>
      <c r="AD714" s="302">
        <v>25</v>
      </c>
      <c r="AE714" s="302">
        <v>26</v>
      </c>
      <c r="AF714" s="302">
        <v>27</v>
      </c>
      <c r="AG714" s="302">
        <v>28</v>
      </c>
      <c r="AH714" s="302">
        <v>29</v>
      </c>
      <c r="AI714" s="302">
        <v>30</v>
      </c>
      <c r="AJ714" s="351">
        <v>31</v>
      </c>
      <c r="AK714" s="302" t="s">
        <v>21</v>
      </c>
      <c r="AL714" s="10" t="s">
        <v>18</v>
      </c>
      <c r="AM714" s="9" t="s">
        <v>19</v>
      </c>
      <c r="AN714" s="11" t="s">
        <v>22</v>
      </c>
      <c r="AO714" s="3"/>
      <c r="AP714" s="12" t="s">
        <v>23</v>
      </c>
      <c r="AQ714" s="19">
        <f>AK725-AK777</f>
        <v>-229.83999999999992</v>
      </c>
      <c r="AR714" s="19">
        <f t="shared" ref="AR714:AS714" si="110">(AL725-AL777)</f>
        <v>112.86000000000013</v>
      </c>
      <c r="AS714" s="19">
        <f t="shared" si="110"/>
        <v>-369.7</v>
      </c>
    </row>
    <row r="715" spans="3:45" ht="12.75" x14ac:dyDescent="0.2">
      <c r="C715" s="579" t="s">
        <v>24</v>
      </c>
      <c r="D715" s="352" t="s">
        <v>25</v>
      </c>
      <c r="E715" s="23" t="s">
        <v>18</v>
      </c>
      <c r="F715" s="23"/>
      <c r="G715" s="25">
        <v>5</v>
      </c>
      <c r="H715" s="23"/>
      <c r="I715" s="274"/>
      <c r="J715" s="25">
        <v>994.33</v>
      </c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74"/>
      <c r="X715" s="23"/>
      <c r="Y715" s="25">
        <v>630</v>
      </c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96">
        <f t="shared" ref="AK715:AK724" si="111">SUM(F715:AJ715)</f>
        <v>1629.33</v>
      </c>
      <c r="AL715" s="28">
        <f t="shared" ref="AL715:AL716" si="112">AK715</f>
        <v>1629.33</v>
      </c>
      <c r="AM715" s="9"/>
      <c r="AN715" s="353">
        <f>AL715</f>
        <v>1629.33</v>
      </c>
      <c r="AO715" s="3"/>
      <c r="AP715" s="3"/>
      <c r="AQ715" s="3"/>
      <c r="AR715" s="3"/>
      <c r="AS715" s="3"/>
    </row>
    <row r="716" spans="3:45" ht="12.75" x14ac:dyDescent="0.2">
      <c r="C716" s="580"/>
      <c r="D716" s="576" t="s">
        <v>26</v>
      </c>
      <c r="E716" s="10" t="s">
        <v>18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297">
        <f t="shared" si="111"/>
        <v>0</v>
      </c>
      <c r="AL716" s="34">
        <f t="shared" si="112"/>
        <v>0</v>
      </c>
      <c r="AM716" s="35"/>
      <c r="AN716" s="582">
        <f>SUM(AL716:AM717)</f>
        <v>0</v>
      </c>
      <c r="AO716" s="3"/>
      <c r="AP716" s="3"/>
      <c r="AQ716" s="3"/>
      <c r="AR716" s="3"/>
      <c r="AS716" s="3"/>
    </row>
    <row r="717" spans="3:45" ht="12.75" x14ac:dyDescent="0.2">
      <c r="C717" s="580"/>
      <c r="D717" s="577"/>
      <c r="E717" s="9" t="s">
        <v>19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298">
        <f t="shared" si="111"/>
        <v>0</v>
      </c>
      <c r="AL717" s="39"/>
      <c r="AM717" s="40">
        <f t="shared" ref="AM717:AM718" si="113">AK717</f>
        <v>0</v>
      </c>
      <c r="AN717" s="583"/>
      <c r="AO717" s="3"/>
      <c r="AP717" s="3"/>
      <c r="AQ717" s="3"/>
      <c r="AR717" s="3"/>
      <c r="AS717" s="3"/>
    </row>
    <row r="718" spans="3:45" ht="12.75" x14ac:dyDescent="0.2">
      <c r="C718" s="580"/>
      <c r="D718" s="354" t="s">
        <v>27</v>
      </c>
      <c r="E718" s="9" t="s">
        <v>19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298">
        <f t="shared" si="111"/>
        <v>0</v>
      </c>
      <c r="AL718" s="10"/>
      <c r="AM718" s="19">
        <f t="shared" si="113"/>
        <v>0</v>
      </c>
      <c r="AN718" s="353">
        <f>AM718</f>
        <v>0</v>
      </c>
      <c r="AO718" s="3"/>
      <c r="AP718" s="3"/>
      <c r="AQ718" s="3"/>
      <c r="AR718" s="3"/>
      <c r="AS718" s="3"/>
    </row>
    <row r="719" spans="3:45" ht="12.75" x14ac:dyDescent="0.2">
      <c r="C719" s="580"/>
      <c r="D719" s="576" t="s">
        <v>28</v>
      </c>
      <c r="E719" s="10" t="s">
        <v>18</v>
      </c>
      <c r="F719" s="10"/>
      <c r="G719" s="10"/>
      <c r="H719" s="10"/>
      <c r="I719" s="10"/>
      <c r="J719" s="41">
        <v>30</v>
      </c>
      <c r="K719" s="10"/>
      <c r="L719" s="41">
        <v>5</v>
      </c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41">
        <v>100</v>
      </c>
      <c r="AC719" s="10"/>
      <c r="AD719" s="10"/>
      <c r="AE719" s="10"/>
      <c r="AF719" s="10"/>
      <c r="AG719" s="10"/>
      <c r="AH719" s="10"/>
      <c r="AI719" s="10"/>
      <c r="AJ719" s="10"/>
      <c r="AK719" s="297">
        <f t="shared" si="111"/>
        <v>135</v>
      </c>
      <c r="AL719" s="34">
        <f>AK719</f>
        <v>135</v>
      </c>
      <c r="AM719" s="35"/>
      <c r="AN719" s="582">
        <f>SUM(AL719:AM720)</f>
        <v>135</v>
      </c>
      <c r="AO719" s="3"/>
      <c r="AP719" s="3"/>
      <c r="AQ719" s="3"/>
      <c r="AR719" s="3"/>
      <c r="AS719" s="3"/>
    </row>
    <row r="720" spans="3:45" ht="12.75" x14ac:dyDescent="0.2">
      <c r="C720" s="580"/>
      <c r="D720" s="577"/>
      <c r="E720" s="9" t="s">
        <v>19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298">
        <f t="shared" si="111"/>
        <v>0</v>
      </c>
      <c r="AL720" s="39"/>
      <c r="AM720" s="40">
        <f>AK720</f>
        <v>0</v>
      </c>
      <c r="AN720" s="583"/>
      <c r="AO720" s="3"/>
      <c r="AP720" s="3"/>
      <c r="AQ720" s="3"/>
      <c r="AR720" s="3"/>
      <c r="AS720" s="3"/>
    </row>
    <row r="721" spans="3:45" ht="12.75" x14ac:dyDescent="0.2">
      <c r="C721" s="580"/>
      <c r="D721" s="576" t="s">
        <v>29</v>
      </c>
      <c r="E721" s="10" t="s">
        <v>18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297">
        <f t="shared" si="111"/>
        <v>0</v>
      </c>
      <c r="AL721" s="34">
        <f>AK721</f>
        <v>0</v>
      </c>
      <c r="AM721" s="35"/>
      <c r="AN721" s="582">
        <f>SUM(AL721:AM722)</f>
        <v>0</v>
      </c>
      <c r="AO721" s="3"/>
      <c r="AP721" s="3"/>
      <c r="AQ721" s="3"/>
      <c r="AR721" s="3"/>
      <c r="AS721" s="3"/>
    </row>
    <row r="722" spans="3:45" ht="12.75" x14ac:dyDescent="0.2">
      <c r="C722" s="580"/>
      <c r="D722" s="577"/>
      <c r="E722" s="9" t="s">
        <v>19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298">
        <f t="shared" si="111"/>
        <v>0</v>
      </c>
      <c r="AL722" s="39"/>
      <c r="AM722" s="40">
        <f>AK722</f>
        <v>0</v>
      </c>
      <c r="AN722" s="583"/>
      <c r="AO722" s="3"/>
      <c r="AP722" s="3"/>
      <c r="AQ722" s="3"/>
      <c r="AR722" s="3"/>
      <c r="AS722" s="3"/>
    </row>
    <row r="723" spans="3:45" ht="12.75" x14ac:dyDescent="0.2">
      <c r="C723" s="580"/>
      <c r="D723" s="576" t="s">
        <v>31</v>
      </c>
      <c r="E723" s="10" t="s">
        <v>18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297">
        <f t="shared" si="111"/>
        <v>0</v>
      </c>
      <c r="AL723" s="34">
        <f>AK723</f>
        <v>0</v>
      </c>
      <c r="AM723" s="35"/>
      <c r="AN723" s="582">
        <f>SUM(AL723:AM724)</f>
        <v>0</v>
      </c>
      <c r="AO723" s="3"/>
      <c r="AP723" s="3"/>
      <c r="AQ723" s="3"/>
      <c r="AR723" s="3"/>
      <c r="AS723" s="3"/>
    </row>
    <row r="724" spans="3:45" ht="12.75" x14ac:dyDescent="0.2">
      <c r="C724" s="581"/>
      <c r="D724" s="585"/>
      <c r="E724" s="277" t="s">
        <v>19</v>
      </c>
      <c r="F724" s="277"/>
      <c r="G724" s="277"/>
      <c r="H724" s="277"/>
      <c r="I724" s="277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  <c r="W724" s="277"/>
      <c r="X724" s="277"/>
      <c r="Y724" s="277"/>
      <c r="Z724" s="277"/>
      <c r="AA724" s="277"/>
      <c r="AB724" s="277"/>
      <c r="AC724" s="277"/>
      <c r="AD724" s="277"/>
      <c r="AE724" s="277"/>
      <c r="AF724" s="277"/>
      <c r="AG724" s="277"/>
      <c r="AH724" s="277"/>
      <c r="AI724" s="277"/>
      <c r="AJ724" s="277"/>
      <c r="AK724" s="301">
        <f t="shared" si="111"/>
        <v>0</v>
      </c>
      <c r="AL724" s="39"/>
      <c r="AM724" s="40">
        <f>AK724</f>
        <v>0</v>
      </c>
      <c r="AN724" s="583"/>
      <c r="AO724" s="3"/>
      <c r="AP724" s="3"/>
      <c r="AQ724" s="3"/>
      <c r="AR724" s="3"/>
      <c r="AS724" s="3"/>
    </row>
    <row r="725" spans="3:45" ht="12.75" x14ac:dyDescent="0.2">
      <c r="C725" s="49" t="s">
        <v>32</v>
      </c>
      <c r="D725" s="35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51">
        <f t="shared" ref="AK725:AM725" si="114">SUM(AK715:AK724)</f>
        <v>1764.33</v>
      </c>
      <c r="AL725" s="28">
        <f t="shared" si="114"/>
        <v>1764.33</v>
      </c>
      <c r="AM725" s="19">
        <f t="shared" si="114"/>
        <v>0</v>
      </c>
      <c r="AN725" s="355"/>
      <c r="AO725" s="3"/>
      <c r="AP725" s="3"/>
      <c r="AQ725" s="3"/>
      <c r="AR725" s="3"/>
      <c r="AS725" s="3"/>
    </row>
    <row r="726" spans="3:45" ht="12.75" x14ac:dyDescent="0.2">
      <c r="C726" s="594" t="s">
        <v>33</v>
      </c>
      <c r="D726" s="356" t="s">
        <v>34</v>
      </c>
      <c r="E726" s="305" t="s">
        <v>19</v>
      </c>
      <c r="F726" s="305"/>
      <c r="G726" s="305"/>
      <c r="H726" s="305"/>
      <c r="I726" s="305"/>
      <c r="J726" s="308">
        <v>60</v>
      </c>
      <c r="K726" s="305"/>
      <c r="L726" s="59"/>
      <c r="M726" s="305"/>
      <c r="N726" s="305"/>
      <c r="O726" s="305"/>
      <c r="P726" s="305"/>
      <c r="Q726" s="305"/>
      <c r="R726" s="59"/>
      <c r="S726" s="305"/>
      <c r="T726" s="305"/>
      <c r="U726" s="305"/>
      <c r="V726" s="305"/>
      <c r="W726" s="305"/>
      <c r="X726" s="305"/>
      <c r="Y726" s="305"/>
      <c r="Z726" s="305"/>
      <c r="AA726" s="305"/>
      <c r="AB726" s="305"/>
      <c r="AC726" s="305"/>
      <c r="AD726" s="305"/>
      <c r="AE726" s="305"/>
      <c r="AF726" s="305"/>
      <c r="AG726" s="305"/>
      <c r="AH726" s="305"/>
      <c r="AI726" s="305"/>
      <c r="AJ726" s="305"/>
      <c r="AK726" s="310">
        <f t="shared" ref="AK726:AK727" si="115">SUM(F726:AJ726)</f>
        <v>60</v>
      </c>
      <c r="AL726" s="58"/>
      <c r="AM726" s="59">
        <f>AK726</f>
        <v>60</v>
      </c>
      <c r="AN726" s="357">
        <f>AM726</f>
        <v>60</v>
      </c>
      <c r="AO726" s="3"/>
      <c r="AP726" s="3"/>
      <c r="AQ726" s="3"/>
      <c r="AR726" s="3"/>
      <c r="AS726" s="3"/>
    </row>
    <row r="727" spans="3:45" ht="12.75" x14ac:dyDescent="0.2">
      <c r="C727" s="580"/>
      <c r="D727" s="358" t="s">
        <v>35</v>
      </c>
      <c r="E727" s="65" t="s">
        <v>18</v>
      </c>
      <c r="F727" s="72"/>
      <c r="G727" s="65"/>
      <c r="H727" s="65"/>
      <c r="I727" s="65"/>
      <c r="J727" s="70">
        <v>10</v>
      </c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98">
        <f t="shared" si="115"/>
        <v>10</v>
      </c>
      <c r="AL727" s="72">
        <f>AK727</f>
        <v>10</v>
      </c>
      <c r="AM727" s="62"/>
      <c r="AN727" s="359">
        <f>AL727</f>
        <v>10</v>
      </c>
      <c r="AO727" s="3"/>
      <c r="AP727" s="3"/>
      <c r="AQ727" s="3"/>
      <c r="AR727" s="3"/>
      <c r="AS727" s="3"/>
    </row>
    <row r="728" spans="3:45" ht="12.75" x14ac:dyDescent="0.2">
      <c r="C728" s="580"/>
      <c r="D728" s="649" t="s">
        <v>36</v>
      </c>
      <c r="E728" s="65" t="s">
        <v>18</v>
      </c>
      <c r="F728" s="65"/>
      <c r="G728" s="65"/>
      <c r="H728" s="65"/>
      <c r="I728" s="65"/>
      <c r="J728" s="87">
        <v>27</v>
      </c>
      <c r="K728" s="65"/>
      <c r="L728" s="72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9"/>
      <c r="AL728" s="72">
        <f>SUM(F728:AJ728)</f>
        <v>27</v>
      </c>
      <c r="AM728" s="62"/>
      <c r="AN728" s="589">
        <f>SUM(AL728:AM729)</f>
        <v>27</v>
      </c>
      <c r="AO728" s="3"/>
      <c r="AP728" s="3"/>
      <c r="AQ728" s="3"/>
      <c r="AR728" s="3"/>
      <c r="AS728" s="3"/>
    </row>
    <row r="729" spans="3:45" ht="12.75" x14ac:dyDescent="0.2">
      <c r="C729" s="580"/>
      <c r="D729" s="650"/>
      <c r="E729" s="312" t="s">
        <v>19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5">
        <f t="shared" ref="AK729:AK776" si="116">SUM(F729:AJ729)</f>
        <v>0</v>
      </c>
      <c r="AL729" s="79"/>
      <c r="AM729" s="80">
        <f>AK729</f>
        <v>0</v>
      </c>
      <c r="AN729" s="590"/>
      <c r="AO729" s="3"/>
      <c r="AP729" s="3"/>
      <c r="AQ729" s="3"/>
      <c r="AR729" s="3"/>
      <c r="AS729" s="3"/>
    </row>
    <row r="730" spans="3:45" ht="12.75" x14ac:dyDescent="0.2">
      <c r="C730" s="580"/>
      <c r="D730" s="584" t="s">
        <v>37</v>
      </c>
      <c r="E730" s="65" t="s">
        <v>18</v>
      </c>
      <c r="F730" s="65">
        <f>5+10.7</f>
        <v>15.7</v>
      </c>
      <c r="G730" s="65"/>
      <c r="H730" s="87">
        <v>1.9</v>
      </c>
      <c r="I730" s="65"/>
      <c r="J730" s="72"/>
      <c r="K730" s="87">
        <v>3.7</v>
      </c>
      <c r="L730" s="65"/>
      <c r="M730" s="65">
        <f>2.2+1.1+3.9+2.3</f>
        <v>9.5</v>
      </c>
      <c r="N730" s="65"/>
      <c r="O730" s="70">
        <v>9.3699999999999992</v>
      </c>
      <c r="P730" s="65"/>
      <c r="Q730" s="87">
        <v>3.1</v>
      </c>
      <c r="R730" s="87">
        <v>5</v>
      </c>
      <c r="S730" s="87">
        <v>2.9</v>
      </c>
      <c r="T730" s="87">
        <v>2.6</v>
      </c>
      <c r="U730" s="65"/>
      <c r="V730" s="87">
        <v>16.7</v>
      </c>
      <c r="W730" s="65"/>
      <c r="X730" s="72"/>
      <c r="Y730" s="87">
        <v>3</v>
      </c>
      <c r="Z730" s="87">
        <v>4</v>
      </c>
      <c r="AA730" s="65"/>
      <c r="AB730" s="65"/>
      <c r="AC730" s="65"/>
      <c r="AD730" s="72"/>
      <c r="AE730" s="65"/>
      <c r="AF730" s="72"/>
      <c r="AG730" s="65"/>
      <c r="AH730" s="65"/>
      <c r="AI730" s="87">
        <v>4</v>
      </c>
      <c r="AJ730" s="87">
        <v>26.5</v>
      </c>
      <c r="AK730" s="98">
        <f t="shared" si="116"/>
        <v>107.97</v>
      </c>
      <c r="AL730" s="89">
        <f>AK730</f>
        <v>107.97</v>
      </c>
      <c r="AM730" s="62"/>
      <c r="AN730" s="586">
        <f>SUM(AL730:AM731)</f>
        <v>117.97</v>
      </c>
      <c r="AO730" s="3"/>
      <c r="AP730" s="3"/>
      <c r="AQ730" s="3"/>
      <c r="AR730" s="3"/>
      <c r="AS730" s="3"/>
    </row>
    <row r="731" spans="3:45" ht="12.75" x14ac:dyDescent="0.2">
      <c r="C731" s="580"/>
      <c r="D731" s="577"/>
      <c r="E731" s="62" t="s">
        <v>19</v>
      </c>
      <c r="F731" s="91">
        <v>10</v>
      </c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128">
        <f t="shared" si="116"/>
        <v>10</v>
      </c>
      <c r="AL731" s="93"/>
      <c r="AM731" s="94">
        <f>AK731</f>
        <v>10</v>
      </c>
      <c r="AN731" s="583"/>
      <c r="AO731" s="3"/>
      <c r="AP731" s="3"/>
      <c r="AQ731" s="3"/>
      <c r="AR731" s="3"/>
      <c r="AS731" s="3"/>
    </row>
    <row r="732" spans="3:45" ht="12.75" x14ac:dyDescent="0.2">
      <c r="C732" s="580"/>
      <c r="D732" s="360" t="s">
        <v>38</v>
      </c>
      <c r="E732" s="65" t="s">
        <v>18</v>
      </c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98">
        <f t="shared" si="116"/>
        <v>0</v>
      </c>
      <c r="AL732" s="72">
        <f t="shared" ref="AL732:AL734" si="117">AK732</f>
        <v>0</v>
      </c>
      <c r="AM732" s="62"/>
      <c r="AN732" s="353">
        <f t="shared" ref="AN732:AN733" si="118">AL732</f>
        <v>0</v>
      </c>
      <c r="AO732" s="3"/>
      <c r="AP732" s="3"/>
      <c r="AQ732" s="3"/>
      <c r="AR732" s="3"/>
      <c r="AS732" s="3"/>
    </row>
    <row r="733" spans="3:45" ht="12.75" x14ac:dyDescent="0.2">
      <c r="C733" s="580"/>
      <c r="D733" s="360" t="s">
        <v>39</v>
      </c>
      <c r="E733" s="65" t="s">
        <v>18</v>
      </c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98">
        <f t="shared" si="116"/>
        <v>0</v>
      </c>
      <c r="AL733" s="72">
        <f t="shared" si="117"/>
        <v>0</v>
      </c>
      <c r="AM733" s="62"/>
      <c r="AN733" s="353">
        <f t="shared" si="118"/>
        <v>0</v>
      </c>
      <c r="AO733" s="3"/>
      <c r="AP733" s="3"/>
      <c r="AQ733" s="3"/>
      <c r="AR733" s="3"/>
      <c r="AS733" s="3"/>
    </row>
    <row r="734" spans="3:45" ht="12.75" x14ac:dyDescent="0.2">
      <c r="C734" s="580"/>
      <c r="D734" s="584" t="s">
        <v>40</v>
      </c>
      <c r="E734" s="65" t="s">
        <v>18</v>
      </c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98">
        <f t="shared" si="116"/>
        <v>0</v>
      </c>
      <c r="AL734" s="96">
        <f t="shared" si="117"/>
        <v>0</v>
      </c>
      <c r="AM734" s="97"/>
      <c r="AN734" s="582">
        <f>SUM(AL734:AM735)</f>
        <v>0</v>
      </c>
      <c r="AO734" s="3"/>
      <c r="AP734" s="3"/>
      <c r="AQ734" s="3"/>
      <c r="AR734" s="3"/>
      <c r="AS734" s="3"/>
    </row>
    <row r="735" spans="3:45" ht="12.75" x14ac:dyDescent="0.2">
      <c r="C735" s="580"/>
      <c r="D735" s="577"/>
      <c r="E735" s="62" t="s">
        <v>19</v>
      </c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128">
        <f t="shared" si="116"/>
        <v>0</v>
      </c>
      <c r="AL735" s="93"/>
      <c r="AM735" s="94">
        <f>AK735</f>
        <v>0</v>
      </c>
      <c r="AN735" s="583"/>
      <c r="AO735" s="3"/>
      <c r="AP735" s="3"/>
      <c r="AQ735" s="3"/>
      <c r="AR735" s="3"/>
      <c r="AS735" s="3"/>
    </row>
    <row r="736" spans="3:45" ht="12.75" x14ac:dyDescent="0.2">
      <c r="C736" s="580"/>
      <c r="D736" s="584" t="s">
        <v>41</v>
      </c>
      <c r="E736" s="65" t="s">
        <v>18</v>
      </c>
      <c r="F736" s="65"/>
      <c r="G736" s="65"/>
      <c r="H736" s="65"/>
      <c r="I736" s="87">
        <v>16</v>
      </c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87">
        <v>103.7</v>
      </c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72"/>
      <c r="AH736" s="65"/>
      <c r="AI736" s="65"/>
      <c r="AJ736" s="65"/>
      <c r="AK736" s="98">
        <f t="shared" si="116"/>
        <v>119.7</v>
      </c>
      <c r="AL736" s="96">
        <f>AK736</f>
        <v>119.7</v>
      </c>
      <c r="AM736" s="97"/>
      <c r="AN736" s="582">
        <f>SUM(AL736:AM737)</f>
        <v>334.4</v>
      </c>
      <c r="AO736" s="3"/>
      <c r="AP736" s="3"/>
      <c r="AQ736" s="3"/>
      <c r="AR736" s="3"/>
      <c r="AS736" s="3"/>
    </row>
    <row r="737" spans="3:45" ht="12.75" x14ac:dyDescent="0.2">
      <c r="C737" s="580"/>
      <c r="D737" s="577"/>
      <c r="E737" s="62" t="s">
        <v>19</v>
      </c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>
        <f>11-6.3</f>
        <v>4.7</v>
      </c>
      <c r="R737" s="91">
        <v>210</v>
      </c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128">
        <f t="shared" si="116"/>
        <v>214.7</v>
      </c>
      <c r="AL737" s="93"/>
      <c r="AM737" s="94">
        <f>AK737</f>
        <v>214.7</v>
      </c>
      <c r="AN737" s="583"/>
      <c r="AO737" s="3"/>
      <c r="AP737" s="3"/>
      <c r="AQ737" s="3"/>
      <c r="AR737" s="3"/>
      <c r="AS737" s="3"/>
    </row>
    <row r="738" spans="3:45" ht="12.75" x14ac:dyDescent="0.2">
      <c r="C738" s="580"/>
      <c r="D738" s="360" t="s">
        <v>42</v>
      </c>
      <c r="E738" s="65" t="s">
        <v>18</v>
      </c>
      <c r="F738" s="65"/>
      <c r="G738" s="65"/>
      <c r="H738" s="65"/>
      <c r="I738" s="65"/>
      <c r="J738" s="65"/>
      <c r="K738" s="65"/>
      <c r="L738" s="72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98">
        <f t="shared" si="116"/>
        <v>0</v>
      </c>
      <c r="AL738" s="72">
        <f>AK738</f>
        <v>0</v>
      </c>
      <c r="AM738" s="62"/>
      <c r="AN738" s="353">
        <f>AL738</f>
        <v>0</v>
      </c>
      <c r="AO738" s="3"/>
      <c r="AP738" s="3"/>
      <c r="AQ738" s="3"/>
      <c r="AR738" s="3"/>
      <c r="AS738" s="3"/>
    </row>
    <row r="739" spans="3:45" ht="12.75" x14ac:dyDescent="0.2">
      <c r="C739" s="580"/>
      <c r="D739" s="360" t="s">
        <v>43</v>
      </c>
      <c r="E739" s="62" t="s">
        <v>19</v>
      </c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128">
        <f t="shared" si="116"/>
        <v>0</v>
      </c>
      <c r="AL739" s="65"/>
      <c r="AM739" s="66">
        <f>AK739</f>
        <v>0</v>
      </c>
      <c r="AN739" s="353">
        <f>AM739</f>
        <v>0</v>
      </c>
      <c r="AO739" s="3"/>
      <c r="AP739" s="3"/>
      <c r="AQ739" s="3"/>
      <c r="AR739" s="3"/>
      <c r="AS739" s="3"/>
    </row>
    <row r="740" spans="3:45" ht="12.75" x14ac:dyDescent="0.2">
      <c r="C740" s="580"/>
      <c r="D740" s="584" t="s">
        <v>44</v>
      </c>
      <c r="E740" s="65" t="s">
        <v>18</v>
      </c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98">
        <f t="shared" si="116"/>
        <v>0</v>
      </c>
      <c r="AL740" s="96">
        <f>AK740</f>
        <v>0</v>
      </c>
      <c r="AM740" s="97"/>
      <c r="AN740" s="582">
        <f>SUM(AL740:AM741)</f>
        <v>0</v>
      </c>
      <c r="AO740" s="3"/>
      <c r="AP740" s="3"/>
      <c r="AQ740" s="3"/>
      <c r="AR740" s="3"/>
      <c r="AS740" s="3"/>
    </row>
    <row r="741" spans="3:45" ht="12.75" x14ac:dyDescent="0.2">
      <c r="C741" s="581"/>
      <c r="D741" s="585"/>
      <c r="E741" s="62" t="s">
        <v>19</v>
      </c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94"/>
      <c r="AA741" s="284"/>
      <c r="AB741" s="284"/>
      <c r="AC741" s="284"/>
      <c r="AD741" s="284"/>
      <c r="AE741" s="284"/>
      <c r="AF741" s="284"/>
      <c r="AG741" s="284"/>
      <c r="AH741" s="284"/>
      <c r="AI741" s="284"/>
      <c r="AJ741" s="284"/>
      <c r="AK741" s="128">
        <f t="shared" si="116"/>
        <v>0</v>
      </c>
      <c r="AL741" s="93"/>
      <c r="AM741" s="94">
        <f>AK741</f>
        <v>0</v>
      </c>
      <c r="AN741" s="583"/>
      <c r="AO741" s="3"/>
      <c r="AP741" s="3"/>
      <c r="AQ741" s="3"/>
      <c r="AR741" s="3"/>
      <c r="AS741" s="3"/>
    </row>
    <row r="742" spans="3:45" ht="12.75" x14ac:dyDescent="0.2">
      <c r="C742" s="594" t="s">
        <v>45</v>
      </c>
      <c r="D742" s="599" t="s">
        <v>46</v>
      </c>
      <c r="E742" s="105" t="s">
        <v>18</v>
      </c>
      <c r="F742" s="105"/>
      <c r="G742" s="108">
        <f>1.49+2.54+5.2+4.91</f>
        <v>14.14</v>
      </c>
      <c r="H742" s="105"/>
      <c r="I742" s="105"/>
      <c r="J742" s="105">
        <f>2.29+1.79+3.54+11.49+4.58</f>
        <v>23.689999999999998</v>
      </c>
      <c r="K742" s="109">
        <v>45</v>
      </c>
      <c r="L742" s="108"/>
      <c r="M742" s="108"/>
      <c r="N742" s="105"/>
      <c r="O742" s="108"/>
      <c r="P742" s="108">
        <f>4.3+1.49+2.35</f>
        <v>8.14</v>
      </c>
      <c r="Q742" s="108"/>
      <c r="R742" s="106">
        <v>4.57</v>
      </c>
      <c r="S742" s="105"/>
      <c r="T742" s="108">
        <f>17.84-5.96</f>
        <v>11.879999999999999</v>
      </c>
      <c r="U742" s="105"/>
      <c r="V742" s="108"/>
      <c r="W742" s="108">
        <f>1.79+11.66+2.88</f>
        <v>16.329999999999998</v>
      </c>
      <c r="X742" s="105">
        <f>3.41+1.23</f>
        <v>4.6400000000000006</v>
      </c>
      <c r="Y742" s="108">
        <f>4.57+1.79</f>
        <v>6.36</v>
      </c>
      <c r="Z742" s="105"/>
      <c r="AA742" s="105"/>
      <c r="AB742" s="105">
        <f>45+2.49+2.84+2.09+4.26</f>
        <v>56.68</v>
      </c>
      <c r="AC742" s="105"/>
      <c r="AD742" s="109">
        <f>6.39+2.03+1.42</f>
        <v>9.84</v>
      </c>
      <c r="AE742" s="105">
        <f>1.8+4.57+4.78+11.78+1.89</f>
        <v>24.82</v>
      </c>
      <c r="AF742" s="105"/>
      <c r="AG742" s="108">
        <f>1.69+4.18+4.73+3.35</f>
        <v>13.95</v>
      </c>
      <c r="AH742" s="108">
        <f>13.9-7.59</f>
        <v>6.3100000000000005</v>
      </c>
      <c r="AI742" s="108"/>
      <c r="AJ742" s="105"/>
      <c r="AK742" s="98">
        <f t="shared" si="116"/>
        <v>246.35</v>
      </c>
      <c r="AL742" s="96">
        <f>AK742</f>
        <v>246.35</v>
      </c>
      <c r="AM742" s="97"/>
      <c r="AN742" s="582">
        <f>SUM(AL742:AM743)</f>
        <v>246.35</v>
      </c>
      <c r="AO742" s="3"/>
      <c r="AP742" s="3"/>
      <c r="AQ742" s="3"/>
      <c r="AR742" s="3"/>
      <c r="AS742" s="3"/>
    </row>
    <row r="743" spans="3:45" ht="12.75" x14ac:dyDescent="0.2">
      <c r="C743" s="580"/>
      <c r="D743" s="577"/>
      <c r="E743" s="62" t="s">
        <v>19</v>
      </c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128">
        <f t="shared" si="116"/>
        <v>0</v>
      </c>
      <c r="AL743" s="93"/>
      <c r="AM743" s="94">
        <f>AK743</f>
        <v>0</v>
      </c>
      <c r="AN743" s="583"/>
      <c r="AO743" s="3"/>
      <c r="AP743" s="3"/>
      <c r="AQ743" s="3"/>
      <c r="AR743" s="3"/>
      <c r="AS743" s="3"/>
    </row>
    <row r="744" spans="3:45" ht="12.75" x14ac:dyDescent="0.2">
      <c r="C744" s="580"/>
      <c r="D744" s="591" t="s">
        <v>47</v>
      </c>
      <c r="E744" s="65" t="s">
        <v>18</v>
      </c>
      <c r="F744" s="70">
        <f>6.41+6.06</f>
        <v>12.469999999999999</v>
      </c>
      <c r="G744" s="72">
        <f>1.51+3.39</f>
        <v>4.9000000000000004</v>
      </c>
      <c r="H744" s="72">
        <f>2.73+9.99+1.79+1.21+1.21+3.9+4.99-0.11</f>
        <v>25.71</v>
      </c>
      <c r="I744" s="65"/>
      <c r="J744" s="70">
        <v>2.95</v>
      </c>
      <c r="K744" s="72">
        <f>6.31+1.51</f>
        <v>7.8199999999999994</v>
      </c>
      <c r="L744" s="72">
        <f>12.22-2.89</f>
        <v>9.33</v>
      </c>
      <c r="M744" s="70">
        <v>3.59</v>
      </c>
      <c r="N744" s="70">
        <v>6.52</v>
      </c>
      <c r="O744" s="72"/>
      <c r="P744" s="70">
        <v>1.59</v>
      </c>
      <c r="Q744" s="70">
        <v>10.58</v>
      </c>
      <c r="R744" s="72">
        <f>15.31-4.57+6.4+27.61</f>
        <v>44.75</v>
      </c>
      <c r="S744" s="87">
        <v>9.01</v>
      </c>
      <c r="T744" s="70">
        <v>5.96</v>
      </c>
      <c r="U744" s="65">
        <f>4.99+1.38+3.39+1.45+3.24-0.03</f>
        <v>14.42</v>
      </c>
      <c r="V744" s="72"/>
      <c r="W744" s="72">
        <f>5.79+1.59+3.42+3.84</f>
        <v>14.64</v>
      </c>
      <c r="X744" s="72">
        <f>2.04+1.59</f>
        <v>3.63</v>
      </c>
      <c r="Y744" s="72">
        <f>3.39+1.59</f>
        <v>4.9800000000000004</v>
      </c>
      <c r="Z744" s="72">
        <f>8.9+1.59+2.3</f>
        <v>12.79</v>
      </c>
      <c r="AA744" s="70">
        <f>12.59+24.4</f>
        <v>36.989999999999995</v>
      </c>
      <c r="AB744" s="72">
        <f>2.79+1.59+3.91</f>
        <v>8.2899999999999991</v>
      </c>
      <c r="AC744" s="72"/>
      <c r="AD744" s="72">
        <f>3.69+2.05+0.84</f>
        <v>6.58</v>
      </c>
      <c r="AE744" s="72">
        <f>4.4+1.59+1.59</f>
        <v>7.58</v>
      </c>
      <c r="AF744" s="70">
        <v>16.95</v>
      </c>
      <c r="AG744" s="72">
        <f>5.69+1.59+1.59+1.42+1.59</f>
        <v>11.88</v>
      </c>
      <c r="AH744" s="72">
        <f>1.59+3+3</f>
        <v>7.59</v>
      </c>
      <c r="AI744" s="70">
        <v>11.53</v>
      </c>
      <c r="AJ744" s="65"/>
      <c r="AK744" s="98">
        <f t="shared" si="116"/>
        <v>303.02999999999992</v>
      </c>
      <c r="AL744" s="96">
        <f>AK744</f>
        <v>303.02999999999992</v>
      </c>
      <c r="AM744" s="97"/>
      <c r="AN744" s="593">
        <f>SUM(AL744:AM745)</f>
        <v>303.02999999999992</v>
      </c>
      <c r="AO744" s="3"/>
      <c r="AP744" s="3"/>
      <c r="AQ744" s="3"/>
      <c r="AR744" s="3"/>
      <c r="AS744" s="3"/>
    </row>
    <row r="745" spans="3:45" ht="12.75" x14ac:dyDescent="0.2">
      <c r="C745" s="580"/>
      <c r="D745" s="577"/>
      <c r="E745" s="62" t="s">
        <v>19</v>
      </c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128">
        <f t="shared" si="116"/>
        <v>0</v>
      </c>
      <c r="AL745" s="93"/>
      <c r="AM745" s="94">
        <f>AK745</f>
        <v>0</v>
      </c>
      <c r="AN745" s="583"/>
      <c r="AO745" s="3"/>
      <c r="AP745" s="3"/>
      <c r="AQ745" s="3"/>
      <c r="AR745" s="3"/>
      <c r="AS745" s="3"/>
    </row>
    <row r="746" spans="3:45" ht="12.75" x14ac:dyDescent="0.2">
      <c r="C746" s="580"/>
      <c r="D746" s="591" t="s">
        <v>48</v>
      </c>
      <c r="E746" s="65" t="s">
        <v>18</v>
      </c>
      <c r="F746" s="72"/>
      <c r="G746" s="72"/>
      <c r="H746" s="72"/>
      <c r="I746" s="72"/>
      <c r="J746" s="65">
        <f>12.2-6.3</f>
        <v>5.8999999999999995</v>
      </c>
      <c r="K746" s="65">
        <f>3.66+2.14</f>
        <v>5.8000000000000007</v>
      </c>
      <c r="L746" s="87">
        <f>5.73+2.05</f>
        <v>7.78</v>
      </c>
      <c r="M746" s="70">
        <v>10</v>
      </c>
      <c r="N746" s="72"/>
      <c r="O746" s="72"/>
      <c r="P746" s="65"/>
      <c r="Q746" s="65"/>
      <c r="R746" s="65"/>
      <c r="S746" s="70">
        <v>5.9</v>
      </c>
      <c r="T746" s="87">
        <f>5.9+4.91</f>
        <v>10.81</v>
      </c>
      <c r="U746" s="87">
        <v>5.9</v>
      </c>
      <c r="V746" s="72"/>
      <c r="W746" s="72"/>
      <c r="X746" s="87">
        <v>2.14</v>
      </c>
      <c r="Y746" s="87">
        <v>2.14</v>
      </c>
      <c r="Z746" s="72"/>
      <c r="AA746" s="65"/>
      <c r="AB746" s="70">
        <v>3.76</v>
      </c>
      <c r="AC746" s="72"/>
      <c r="AD746" s="72"/>
      <c r="AE746" s="87">
        <v>2.0499999999999998</v>
      </c>
      <c r="AF746" s="65"/>
      <c r="AG746" s="65"/>
      <c r="AH746" s="65"/>
      <c r="AI746" s="65"/>
      <c r="AJ746" s="65"/>
      <c r="AK746" s="98">
        <f t="shared" si="116"/>
        <v>62.18</v>
      </c>
      <c r="AL746" s="96">
        <f>AK746</f>
        <v>62.18</v>
      </c>
      <c r="AM746" s="97"/>
      <c r="AN746" s="582">
        <f>SUM(AL746:AM747)</f>
        <v>62.18</v>
      </c>
      <c r="AO746" s="3"/>
      <c r="AP746" s="3"/>
      <c r="AQ746" s="3"/>
      <c r="AR746" s="3"/>
      <c r="AS746" s="3"/>
    </row>
    <row r="747" spans="3:45" ht="12.75" x14ac:dyDescent="0.2">
      <c r="C747" s="580"/>
      <c r="D747" s="577"/>
      <c r="E747" s="62" t="s">
        <v>19</v>
      </c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128">
        <f t="shared" si="116"/>
        <v>0</v>
      </c>
      <c r="AL747" s="93"/>
      <c r="AM747" s="94">
        <f>AK747</f>
        <v>0</v>
      </c>
      <c r="AN747" s="583"/>
      <c r="AO747" s="3"/>
      <c r="AP747" s="3"/>
      <c r="AQ747" s="3"/>
      <c r="AR747" s="3"/>
      <c r="AS747" s="3"/>
    </row>
    <row r="748" spans="3:45" ht="12.75" x14ac:dyDescent="0.2">
      <c r="C748" s="580"/>
      <c r="D748" s="591" t="s">
        <v>49</v>
      </c>
      <c r="E748" s="65" t="s">
        <v>18</v>
      </c>
      <c r="F748" s="87">
        <v>7</v>
      </c>
      <c r="G748" s="65"/>
      <c r="H748" s="70">
        <v>3.5</v>
      </c>
      <c r="I748" s="65"/>
      <c r="J748" s="87">
        <v>3.5</v>
      </c>
      <c r="K748" s="87">
        <v>3.5</v>
      </c>
      <c r="L748" s="87">
        <v>7</v>
      </c>
      <c r="M748" s="65"/>
      <c r="N748" s="87">
        <v>3.59</v>
      </c>
      <c r="O748" s="65"/>
      <c r="P748" s="65"/>
      <c r="Q748" s="87">
        <v>3.5</v>
      </c>
      <c r="R748" s="70">
        <f>3.5+10</f>
        <v>13.5</v>
      </c>
      <c r="S748" s="87">
        <v>3.5</v>
      </c>
      <c r="T748" s="65"/>
      <c r="U748" s="65"/>
      <c r="V748" s="65"/>
      <c r="W748" s="65"/>
      <c r="X748" s="87">
        <v>3.5</v>
      </c>
      <c r="Y748" s="65"/>
      <c r="Z748" s="87">
        <v>3.5</v>
      </c>
      <c r="AA748" s="65">
        <f>2.49+2.49</f>
        <v>4.9800000000000004</v>
      </c>
      <c r="AB748" s="65"/>
      <c r="AC748" s="65"/>
      <c r="AD748" s="72"/>
      <c r="AE748" s="72"/>
      <c r="AF748" s="65"/>
      <c r="AG748" s="65"/>
      <c r="AH748" s="87">
        <v>3.5</v>
      </c>
      <c r="AI748" s="87">
        <v>3.5</v>
      </c>
      <c r="AJ748" s="65"/>
      <c r="AK748" s="98">
        <f t="shared" si="116"/>
        <v>67.570000000000007</v>
      </c>
      <c r="AL748" s="96">
        <f>AK748</f>
        <v>67.570000000000007</v>
      </c>
      <c r="AM748" s="97"/>
      <c r="AN748" s="582">
        <f>SUM(AL748:AM749)</f>
        <v>67.570000000000007</v>
      </c>
      <c r="AO748" s="3"/>
      <c r="AP748" s="3"/>
      <c r="AQ748" s="3"/>
      <c r="AR748" s="3"/>
      <c r="AS748" s="3"/>
    </row>
    <row r="749" spans="3:45" ht="12.75" x14ac:dyDescent="0.2">
      <c r="C749" s="580"/>
      <c r="D749" s="577"/>
      <c r="E749" s="62" t="s">
        <v>19</v>
      </c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128">
        <f t="shared" si="116"/>
        <v>0</v>
      </c>
      <c r="AL749" s="93"/>
      <c r="AM749" s="94">
        <f>AK749</f>
        <v>0</v>
      </c>
      <c r="AN749" s="583"/>
      <c r="AO749" s="3"/>
      <c r="AP749" s="3"/>
      <c r="AQ749" s="3"/>
      <c r="AR749" s="3"/>
      <c r="AS749" s="3"/>
    </row>
    <row r="750" spans="3:45" ht="12.75" x14ac:dyDescent="0.2">
      <c r="C750" s="580"/>
      <c r="D750" s="592" t="s">
        <v>50</v>
      </c>
      <c r="E750" s="65" t="s">
        <v>18</v>
      </c>
      <c r="F750" s="70">
        <v>6.3</v>
      </c>
      <c r="G750" s="70">
        <v>6.3</v>
      </c>
      <c r="H750" s="70">
        <v>6.3</v>
      </c>
      <c r="I750" s="65"/>
      <c r="J750" s="70">
        <f>6.3+6.3</f>
        <v>12.6</v>
      </c>
      <c r="K750" s="70">
        <v>6.3</v>
      </c>
      <c r="L750" s="72"/>
      <c r="M750" s="70">
        <f>6.3*2</f>
        <v>12.6</v>
      </c>
      <c r="N750" s="70">
        <v>6.3</v>
      </c>
      <c r="O750" s="72">
        <f>6.3*2</f>
        <v>12.6</v>
      </c>
      <c r="P750" s="65"/>
      <c r="Q750" s="70">
        <f>6.3*2</f>
        <v>12.6</v>
      </c>
      <c r="R750" s="87">
        <v>6.3</v>
      </c>
      <c r="S750" s="87">
        <v>6.3</v>
      </c>
      <c r="T750" s="87">
        <v>6.3</v>
      </c>
      <c r="U750" s="87">
        <v>6.3</v>
      </c>
      <c r="V750" s="70">
        <v>12.3</v>
      </c>
      <c r="W750" s="72"/>
      <c r="X750" s="70">
        <v>6.3</v>
      </c>
      <c r="Y750" s="70">
        <v>6.3</v>
      </c>
      <c r="Z750" s="70">
        <v>6.3</v>
      </c>
      <c r="AA750" s="70">
        <v>6.3</v>
      </c>
      <c r="AB750" s="70">
        <v>6.3</v>
      </c>
      <c r="AC750" s="72"/>
      <c r="AD750" s="70">
        <v>6.3</v>
      </c>
      <c r="AE750" s="70">
        <v>6.3</v>
      </c>
      <c r="AF750" s="70">
        <v>6.3</v>
      </c>
      <c r="AG750" s="87">
        <v>6.3</v>
      </c>
      <c r="AH750" s="72"/>
      <c r="AI750" s="87">
        <v>6.3</v>
      </c>
      <c r="AJ750" s="87">
        <v>12.6</v>
      </c>
      <c r="AK750" s="98">
        <f t="shared" si="116"/>
        <v>195.00000000000006</v>
      </c>
      <c r="AL750" s="96">
        <f>AK750</f>
        <v>195.00000000000006</v>
      </c>
      <c r="AM750" s="97"/>
      <c r="AN750" s="582">
        <f>SUM(AL750:AM751)</f>
        <v>195.00000000000006</v>
      </c>
      <c r="AO750" s="3"/>
      <c r="AP750" s="3"/>
      <c r="AQ750" s="3"/>
      <c r="AR750" s="3"/>
      <c r="AS750" s="3"/>
    </row>
    <row r="751" spans="3:45" ht="12.75" x14ac:dyDescent="0.2">
      <c r="C751" s="580"/>
      <c r="D751" s="577"/>
      <c r="E751" s="62" t="s">
        <v>19</v>
      </c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128">
        <f t="shared" si="116"/>
        <v>0</v>
      </c>
      <c r="AL751" s="93"/>
      <c r="AM751" s="94">
        <f>AK751</f>
        <v>0</v>
      </c>
      <c r="AN751" s="583"/>
      <c r="AO751" s="3"/>
      <c r="AP751" s="3"/>
      <c r="AQ751" s="3"/>
      <c r="AR751" s="3"/>
      <c r="AS751" s="3"/>
    </row>
    <row r="752" spans="3:45" ht="12.75" x14ac:dyDescent="0.2">
      <c r="C752" s="580"/>
      <c r="D752" s="592" t="s">
        <v>1</v>
      </c>
      <c r="E752" s="65" t="s">
        <v>18</v>
      </c>
      <c r="F752" s="65"/>
      <c r="G752" s="65"/>
      <c r="H752" s="65">
        <f>4.75+5.09</f>
        <v>9.84</v>
      </c>
      <c r="I752" s="65"/>
      <c r="J752" s="65"/>
      <c r="K752" s="65"/>
      <c r="L752" s="87">
        <v>2.89</v>
      </c>
      <c r="M752" s="87">
        <v>19.89</v>
      </c>
      <c r="N752" s="65"/>
      <c r="O752" s="65">
        <f>18.95-12.6</f>
        <v>6.35</v>
      </c>
      <c r="P752" s="65"/>
      <c r="Q752" s="65"/>
      <c r="R752" s="65"/>
      <c r="S752" s="65"/>
      <c r="T752" s="65"/>
      <c r="U752" s="87">
        <v>2.39</v>
      </c>
      <c r="V752" s="87">
        <v>12.75</v>
      </c>
      <c r="W752" s="65"/>
      <c r="X752" s="72"/>
      <c r="Y752" s="65"/>
      <c r="Z752" s="65"/>
      <c r="AA752" s="65"/>
      <c r="AB752" s="87">
        <v>2.39</v>
      </c>
      <c r="AC752" s="65"/>
      <c r="AD752" s="65"/>
      <c r="AE752" s="65"/>
      <c r="AF752" s="65"/>
      <c r="AG752" s="65"/>
      <c r="AH752" s="65"/>
      <c r="AI752" s="65"/>
      <c r="AJ752" s="65"/>
      <c r="AK752" s="98">
        <f t="shared" si="116"/>
        <v>56.500000000000007</v>
      </c>
      <c r="AL752" s="89">
        <f>AK752</f>
        <v>56.500000000000007</v>
      </c>
      <c r="AM752" s="62"/>
      <c r="AN752" s="582">
        <f>SUM(AL752:AM753)</f>
        <v>56.500000000000007</v>
      </c>
      <c r="AO752" s="3"/>
      <c r="AP752" s="3"/>
      <c r="AQ752" s="3"/>
      <c r="AR752" s="3"/>
      <c r="AS752" s="3"/>
    </row>
    <row r="753" spans="3:45" ht="12.75" x14ac:dyDescent="0.2">
      <c r="C753" s="580"/>
      <c r="D753" s="577"/>
      <c r="E753" s="62" t="s">
        <v>19</v>
      </c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128">
        <f t="shared" si="116"/>
        <v>0</v>
      </c>
      <c r="AL753" s="114"/>
      <c r="AM753" s="66">
        <f>AK753</f>
        <v>0</v>
      </c>
      <c r="AN753" s="583"/>
      <c r="AO753" s="3"/>
      <c r="AP753" s="3"/>
      <c r="AQ753" s="3"/>
      <c r="AR753" s="3"/>
      <c r="AS753" s="3"/>
    </row>
    <row r="754" spans="3:45" ht="12.75" x14ac:dyDescent="0.2">
      <c r="C754" s="580"/>
      <c r="D754" s="576" t="s">
        <v>51</v>
      </c>
      <c r="E754" s="65" t="s">
        <v>18</v>
      </c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70">
        <v>99.09</v>
      </c>
      <c r="S754" s="65"/>
      <c r="T754" s="65"/>
      <c r="U754" s="65"/>
      <c r="V754" s="65"/>
      <c r="W754" s="65"/>
      <c r="X754" s="65"/>
      <c r="Y754" s="65"/>
      <c r="Z754" s="65"/>
      <c r="AA754" s="72"/>
      <c r="AB754" s="65"/>
      <c r="AC754" s="65"/>
      <c r="AD754" s="65"/>
      <c r="AE754" s="65"/>
      <c r="AF754" s="65"/>
      <c r="AG754" s="65"/>
      <c r="AH754" s="65"/>
      <c r="AI754" s="65"/>
      <c r="AJ754" s="65"/>
      <c r="AK754" s="98">
        <f t="shared" si="116"/>
        <v>99.09</v>
      </c>
      <c r="AL754" s="96">
        <f>AK754</f>
        <v>99.09</v>
      </c>
      <c r="AM754" s="97"/>
      <c r="AN754" s="586">
        <f>SUM(AL754:AM755)</f>
        <v>99.09</v>
      </c>
      <c r="AO754" s="3"/>
      <c r="AP754" s="3"/>
      <c r="AQ754" s="3"/>
      <c r="AR754" s="3"/>
      <c r="AS754" s="3"/>
    </row>
    <row r="755" spans="3:45" ht="12.75" x14ac:dyDescent="0.2">
      <c r="C755" s="580"/>
      <c r="D755" s="577"/>
      <c r="E755" s="62" t="s">
        <v>19</v>
      </c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128">
        <f t="shared" si="116"/>
        <v>0</v>
      </c>
      <c r="AL755" s="93"/>
      <c r="AM755" s="94">
        <f>AK755</f>
        <v>0</v>
      </c>
      <c r="AN755" s="583"/>
      <c r="AO755" s="3"/>
      <c r="AP755" s="3"/>
      <c r="AQ755" s="3"/>
      <c r="AR755" s="3"/>
      <c r="AS755" s="3"/>
    </row>
    <row r="756" spans="3:45" ht="12.75" x14ac:dyDescent="0.2">
      <c r="C756" s="580"/>
      <c r="D756" s="576" t="s">
        <v>52</v>
      </c>
      <c r="E756" s="65" t="s">
        <v>18</v>
      </c>
      <c r="F756" s="65"/>
      <c r="G756" s="65"/>
      <c r="H756" s="65"/>
      <c r="I756" s="65"/>
      <c r="J756" s="65"/>
      <c r="K756" s="72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72"/>
      <c r="AF756" s="65"/>
      <c r="AG756" s="65"/>
      <c r="AH756" s="65"/>
      <c r="AI756" s="65"/>
      <c r="AJ756" s="68"/>
      <c r="AK756" s="98">
        <f t="shared" si="116"/>
        <v>0</v>
      </c>
      <c r="AL756" s="96">
        <f>AK756</f>
        <v>0</v>
      </c>
      <c r="AM756" s="97"/>
      <c r="AN756" s="582">
        <f>SUM(AL756:AM757)</f>
        <v>0</v>
      </c>
      <c r="AO756" s="3"/>
      <c r="AP756" s="3"/>
      <c r="AQ756" s="3"/>
      <c r="AR756" s="3"/>
      <c r="AS756" s="3"/>
    </row>
    <row r="757" spans="3:45" ht="12.75" x14ac:dyDescent="0.2">
      <c r="C757" s="581"/>
      <c r="D757" s="585"/>
      <c r="E757" s="62" t="s">
        <v>19</v>
      </c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1"/>
      <c r="AK757" s="128">
        <f t="shared" si="116"/>
        <v>0</v>
      </c>
      <c r="AL757" s="93"/>
      <c r="AM757" s="94">
        <f>AK757</f>
        <v>0</v>
      </c>
      <c r="AN757" s="583"/>
      <c r="AO757" s="3"/>
      <c r="AP757" s="3"/>
      <c r="AQ757" s="3"/>
      <c r="AR757" s="3"/>
      <c r="AS757" s="3"/>
    </row>
    <row r="758" spans="3:45" ht="12.75" x14ac:dyDescent="0.2">
      <c r="C758" s="594" t="s">
        <v>53</v>
      </c>
      <c r="D758" s="361" t="s">
        <v>54</v>
      </c>
      <c r="E758" s="105" t="s">
        <v>18</v>
      </c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3"/>
      <c r="AK758" s="98">
        <f t="shared" si="116"/>
        <v>0</v>
      </c>
      <c r="AL758" s="72">
        <f t="shared" ref="AL758:AL759" si="119">AK758</f>
        <v>0</v>
      </c>
      <c r="AM758" s="62"/>
      <c r="AN758" s="353">
        <f>AL758</f>
        <v>0</v>
      </c>
      <c r="AO758" s="3"/>
      <c r="AP758" s="3"/>
      <c r="AQ758" s="3"/>
      <c r="AR758" s="3"/>
      <c r="AS758" s="3"/>
    </row>
    <row r="759" spans="3:45" ht="12.75" x14ac:dyDescent="0.2">
      <c r="C759" s="580"/>
      <c r="D759" s="584" t="s">
        <v>55</v>
      </c>
      <c r="E759" s="65" t="s">
        <v>18</v>
      </c>
      <c r="F759" s="65"/>
      <c r="G759" s="65"/>
      <c r="H759" s="72"/>
      <c r="I759" s="65"/>
      <c r="J759" s="65"/>
      <c r="K759" s="65"/>
      <c r="L759" s="65"/>
      <c r="M759" s="72"/>
      <c r="N759" s="65"/>
      <c r="O759" s="65"/>
      <c r="P759" s="87">
        <v>43.45</v>
      </c>
      <c r="Q759" s="65"/>
      <c r="R759" s="87">
        <v>24.6</v>
      </c>
      <c r="S759" s="65"/>
      <c r="T759" s="65"/>
      <c r="U759" s="65"/>
      <c r="V759" s="65"/>
      <c r="W759" s="65"/>
      <c r="X759" s="65"/>
      <c r="Y759" s="65"/>
      <c r="Z759" s="87">
        <v>28.24</v>
      </c>
      <c r="AA759" s="65"/>
      <c r="AB759" s="65"/>
      <c r="AC759" s="65"/>
      <c r="AD759" s="65"/>
      <c r="AE759" s="65"/>
      <c r="AF759" s="65"/>
      <c r="AG759" s="65"/>
      <c r="AH759" s="87">
        <v>107.49</v>
      </c>
      <c r="AI759" s="65"/>
      <c r="AJ759" s="68"/>
      <c r="AK759" s="98">
        <f t="shared" si="116"/>
        <v>203.78</v>
      </c>
      <c r="AL759" s="96">
        <f t="shared" si="119"/>
        <v>203.78</v>
      </c>
      <c r="AM759" s="97"/>
      <c r="AN759" s="582">
        <f>SUM(AL759:AM760)</f>
        <v>203.78</v>
      </c>
      <c r="AO759" s="3"/>
      <c r="AP759" s="3"/>
      <c r="AQ759" s="3"/>
      <c r="AR759" s="3"/>
      <c r="AS759" s="3"/>
    </row>
    <row r="760" spans="3:45" ht="12.75" x14ac:dyDescent="0.2">
      <c r="C760" s="580"/>
      <c r="D760" s="577"/>
      <c r="E760" s="62" t="s">
        <v>19</v>
      </c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1"/>
      <c r="AK760" s="128">
        <f t="shared" si="116"/>
        <v>0</v>
      </c>
      <c r="AL760" s="93"/>
      <c r="AM760" s="94">
        <f>AK760</f>
        <v>0</v>
      </c>
      <c r="AN760" s="583"/>
      <c r="AO760" s="3"/>
      <c r="AP760" s="3"/>
      <c r="AQ760" s="3"/>
      <c r="AR760" s="3"/>
      <c r="AS760" s="3"/>
    </row>
    <row r="761" spans="3:45" ht="12.75" x14ac:dyDescent="0.2">
      <c r="C761" s="580"/>
      <c r="D761" s="584" t="s">
        <v>56</v>
      </c>
      <c r="E761" s="65" t="s">
        <v>18</v>
      </c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72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8"/>
      <c r="AK761" s="98">
        <f t="shared" si="116"/>
        <v>0</v>
      </c>
      <c r="AL761" s="96">
        <f>AK761</f>
        <v>0</v>
      </c>
      <c r="AM761" s="97"/>
      <c r="AN761" s="582">
        <f>SUM(AL761:AM762)</f>
        <v>0</v>
      </c>
      <c r="AO761" s="3"/>
      <c r="AP761" s="3"/>
      <c r="AQ761" s="3"/>
      <c r="AR761" s="3"/>
      <c r="AS761" s="3"/>
    </row>
    <row r="762" spans="3:45" ht="12.75" x14ac:dyDescent="0.2">
      <c r="C762" s="580"/>
      <c r="D762" s="577"/>
      <c r="E762" s="62" t="s">
        <v>19</v>
      </c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1"/>
      <c r="AK762" s="128">
        <f t="shared" si="116"/>
        <v>0</v>
      </c>
      <c r="AL762" s="93"/>
      <c r="AM762" s="94">
        <f>AK762</f>
        <v>0</v>
      </c>
      <c r="AN762" s="583"/>
      <c r="AO762" s="3"/>
      <c r="AP762" s="3"/>
      <c r="AQ762" s="3"/>
      <c r="AR762" s="3"/>
      <c r="AS762" s="3"/>
    </row>
    <row r="763" spans="3:45" ht="12.75" x14ac:dyDescent="0.2">
      <c r="C763" s="580"/>
      <c r="D763" s="584" t="s">
        <v>57</v>
      </c>
      <c r="E763" s="65" t="s">
        <v>18</v>
      </c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72"/>
      <c r="AB763" s="65"/>
      <c r="AC763" s="65"/>
      <c r="AD763" s="65"/>
      <c r="AE763" s="65"/>
      <c r="AF763" s="65"/>
      <c r="AG763" s="65"/>
      <c r="AH763" s="65"/>
      <c r="AI763" s="65"/>
      <c r="AJ763" s="68"/>
      <c r="AK763" s="98">
        <f t="shared" si="116"/>
        <v>0</v>
      </c>
      <c r="AL763" s="96">
        <f>AK763</f>
        <v>0</v>
      </c>
      <c r="AM763" s="97"/>
      <c r="AN763" s="582">
        <f>SUM(AL763:AM764)</f>
        <v>0</v>
      </c>
      <c r="AO763" s="3"/>
      <c r="AP763" s="3"/>
      <c r="AQ763" s="3"/>
      <c r="AR763" s="3"/>
      <c r="AS763" s="3"/>
    </row>
    <row r="764" spans="3:45" ht="12.75" x14ac:dyDescent="0.2">
      <c r="C764" s="581"/>
      <c r="D764" s="585"/>
      <c r="E764" s="284" t="s">
        <v>19</v>
      </c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  <c r="AA764" s="284"/>
      <c r="AB764" s="284"/>
      <c r="AC764" s="284"/>
      <c r="AD764" s="284"/>
      <c r="AE764" s="284"/>
      <c r="AF764" s="284"/>
      <c r="AG764" s="284"/>
      <c r="AH764" s="284"/>
      <c r="AI764" s="284"/>
      <c r="AJ764" s="100"/>
      <c r="AK764" s="128">
        <f t="shared" si="116"/>
        <v>0</v>
      </c>
      <c r="AL764" s="93"/>
      <c r="AM764" s="94">
        <f>AK764</f>
        <v>0</v>
      </c>
      <c r="AN764" s="583"/>
      <c r="AO764" s="3"/>
      <c r="AP764" s="3"/>
      <c r="AQ764" s="3"/>
      <c r="AR764" s="3"/>
      <c r="AS764" s="3"/>
    </row>
    <row r="765" spans="3:45" ht="12.75" x14ac:dyDescent="0.2">
      <c r="C765" s="594" t="s">
        <v>58</v>
      </c>
      <c r="D765" s="604" t="s">
        <v>59</v>
      </c>
      <c r="E765" s="105" t="s">
        <v>18</v>
      </c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3"/>
      <c r="AK765" s="98">
        <f t="shared" si="116"/>
        <v>0</v>
      </c>
      <c r="AL765" s="96">
        <f>AK765</f>
        <v>0</v>
      </c>
      <c r="AM765" s="97"/>
      <c r="AN765" s="616">
        <f>SUM(AL765:AM766)</f>
        <v>25</v>
      </c>
      <c r="AO765" s="3"/>
      <c r="AP765" s="3"/>
      <c r="AQ765" s="3"/>
      <c r="AR765" s="3"/>
      <c r="AS765" s="3"/>
    </row>
    <row r="766" spans="3:45" ht="12.75" x14ac:dyDescent="0.2">
      <c r="C766" s="580"/>
      <c r="D766" s="577"/>
      <c r="E766" s="62" t="s">
        <v>19</v>
      </c>
      <c r="F766" s="62"/>
      <c r="G766" s="62"/>
      <c r="H766" s="62"/>
      <c r="I766" s="62"/>
      <c r="J766" s="62"/>
      <c r="K766" s="91">
        <v>25</v>
      </c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1"/>
      <c r="AK766" s="128">
        <f t="shared" si="116"/>
        <v>25</v>
      </c>
      <c r="AL766" s="93"/>
      <c r="AM766" s="94">
        <f>AK766</f>
        <v>25</v>
      </c>
      <c r="AN766" s="585"/>
      <c r="AO766" s="3"/>
      <c r="AP766" s="3"/>
      <c r="AQ766" s="3"/>
      <c r="AR766" s="3"/>
      <c r="AS766" s="3"/>
    </row>
    <row r="767" spans="3:45" ht="12.75" x14ac:dyDescent="0.2">
      <c r="C767" s="580"/>
      <c r="D767" s="584" t="s">
        <v>60</v>
      </c>
      <c r="E767" s="65" t="s">
        <v>18</v>
      </c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87">
        <v>14</v>
      </c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8"/>
      <c r="AK767" s="98">
        <f t="shared" si="116"/>
        <v>14</v>
      </c>
      <c r="AL767" s="89">
        <f>AK767</f>
        <v>14</v>
      </c>
      <c r="AM767" s="62"/>
      <c r="AN767" s="582">
        <f>SUM(AL767:AM768)</f>
        <v>14</v>
      </c>
      <c r="AO767" s="3"/>
      <c r="AP767" s="3"/>
      <c r="AQ767" s="3"/>
      <c r="AR767" s="3"/>
      <c r="AS767" s="3"/>
    </row>
    <row r="768" spans="3:45" ht="12.75" x14ac:dyDescent="0.2">
      <c r="C768" s="580"/>
      <c r="D768" s="577"/>
      <c r="E768" s="62" t="s">
        <v>19</v>
      </c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1"/>
      <c r="AK768" s="128">
        <f t="shared" si="116"/>
        <v>0</v>
      </c>
      <c r="AL768" s="114"/>
      <c r="AM768" s="66">
        <f>AK768</f>
        <v>0</v>
      </c>
      <c r="AN768" s="583"/>
      <c r="AO768" s="3"/>
      <c r="AP768" s="3"/>
      <c r="AQ768" s="3"/>
      <c r="AR768" s="3"/>
      <c r="AS768" s="3"/>
    </row>
    <row r="769" spans="3:45" ht="12.75" x14ac:dyDescent="0.2">
      <c r="C769" s="580"/>
      <c r="D769" s="584" t="s">
        <v>61</v>
      </c>
      <c r="E769" s="65" t="s">
        <v>18</v>
      </c>
      <c r="F769" s="65"/>
      <c r="G769" s="65"/>
      <c r="H769" s="65"/>
      <c r="I769" s="65"/>
      <c r="J769" s="65"/>
      <c r="K769" s="65"/>
      <c r="L769" s="87">
        <v>16.3</v>
      </c>
      <c r="M769" s="65"/>
      <c r="N769" s="65"/>
      <c r="O769" s="65"/>
      <c r="P769" s="65"/>
      <c r="Q769" s="65"/>
      <c r="R769" s="72"/>
      <c r="S769" s="65"/>
      <c r="T769" s="65"/>
      <c r="U769" s="65"/>
      <c r="V769" s="87">
        <v>41</v>
      </c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8">
        <f>24+20+38</f>
        <v>82</v>
      </c>
      <c r="AK769" s="88">
        <f t="shared" si="116"/>
        <v>139.30000000000001</v>
      </c>
      <c r="AL769" s="96">
        <f>AK769</f>
        <v>139.30000000000001</v>
      </c>
      <c r="AM769" s="97"/>
      <c r="AN769" s="616">
        <f>SUM(AL769:AM770)</f>
        <v>169.3</v>
      </c>
      <c r="AO769" s="3"/>
      <c r="AP769" s="3"/>
      <c r="AQ769" s="3"/>
      <c r="AR769" s="3"/>
      <c r="AS769" s="3"/>
    </row>
    <row r="770" spans="3:45" ht="12.75" x14ac:dyDescent="0.2">
      <c r="C770" s="580"/>
      <c r="D770" s="577"/>
      <c r="E770" s="62" t="s">
        <v>19</v>
      </c>
      <c r="F770" s="62"/>
      <c r="G770" s="62"/>
      <c r="H770" s="91">
        <v>30</v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1"/>
      <c r="AK770" s="92">
        <f t="shared" si="116"/>
        <v>30</v>
      </c>
      <c r="AL770" s="93"/>
      <c r="AM770" s="94">
        <f>AK770</f>
        <v>30</v>
      </c>
      <c r="AN770" s="585"/>
      <c r="AO770" s="3"/>
      <c r="AP770" s="3"/>
      <c r="AQ770" s="3"/>
      <c r="AR770" s="3"/>
      <c r="AS770" s="3"/>
    </row>
    <row r="771" spans="3:45" ht="12.75" x14ac:dyDescent="0.2">
      <c r="C771" s="580"/>
      <c r="D771" s="584" t="s">
        <v>62</v>
      </c>
      <c r="E771" s="65" t="s">
        <v>18</v>
      </c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8"/>
      <c r="AK771" s="88">
        <f t="shared" si="116"/>
        <v>0</v>
      </c>
      <c r="AL771" s="96">
        <f>AK771</f>
        <v>0</v>
      </c>
      <c r="AM771" s="97"/>
      <c r="AN771" s="582">
        <f>SUM(AL771:AM772)</f>
        <v>0</v>
      </c>
      <c r="AO771" s="3"/>
      <c r="AP771" s="3"/>
      <c r="AQ771" s="3"/>
      <c r="AR771" s="3"/>
      <c r="AS771" s="3"/>
    </row>
    <row r="772" spans="3:45" ht="12.75" x14ac:dyDescent="0.2">
      <c r="C772" s="581"/>
      <c r="D772" s="577"/>
      <c r="E772" s="62" t="s">
        <v>19</v>
      </c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1"/>
      <c r="AK772" s="92">
        <f t="shared" si="116"/>
        <v>0</v>
      </c>
      <c r="AL772" s="93"/>
      <c r="AM772" s="94">
        <f>AK772</f>
        <v>0</v>
      </c>
      <c r="AN772" s="583"/>
      <c r="AO772" s="3"/>
      <c r="AP772" s="3"/>
      <c r="AQ772" s="3"/>
      <c r="AR772" s="3"/>
      <c r="AS772" s="3"/>
    </row>
    <row r="773" spans="3:45" ht="12.75" x14ac:dyDescent="0.2">
      <c r="C773" s="594" t="s">
        <v>63</v>
      </c>
      <c r="D773" s="604" t="s">
        <v>75</v>
      </c>
      <c r="E773" s="105" t="s">
        <v>18</v>
      </c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3"/>
      <c r="AK773" s="98">
        <f t="shared" si="116"/>
        <v>0</v>
      </c>
      <c r="AL773" s="108">
        <f>AK773</f>
        <v>0</v>
      </c>
      <c r="AM773" s="97"/>
      <c r="AN773" s="582">
        <f>SUM(AL773:AM774)</f>
        <v>0</v>
      </c>
      <c r="AO773" s="3"/>
      <c r="AP773" s="3"/>
      <c r="AQ773" s="3"/>
      <c r="AR773" s="3"/>
      <c r="AS773" s="3"/>
    </row>
    <row r="774" spans="3:45" ht="12.75" x14ac:dyDescent="0.2">
      <c r="C774" s="580"/>
      <c r="D774" s="577"/>
      <c r="E774" s="62" t="s">
        <v>19</v>
      </c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1"/>
      <c r="AK774" s="128">
        <f t="shared" si="116"/>
        <v>0</v>
      </c>
      <c r="AL774" s="93"/>
      <c r="AM774" s="94">
        <f>AK774</f>
        <v>0</v>
      </c>
      <c r="AN774" s="583"/>
      <c r="AO774" s="3"/>
      <c r="AP774" s="3"/>
      <c r="AQ774" s="3"/>
      <c r="AR774" s="3"/>
      <c r="AS774" s="3"/>
    </row>
    <row r="775" spans="3:45" ht="12.75" x14ac:dyDescent="0.2">
      <c r="C775" s="580"/>
      <c r="D775" s="584" t="s">
        <v>65</v>
      </c>
      <c r="E775" s="65" t="s">
        <v>18</v>
      </c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8"/>
      <c r="AK775" s="98">
        <f t="shared" si="116"/>
        <v>0</v>
      </c>
      <c r="AL775" s="96">
        <f>AK775</f>
        <v>0</v>
      </c>
      <c r="AM775" s="97"/>
      <c r="AN775" s="582">
        <f>SUM(AL775:AM776)</f>
        <v>30</v>
      </c>
      <c r="AO775" s="3"/>
      <c r="AP775" s="3"/>
      <c r="AQ775" s="3"/>
      <c r="AR775" s="3"/>
      <c r="AS775" s="3"/>
    </row>
    <row r="776" spans="3:45" ht="12.75" x14ac:dyDescent="0.2">
      <c r="C776" s="581"/>
      <c r="D776" s="585"/>
      <c r="E776" s="284" t="s">
        <v>19</v>
      </c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6">
        <v>30</v>
      </c>
      <c r="V776" s="284"/>
      <c r="W776" s="284"/>
      <c r="X776" s="284"/>
      <c r="Y776" s="284"/>
      <c r="Z776" s="284"/>
      <c r="AA776" s="284"/>
      <c r="AB776" s="284"/>
      <c r="AC776" s="284"/>
      <c r="AD776" s="284"/>
      <c r="AE776" s="284"/>
      <c r="AF776" s="284"/>
      <c r="AG776" s="284"/>
      <c r="AH776" s="284"/>
      <c r="AI776" s="284"/>
      <c r="AJ776" s="100"/>
      <c r="AK776" s="317">
        <f t="shared" si="116"/>
        <v>30</v>
      </c>
      <c r="AL776" s="93"/>
      <c r="AM776" s="94">
        <f>AK776</f>
        <v>30</v>
      </c>
      <c r="AN776" s="583"/>
      <c r="AO776" s="3"/>
      <c r="AP776" s="3"/>
      <c r="AQ776" s="3"/>
      <c r="AR776" s="3"/>
      <c r="AS776" s="3"/>
    </row>
    <row r="777" spans="3:45" ht="12.75" x14ac:dyDescent="0.2">
      <c r="C777" s="246" t="s">
        <v>32</v>
      </c>
      <c r="D777" s="62"/>
      <c r="E777" s="62"/>
      <c r="F777" s="66">
        <f t="shared" ref="F777:AM777" si="120">SUM(F726:F776)</f>
        <v>51.47</v>
      </c>
      <c r="G777" s="66">
        <f t="shared" si="120"/>
        <v>25.34</v>
      </c>
      <c r="H777" s="66">
        <f t="shared" si="120"/>
        <v>77.25</v>
      </c>
      <c r="I777" s="66">
        <f t="shared" si="120"/>
        <v>16</v>
      </c>
      <c r="J777" s="66">
        <f t="shared" si="120"/>
        <v>145.63999999999999</v>
      </c>
      <c r="K777" s="66">
        <f t="shared" si="120"/>
        <v>97.12</v>
      </c>
      <c r="L777" s="66">
        <f t="shared" si="120"/>
        <v>43.3</v>
      </c>
      <c r="M777" s="66">
        <f t="shared" si="120"/>
        <v>55.58</v>
      </c>
      <c r="N777" s="66">
        <f t="shared" si="120"/>
        <v>16.41</v>
      </c>
      <c r="O777" s="66">
        <f t="shared" si="120"/>
        <v>28.32</v>
      </c>
      <c r="P777" s="66">
        <f t="shared" si="120"/>
        <v>53.180000000000007</v>
      </c>
      <c r="Q777" s="66">
        <f t="shared" si="120"/>
        <v>34.480000000000004</v>
      </c>
      <c r="R777" s="66">
        <f t="shared" si="120"/>
        <v>407.81000000000006</v>
      </c>
      <c r="S777" s="66">
        <f t="shared" si="120"/>
        <v>27.610000000000003</v>
      </c>
      <c r="T777" s="66">
        <f t="shared" si="120"/>
        <v>37.549999999999997</v>
      </c>
      <c r="U777" s="66">
        <f t="shared" si="120"/>
        <v>59.010000000000005</v>
      </c>
      <c r="V777" s="66">
        <f t="shared" si="120"/>
        <v>186.45000000000002</v>
      </c>
      <c r="W777" s="66">
        <f t="shared" si="120"/>
        <v>30.97</v>
      </c>
      <c r="X777" s="66">
        <f t="shared" si="120"/>
        <v>20.21</v>
      </c>
      <c r="Y777" s="66">
        <f t="shared" si="120"/>
        <v>36.78</v>
      </c>
      <c r="Z777" s="66">
        <f t="shared" si="120"/>
        <v>54.83</v>
      </c>
      <c r="AA777" s="66">
        <f t="shared" si="120"/>
        <v>48.269999999999996</v>
      </c>
      <c r="AB777" s="66">
        <f t="shared" si="120"/>
        <v>77.42</v>
      </c>
      <c r="AC777" s="66">
        <f t="shared" si="120"/>
        <v>0</v>
      </c>
      <c r="AD777" s="66">
        <f t="shared" si="120"/>
        <v>22.720000000000002</v>
      </c>
      <c r="AE777" s="66">
        <f t="shared" si="120"/>
        <v>40.749999999999993</v>
      </c>
      <c r="AF777" s="66">
        <f t="shared" si="120"/>
        <v>23.25</v>
      </c>
      <c r="AG777" s="66">
        <f t="shared" si="120"/>
        <v>32.129999999999995</v>
      </c>
      <c r="AH777" s="66">
        <f t="shared" si="120"/>
        <v>124.88999999999999</v>
      </c>
      <c r="AI777" s="66">
        <f t="shared" si="120"/>
        <v>25.330000000000002</v>
      </c>
      <c r="AJ777" s="66">
        <f t="shared" si="120"/>
        <v>121.1</v>
      </c>
      <c r="AK777" s="131">
        <f t="shared" si="120"/>
        <v>1994.1699999999998</v>
      </c>
      <c r="AL777" s="72">
        <f t="shared" si="120"/>
        <v>1651.4699999999998</v>
      </c>
      <c r="AM777" s="66">
        <f t="shared" si="120"/>
        <v>369.7</v>
      </c>
      <c r="AN777" s="3"/>
      <c r="AO777" s="3"/>
      <c r="AP777" s="3"/>
      <c r="AQ777" s="3"/>
      <c r="AR777" s="3"/>
      <c r="AS777" s="3"/>
    </row>
    <row r="779" spans="3:45" ht="12.75" x14ac:dyDescent="0.2">
      <c r="F779" s="642" t="s">
        <v>77</v>
      </c>
      <c r="G779" s="577"/>
      <c r="H779" s="577"/>
      <c r="I779" s="577"/>
      <c r="J779" s="577"/>
      <c r="K779" s="577"/>
      <c r="L779" s="577"/>
      <c r="M779" s="577"/>
      <c r="N779" s="577"/>
      <c r="O779" s="577"/>
      <c r="P779" s="577"/>
      <c r="Q779" s="577"/>
      <c r="R779" s="577"/>
      <c r="S779" s="577"/>
      <c r="T779" s="577"/>
      <c r="U779" s="577"/>
      <c r="V779" s="577"/>
      <c r="W779" s="577"/>
      <c r="X779" s="577"/>
      <c r="Y779" s="577"/>
      <c r="Z779" s="577"/>
      <c r="AA779" s="577"/>
      <c r="AB779" s="577"/>
      <c r="AC779" s="577"/>
      <c r="AD779" s="577"/>
      <c r="AE779" s="577"/>
      <c r="AF779" s="577"/>
      <c r="AG779" s="577"/>
      <c r="AH779" s="577"/>
      <c r="AI779" s="577"/>
      <c r="AJ779" s="577"/>
    </row>
    <row r="780" spans="3:45" ht="12.75" x14ac:dyDescent="0.2">
      <c r="E780" s="362" t="s">
        <v>9</v>
      </c>
      <c r="F780" s="362" t="s">
        <v>12</v>
      </c>
      <c r="G780" s="362" t="s">
        <v>13</v>
      </c>
      <c r="H780" s="362" t="s">
        <v>14</v>
      </c>
      <c r="I780" s="362" t="s">
        <v>15</v>
      </c>
      <c r="J780" s="362" t="s">
        <v>16</v>
      </c>
      <c r="K780" s="362" t="s">
        <v>10</v>
      </c>
      <c r="L780" s="362" t="s">
        <v>11</v>
      </c>
      <c r="M780" s="362" t="s">
        <v>12</v>
      </c>
      <c r="N780" s="362" t="s">
        <v>13</v>
      </c>
      <c r="O780" s="362" t="s">
        <v>14</v>
      </c>
      <c r="P780" s="362" t="s">
        <v>15</v>
      </c>
      <c r="Q780" s="362" t="s">
        <v>16</v>
      </c>
      <c r="R780" s="362" t="s">
        <v>10</v>
      </c>
      <c r="S780" s="362" t="s">
        <v>11</v>
      </c>
      <c r="T780" s="362" t="s">
        <v>12</v>
      </c>
      <c r="U780" s="362" t="s">
        <v>13</v>
      </c>
      <c r="V780" s="362" t="s">
        <v>14</v>
      </c>
      <c r="W780" s="362" t="s">
        <v>15</v>
      </c>
      <c r="X780" s="362" t="s">
        <v>16</v>
      </c>
      <c r="Y780" s="362" t="s">
        <v>10</v>
      </c>
      <c r="Z780" s="362" t="s">
        <v>11</v>
      </c>
      <c r="AA780" s="362" t="s">
        <v>12</v>
      </c>
      <c r="AB780" s="362" t="s">
        <v>13</v>
      </c>
      <c r="AC780" s="362" t="s">
        <v>14</v>
      </c>
      <c r="AD780" s="362" t="s">
        <v>15</v>
      </c>
      <c r="AE780" s="362" t="s">
        <v>16</v>
      </c>
      <c r="AF780" s="362" t="s">
        <v>10</v>
      </c>
      <c r="AG780" s="362" t="s">
        <v>11</v>
      </c>
      <c r="AH780" s="362" t="s">
        <v>12</v>
      </c>
      <c r="AI780" s="362" t="s">
        <v>13</v>
      </c>
      <c r="AJ780" s="362"/>
      <c r="AK780" s="362"/>
      <c r="AL780" s="363"/>
      <c r="AM780" s="364"/>
      <c r="AN780" s="365"/>
      <c r="AP780" s="366"/>
      <c r="AQ780" s="367" t="s">
        <v>17</v>
      </c>
      <c r="AR780" s="367" t="s">
        <v>18</v>
      </c>
      <c r="AS780" s="367" t="s">
        <v>19</v>
      </c>
    </row>
    <row r="781" spans="3:45" ht="12.75" x14ac:dyDescent="0.2">
      <c r="E781" s="362" t="s">
        <v>20</v>
      </c>
      <c r="F781" s="362">
        <v>1</v>
      </c>
      <c r="G781" s="362">
        <v>2</v>
      </c>
      <c r="H781" s="362">
        <v>3</v>
      </c>
      <c r="I781" s="362">
        <v>4</v>
      </c>
      <c r="J781" s="362">
        <v>5</v>
      </c>
      <c r="K781" s="362">
        <v>6</v>
      </c>
      <c r="L781" s="362">
        <v>7</v>
      </c>
      <c r="M781" s="362">
        <v>8</v>
      </c>
      <c r="N781" s="362">
        <v>9</v>
      </c>
      <c r="O781" s="362">
        <v>10</v>
      </c>
      <c r="P781" s="362">
        <v>11</v>
      </c>
      <c r="Q781" s="362">
        <v>12</v>
      </c>
      <c r="R781" s="362">
        <v>13</v>
      </c>
      <c r="S781" s="362">
        <v>14</v>
      </c>
      <c r="T781" s="362">
        <v>15</v>
      </c>
      <c r="U781" s="362">
        <v>16</v>
      </c>
      <c r="V781" s="362">
        <v>17</v>
      </c>
      <c r="W781" s="362">
        <v>18</v>
      </c>
      <c r="X781" s="362">
        <v>19</v>
      </c>
      <c r="Y781" s="362">
        <v>20</v>
      </c>
      <c r="Z781" s="362">
        <v>21</v>
      </c>
      <c r="AA781" s="362">
        <v>22</v>
      </c>
      <c r="AB781" s="362">
        <v>23</v>
      </c>
      <c r="AC781" s="362">
        <v>24</v>
      </c>
      <c r="AD781" s="362">
        <v>25</v>
      </c>
      <c r="AE781" s="362">
        <v>26</v>
      </c>
      <c r="AF781" s="362">
        <v>27</v>
      </c>
      <c r="AG781" s="362">
        <v>28</v>
      </c>
      <c r="AH781" s="362">
        <v>29</v>
      </c>
      <c r="AI781" s="362">
        <v>30</v>
      </c>
      <c r="AJ781" s="362"/>
      <c r="AK781" s="362" t="s">
        <v>21</v>
      </c>
      <c r="AL781" s="363" t="s">
        <v>18</v>
      </c>
      <c r="AM781" s="364" t="s">
        <v>19</v>
      </c>
      <c r="AN781" s="368" t="s">
        <v>22</v>
      </c>
      <c r="AP781" s="367" t="s">
        <v>23</v>
      </c>
      <c r="AQ781" s="369">
        <f>AK792-AK844</f>
        <v>-288.62999999999988</v>
      </c>
      <c r="AR781" s="369">
        <f t="shared" ref="AR781:AS781" si="121">(AL792-AL844)</f>
        <v>-230.63000000000011</v>
      </c>
      <c r="AS781" s="369">
        <f t="shared" si="121"/>
        <v>-85</v>
      </c>
    </row>
    <row r="782" spans="3:45" ht="12.75" x14ac:dyDescent="0.2">
      <c r="C782" s="628" t="s">
        <v>24</v>
      </c>
      <c r="D782" s="370" t="s">
        <v>25</v>
      </c>
      <c r="E782" s="371" t="s">
        <v>18</v>
      </c>
      <c r="F782" s="372"/>
      <c r="G782" s="372"/>
      <c r="H782" s="371"/>
      <c r="I782" s="371">
        <v>406.67</v>
      </c>
      <c r="J782" s="371"/>
      <c r="K782" s="372"/>
      <c r="L782" s="372"/>
      <c r="M782" s="372"/>
      <c r="N782" s="372"/>
      <c r="O782" s="372"/>
      <c r="P782" s="372"/>
      <c r="Q782" s="372"/>
      <c r="R782" s="372"/>
      <c r="S782" s="372"/>
      <c r="T782" s="371"/>
      <c r="U782" s="372"/>
      <c r="V782" s="372"/>
      <c r="W782" s="371">
        <v>525</v>
      </c>
      <c r="X782" s="371"/>
      <c r="Y782" s="371"/>
      <c r="Z782" s="372"/>
      <c r="AA782" s="372"/>
      <c r="AB782" s="372"/>
      <c r="AC782" s="372"/>
      <c r="AD782" s="372"/>
      <c r="AE782" s="372"/>
      <c r="AF782" s="372"/>
      <c r="AG782" s="372"/>
      <c r="AH782" s="372"/>
      <c r="AI782" s="372"/>
      <c r="AJ782" s="372"/>
      <c r="AK782" s="373">
        <f t="shared" ref="AK782:AK791" si="122">SUM(F782:AJ782)</f>
        <v>931.67000000000007</v>
      </c>
      <c r="AL782" s="366">
        <f t="shared" ref="AL782:AL783" si="123">AK782</f>
        <v>931.67000000000007</v>
      </c>
      <c r="AM782" s="369"/>
      <c r="AN782" s="374">
        <f>AL782</f>
        <v>931.67000000000007</v>
      </c>
    </row>
    <row r="783" spans="3:45" ht="12.75" x14ac:dyDescent="0.2">
      <c r="C783" s="580"/>
      <c r="D783" s="645" t="s">
        <v>26</v>
      </c>
      <c r="E783" s="363" t="s">
        <v>18</v>
      </c>
      <c r="F783" s="366"/>
      <c r="G783" s="366"/>
      <c r="H783" s="366"/>
      <c r="I783" s="366"/>
      <c r="J783" s="366"/>
      <c r="K783" s="366"/>
      <c r="L783" s="366"/>
      <c r="M783" s="366"/>
      <c r="N783" s="366"/>
      <c r="O783" s="366"/>
      <c r="P783" s="366"/>
      <c r="Q783" s="366"/>
      <c r="R783" s="366"/>
      <c r="S783" s="366"/>
      <c r="T783" s="366"/>
      <c r="U783" s="366"/>
      <c r="V783" s="366"/>
      <c r="W783" s="366"/>
      <c r="X783" s="363"/>
      <c r="Y783" s="366"/>
      <c r="Z783" s="366"/>
      <c r="AA783" s="366"/>
      <c r="AB783" s="366"/>
      <c r="AC783" s="366"/>
      <c r="AD783" s="366"/>
      <c r="AE783" s="366"/>
      <c r="AF783" s="366"/>
      <c r="AG783" s="366"/>
      <c r="AH783" s="366"/>
      <c r="AI783" s="366"/>
      <c r="AJ783" s="366"/>
      <c r="AK783" s="376">
        <f t="shared" si="122"/>
        <v>0</v>
      </c>
      <c r="AL783" s="377">
        <f t="shared" si="123"/>
        <v>0</v>
      </c>
      <c r="AM783" s="378"/>
      <c r="AN783" s="633">
        <f>SUM(AL783:AM784)</f>
        <v>0</v>
      </c>
    </row>
    <row r="784" spans="3:45" ht="12.75" x14ac:dyDescent="0.2">
      <c r="C784" s="580"/>
      <c r="D784" s="577"/>
      <c r="E784" s="364" t="s">
        <v>19</v>
      </c>
      <c r="F784" s="369"/>
      <c r="G784" s="369"/>
      <c r="H784" s="369"/>
      <c r="I784" s="369"/>
      <c r="J784" s="369"/>
      <c r="K784" s="369"/>
      <c r="L784" s="369"/>
      <c r="M784" s="369"/>
      <c r="N784" s="369"/>
      <c r="O784" s="369"/>
      <c r="P784" s="369"/>
      <c r="Q784" s="369"/>
      <c r="R784" s="369"/>
      <c r="S784" s="369"/>
      <c r="T784" s="369"/>
      <c r="U784" s="369"/>
      <c r="V784" s="369"/>
      <c r="W784" s="369"/>
      <c r="X784" s="369"/>
      <c r="Y784" s="369"/>
      <c r="Z784" s="369"/>
      <c r="AA784" s="369"/>
      <c r="AB784" s="369"/>
      <c r="AC784" s="369"/>
      <c r="AD784" s="369"/>
      <c r="AE784" s="369"/>
      <c r="AF784" s="369"/>
      <c r="AG784" s="369"/>
      <c r="AH784" s="369"/>
      <c r="AI784" s="369"/>
      <c r="AJ784" s="369"/>
      <c r="AK784" s="379">
        <f t="shared" si="122"/>
        <v>0</v>
      </c>
      <c r="AL784" s="380"/>
      <c r="AM784" s="381">
        <f t="shared" ref="AM784:AM785" si="124">AK784</f>
        <v>0</v>
      </c>
      <c r="AN784" s="583"/>
    </row>
    <row r="785" spans="3:40" ht="12.75" x14ac:dyDescent="0.2">
      <c r="C785" s="580"/>
      <c r="D785" s="375" t="s">
        <v>27</v>
      </c>
      <c r="E785" s="364" t="s">
        <v>19</v>
      </c>
      <c r="F785" s="369"/>
      <c r="G785" s="369"/>
      <c r="H785" s="369"/>
      <c r="I785" s="369"/>
      <c r="J785" s="369"/>
      <c r="K785" s="369"/>
      <c r="L785" s="369"/>
      <c r="M785" s="369"/>
      <c r="N785" s="369"/>
      <c r="O785" s="369"/>
      <c r="P785" s="369"/>
      <c r="Q785" s="369"/>
      <c r="R785" s="369"/>
      <c r="S785" s="369"/>
      <c r="T785" s="369"/>
      <c r="U785" s="369"/>
      <c r="V785" s="369"/>
      <c r="W785" s="369"/>
      <c r="X785" s="369"/>
      <c r="Y785" s="369"/>
      <c r="Z785" s="369"/>
      <c r="AA785" s="369"/>
      <c r="AB785" s="369"/>
      <c r="AC785" s="369"/>
      <c r="AD785" s="369"/>
      <c r="AE785" s="369"/>
      <c r="AF785" s="369"/>
      <c r="AG785" s="369"/>
      <c r="AH785" s="369"/>
      <c r="AI785" s="369"/>
      <c r="AJ785" s="369"/>
      <c r="AK785" s="379">
        <f t="shared" si="122"/>
        <v>0</v>
      </c>
      <c r="AL785" s="366"/>
      <c r="AM785" s="369">
        <f t="shared" si="124"/>
        <v>0</v>
      </c>
      <c r="AN785" s="374">
        <f>AM785</f>
        <v>0</v>
      </c>
    </row>
    <row r="786" spans="3:40" ht="12.75" x14ac:dyDescent="0.2">
      <c r="C786" s="580"/>
      <c r="D786" s="645" t="s">
        <v>28</v>
      </c>
      <c r="E786" s="363" t="s">
        <v>18</v>
      </c>
      <c r="F786" s="363"/>
      <c r="G786" s="366"/>
      <c r="H786" s="366"/>
      <c r="I786" s="366"/>
      <c r="J786" s="366"/>
      <c r="K786" s="363"/>
      <c r="L786" s="366"/>
      <c r="M786" s="366"/>
      <c r="N786" s="366"/>
      <c r="O786" s="366"/>
      <c r="P786" s="366"/>
      <c r="Q786" s="363"/>
      <c r="R786" s="366"/>
      <c r="S786" s="366"/>
      <c r="T786" s="366"/>
      <c r="U786" s="366"/>
      <c r="V786" s="366"/>
      <c r="W786" s="366"/>
      <c r="X786" s="366"/>
      <c r="Y786" s="366"/>
      <c r="Z786" s="363"/>
      <c r="AA786" s="366"/>
      <c r="AB786" s="366"/>
      <c r="AC786" s="366"/>
      <c r="AD786" s="366"/>
      <c r="AE786" s="366"/>
      <c r="AF786" s="366"/>
      <c r="AG786" s="366"/>
      <c r="AH786" s="366"/>
      <c r="AI786" s="366"/>
      <c r="AJ786" s="366"/>
      <c r="AK786" s="376">
        <f t="shared" si="122"/>
        <v>0</v>
      </c>
      <c r="AL786" s="377">
        <f>AK786</f>
        <v>0</v>
      </c>
      <c r="AM786" s="378"/>
      <c r="AN786" s="633">
        <f>SUM(AL786:AM787)</f>
        <v>0</v>
      </c>
    </row>
    <row r="787" spans="3:40" ht="12.75" x14ac:dyDescent="0.2">
      <c r="C787" s="580"/>
      <c r="D787" s="577"/>
      <c r="E787" s="364" t="s">
        <v>19</v>
      </c>
      <c r="F787" s="364"/>
      <c r="G787" s="364"/>
      <c r="H787" s="364"/>
      <c r="I787" s="369"/>
      <c r="J787" s="364"/>
      <c r="K787" s="364"/>
      <c r="L787" s="364"/>
      <c r="M787" s="369"/>
      <c r="N787" s="369"/>
      <c r="O787" s="369"/>
      <c r="P787" s="369"/>
      <c r="Q787" s="364"/>
      <c r="R787" s="369"/>
      <c r="S787" s="364"/>
      <c r="T787" s="369"/>
      <c r="U787" s="369"/>
      <c r="V787" s="369"/>
      <c r="W787" s="364"/>
      <c r="X787" s="364"/>
      <c r="Y787" s="369"/>
      <c r="Z787" s="369"/>
      <c r="AA787" s="369"/>
      <c r="AB787" s="369"/>
      <c r="AC787" s="364"/>
      <c r="AD787" s="369"/>
      <c r="AE787" s="369"/>
      <c r="AF787" s="369"/>
      <c r="AG787" s="369"/>
      <c r="AH787" s="369"/>
      <c r="AI787" s="364"/>
      <c r="AJ787" s="369"/>
      <c r="AK787" s="379">
        <f t="shared" si="122"/>
        <v>0</v>
      </c>
      <c r="AL787" s="380"/>
      <c r="AM787" s="381">
        <f>AK787</f>
        <v>0</v>
      </c>
      <c r="AN787" s="583"/>
    </row>
    <row r="788" spans="3:40" ht="12.75" x14ac:dyDescent="0.2">
      <c r="C788" s="580"/>
      <c r="D788" s="645" t="s">
        <v>29</v>
      </c>
      <c r="E788" s="363" t="s">
        <v>18</v>
      </c>
      <c r="F788" s="366"/>
      <c r="G788" s="366"/>
      <c r="H788" s="366"/>
      <c r="I788" s="366"/>
      <c r="J788" s="366"/>
      <c r="K788" s="366"/>
      <c r="L788" s="366"/>
      <c r="M788" s="363"/>
      <c r="N788" s="363"/>
      <c r="O788" s="366"/>
      <c r="P788" s="366"/>
      <c r="Q788" s="366"/>
      <c r="R788" s="366"/>
      <c r="S788" s="366"/>
      <c r="T788" s="366"/>
      <c r="U788" s="366"/>
      <c r="V788" s="366"/>
      <c r="W788" s="366"/>
      <c r="X788" s="366"/>
      <c r="Y788" s="366"/>
      <c r="Z788" s="366"/>
      <c r="AA788" s="366"/>
      <c r="AB788" s="363"/>
      <c r="AC788" s="366"/>
      <c r="AD788" s="363"/>
      <c r="AE788" s="366"/>
      <c r="AF788" s="366"/>
      <c r="AG788" s="366"/>
      <c r="AH788" s="366"/>
      <c r="AI788" s="366"/>
      <c r="AJ788" s="366"/>
      <c r="AK788" s="376">
        <f t="shared" si="122"/>
        <v>0</v>
      </c>
      <c r="AL788" s="377">
        <f>AK788</f>
        <v>0</v>
      </c>
      <c r="AM788" s="378"/>
      <c r="AN788" s="633">
        <f>SUM(AL788:AM789)</f>
        <v>0</v>
      </c>
    </row>
    <row r="789" spans="3:40" ht="12.75" x14ac:dyDescent="0.2">
      <c r="C789" s="580"/>
      <c r="D789" s="577"/>
      <c r="E789" s="364" t="s">
        <v>19</v>
      </c>
      <c r="F789" s="369"/>
      <c r="G789" s="369"/>
      <c r="H789" s="369"/>
      <c r="I789" s="369"/>
      <c r="J789" s="369"/>
      <c r="K789" s="369"/>
      <c r="L789" s="369"/>
      <c r="M789" s="369"/>
      <c r="N789" s="369"/>
      <c r="O789" s="369"/>
      <c r="P789" s="369"/>
      <c r="Q789" s="369"/>
      <c r="R789" s="369"/>
      <c r="S789" s="369"/>
      <c r="T789" s="369"/>
      <c r="U789" s="369"/>
      <c r="V789" s="369"/>
      <c r="W789" s="369"/>
      <c r="X789" s="369"/>
      <c r="Y789" s="369"/>
      <c r="Z789" s="369"/>
      <c r="AA789" s="369"/>
      <c r="AB789" s="364"/>
      <c r="AC789" s="369"/>
      <c r="AD789" s="369"/>
      <c r="AE789" s="369"/>
      <c r="AF789" s="369"/>
      <c r="AG789" s="369"/>
      <c r="AH789" s="369"/>
      <c r="AI789" s="369"/>
      <c r="AJ789" s="369"/>
      <c r="AK789" s="379">
        <f t="shared" si="122"/>
        <v>0</v>
      </c>
      <c r="AL789" s="380"/>
      <c r="AM789" s="381">
        <f>AK789</f>
        <v>0</v>
      </c>
      <c r="AN789" s="583"/>
    </row>
    <row r="790" spans="3:40" ht="12.75" x14ac:dyDescent="0.2">
      <c r="C790" s="580"/>
      <c r="D790" s="645" t="s">
        <v>31</v>
      </c>
      <c r="E790" s="363" t="s">
        <v>18</v>
      </c>
      <c r="F790" s="366"/>
      <c r="G790" s="366"/>
      <c r="H790" s="366"/>
      <c r="I790" s="366"/>
      <c r="J790" s="366"/>
      <c r="K790" s="366"/>
      <c r="L790" s="363"/>
      <c r="M790" s="366"/>
      <c r="N790" s="366"/>
      <c r="O790" s="366"/>
      <c r="P790" s="366"/>
      <c r="Q790" s="366"/>
      <c r="R790" s="366"/>
      <c r="S790" s="366"/>
      <c r="T790" s="366"/>
      <c r="U790" s="366"/>
      <c r="V790" s="366"/>
      <c r="W790" s="366"/>
      <c r="X790" s="366"/>
      <c r="Y790" s="366"/>
      <c r="Z790" s="366"/>
      <c r="AA790" s="366"/>
      <c r="AB790" s="366"/>
      <c r="AC790" s="366"/>
      <c r="AD790" s="366"/>
      <c r="AE790" s="366"/>
      <c r="AF790" s="366"/>
      <c r="AG790" s="366"/>
      <c r="AH790" s="366"/>
      <c r="AI790" s="366"/>
      <c r="AJ790" s="366"/>
      <c r="AK790" s="376">
        <f t="shared" si="122"/>
        <v>0</v>
      </c>
      <c r="AL790" s="377">
        <f>AK790</f>
        <v>0</v>
      </c>
      <c r="AM790" s="378"/>
      <c r="AN790" s="633">
        <f>SUM(AL790:AM791)</f>
        <v>0</v>
      </c>
    </row>
    <row r="791" spans="3:40" ht="12.75" x14ac:dyDescent="0.2">
      <c r="C791" s="581"/>
      <c r="D791" s="585"/>
      <c r="E791" s="382" t="s">
        <v>19</v>
      </c>
      <c r="F791" s="381"/>
      <c r="G791" s="381"/>
      <c r="H791" s="381"/>
      <c r="I791" s="381"/>
      <c r="J791" s="381"/>
      <c r="K791" s="382"/>
      <c r="L791" s="381"/>
      <c r="M791" s="382"/>
      <c r="N791" s="382"/>
      <c r="O791" s="382"/>
      <c r="P791" s="381"/>
      <c r="Q791" s="381"/>
      <c r="R791" s="381"/>
      <c r="S791" s="381"/>
      <c r="T791" s="381"/>
      <c r="U791" s="381"/>
      <c r="V791" s="381"/>
      <c r="W791" s="381"/>
      <c r="X791" s="382"/>
      <c r="Y791" s="381"/>
      <c r="Z791" s="382"/>
      <c r="AA791" s="382"/>
      <c r="AB791" s="381"/>
      <c r="AC791" s="381"/>
      <c r="AD791" s="381"/>
      <c r="AE791" s="381"/>
      <c r="AF791" s="381"/>
      <c r="AG791" s="381"/>
      <c r="AH791" s="381"/>
      <c r="AI791" s="381"/>
      <c r="AJ791" s="381"/>
      <c r="AK791" s="383">
        <f t="shared" si="122"/>
        <v>0</v>
      </c>
      <c r="AL791" s="380"/>
      <c r="AM791" s="381">
        <f>AK791</f>
        <v>0</v>
      </c>
      <c r="AN791" s="583"/>
    </row>
    <row r="792" spans="3:40" ht="12.75" x14ac:dyDescent="0.2">
      <c r="C792" s="362" t="s">
        <v>32</v>
      </c>
      <c r="D792" s="384"/>
      <c r="E792" s="369"/>
      <c r="F792" s="369"/>
      <c r="G792" s="369"/>
      <c r="H792" s="369"/>
      <c r="I792" s="369"/>
      <c r="J792" s="369"/>
      <c r="K792" s="369"/>
      <c r="L792" s="369"/>
      <c r="M792" s="369"/>
      <c r="N792" s="369"/>
      <c r="O792" s="369"/>
      <c r="P792" s="369"/>
      <c r="Q792" s="369"/>
      <c r="R792" s="369"/>
      <c r="S792" s="369"/>
      <c r="T792" s="369"/>
      <c r="U792" s="369"/>
      <c r="V792" s="369"/>
      <c r="W792" s="369"/>
      <c r="X792" s="369"/>
      <c r="Y792" s="369"/>
      <c r="Z792" s="369"/>
      <c r="AA792" s="369"/>
      <c r="AB792" s="369"/>
      <c r="AC792" s="369"/>
      <c r="AD792" s="369"/>
      <c r="AE792" s="369"/>
      <c r="AF792" s="369"/>
      <c r="AG792" s="369"/>
      <c r="AH792" s="369"/>
      <c r="AI792" s="369"/>
      <c r="AJ792" s="369"/>
      <c r="AK792" s="385">
        <f t="shared" ref="AK792:AM792" si="125">SUM(AK782:AK791)</f>
        <v>931.67000000000007</v>
      </c>
      <c r="AL792" s="366">
        <f t="shared" si="125"/>
        <v>931.67000000000007</v>
      </c>
      <c r="AM792" s="369">
        <f t="shared" si="125"/>
        <v>0</v>
      </c>
      <c r="AN792" s="374"/>
    </row>
    <row r="793" spans="3:40" ht="12.75" x14ac:dyDescent="0.2">
      <c r="C793" s="629" t="s">
        <v>33</v>
      </c>
      <c r="D793" s="386" t="s">
        <v>34</v>
      </c>
      <c r="E793" s="387" t="s">
        <v>19</v>
      </c>
      <c r="F793" s="388"/>
      <c r="G793" s="388"/>
      <c r="H793" s="388"/>
      <c r="I793" s="388"/>
      <c r="J793" s="387"/>
      <c r="K793" s="387"/>
      <c r="L793" s="387">
        <v>60</v>
      </c>
      <c r="M793" s="388"/>
      <c r="N793" s="388"/>
      <c r="O793" s="388"/>
      <c r="P793" s="388"/>
      <c r="Q793" s="388"/>
      <c r="R793" s="387">
        <v>20</v>
      </c>
      <c r="S793" s="388"/>
      <c r="T793" s="388"/>
      <c r="U793" s="388"/>
      <c r="V793" s="388"/>
      <c r="W793" s="388"/>
      <c r="X793" s="388"/>
      <c r="Y793" s="388"/>
      <c r="Z793" s="388"/>
      <c r="AA793" s="388"/>
      <c r="AB793" s="388"/>
      <c r="AC793" s="388"/>
      <c r="AD793" s="388"/>
      <c r="AE793" s="388"/>
      <c r="AF793" s="388"/>
      <c r="AG793" s="388"/>
      <c r="AH793" s="388"/>
      <c r="AI793" s="388"/>
      <c r="AJ793" s="388"/>
      <c r="AK793" s="389">
        <f t="shared" ref="AK793:AK794" si="126">SUM(F793:AJ793)</f>
        <v>80</v>
      </c>
      <c r="AL793" s="390"/>
      <c r="AM793" s="388">
        <f>AK793</f>
        <v>80</v>
      </c>
      <c r="AN793" s="391">
        <f>AM793</f>
        <v>80</v>
      </c>
    </row>
    <row r="794" spans="3:40" ht="12.75" x14ac:dyDescent="0.2">
      <c r="C794" s="580"/>
      <c r="D794" s="392" t="s">
        <v>35</v>
      </c>
      <c r="E794" s="393" t="s">
        <v>18</v>
      </c>
      <c r="F794" s="393">
        <v>7</v>
      </c>
      <c r="G794" s="394"/>
      <c r="H794" s="394"/>
      <c r="I794" s="393"/>
      <c r="J794" s="393">
        <v>10</v>
      </c>
      <c r="K794" s="394"/>
      <c r="L794" s="394"/>
      <c r="M794" s="394"/>
      <c r="N794" s="394"/>
      <c r="O794" s="393"/>
      <c r="P794" s="394"/>
      <c r="Q794" s="394"/>
      <c r="R794" s="394"/>
      <c r="S794" s="394"/>
      <c r="T794" s="394"/>
      <c r="U794" s="394"/>
      <c r="V794" s="394"/>
      <c r="W794" s="394"/>
      <c r="X794" s="394"/>
      <c r="Y794" s="393"/>
      <c r="Z794" s="394"/>
      <c r="AA794" s="394"/>
      <c r="AB794" s="394"/>
      <c r="AC794" s="394"/>
      <c r="AD794" s="394"/>
      <c r="AE794" s="394"/>
      <c r="AF794" s="394"/>
      <c r="AG794" s="394"/>
      <c r="AH794" s="394"/>
      <c r="AI794" s="394"/>
      <c r="AJ794" s="394"/>
      <c r="AK794" s="395">
        <f t="shared" si="126"/>
        <v>17</v>
      </c>
      <c r="AL794" s="394">
        <f>AK794</f>
        <v>17</v>
      </c>
      <c r="AM794" s="396"/>
      <c r="AN794" s="397">
        <f>AL794</f>
        <v>17</v>
      </c>
    </row>
    <row r="795" spans="3:40" ht="12.75" x14ac:dyDescent="0.2">
      <c r="C795" s="580"/>
      <c r="D795" s="651" t="s">
        <v>36</v>
      </c>
      <c r="E795" s="393" t="s">
        <v>18</v>
      </c>
      <c r="F795" s="394"/>
      <c r="G795" s="394"/>
      <c r="H795" s="394"/>
      <c r="I795" s="394"/>
      <c r="J795" s="393"/>
      <c r="K795" s="394"/>
      <c r="L795" s="393">
        <v>27</v>
      </c>
      <c r="M795" s="394"/>
      <c r="N795" s="394"/>
      <c r="O795" s="394"/>
      <c r="P795" s="394"/>
      <c r="Q795" s="394"/>
      <c r="R795" s="394"/>
      <c r="S795" s="394"/>
      <c r="T795" s="394"/>
      <c r="U795" s="394"/>
      <c r="V795" s="394"/>
      <c r="W795" s="394"/>
      <c r="X795" s="394"/>
      <c r="Y795" s="394"/>
      <c r="Z795" s="394"/>
      <c r="AA795" s="394"/>
      <c r="AB795" s="394"/>
      <c r="AC795" s="394"/>
      <c r="AD795" s="394"/>
      <c r="AE795" s="394"/>
      <c r="AF795" s="394"/>
      <c r="AG795" s="394"/>
      <c r="AH795" s="394"/>
      <c r="AI795" s="394"/>
      <c r="AJ795" s="394"/>
      <c r="AK795" s="395"/>
      <c r="AL795" s="394">
        <f>SUM(F795:AJ795)</f>
        <v>27</v>
      </c>
      <c r="AM795" s="396"/>
      <c r="AN795" s="636">
        <f>SUM(AL795:AM796)</f>
        <v>27</v>
      </c>
    </row>
    <row r="796" spans="3:40" ht="12.75" x14ac:dyDescent="0.2">
      <c r="C796" s="580"/>
      <c r="D796" s="650"/>
      <c r="E796" s="398" t="s">
        <v>19</v>
      </c>
      <c r="F796" s="399"/>
      <c r="G796" s="399"/>
      <c r="H796" s="399"/>
      <c r="I796" s="399"/>
      <c r="J796" s="398"/>
      <c r="K796" s="399"/>
      <c r="L796" s="398"/>
      <c r="M796" s="399"/>
      <c r="N796" s="399"/>
      <c r="O796" s="399"/>
      <c r="P796" s="399"/>
      <c r="Q796" s="399"/>
      <c r="R796" s="399"/>
      <c r="S796" s="399"/>
      <c r="T796" s="399"/>
      <c r="U796" s="399"/>
      <c r="V796" s="399"/>
      <c r="W796" s="399"/>
      <c r="X796" s="399"/>
      <c r="Y796" s="399"/>
      <c r="Z796" s="399"/>
      <c r="AA796" s="399"/>
      <c r="AB796" s="399"/>
      <c r="AC796" s="399"/>
      <c r="AD796" s="399"/>
      <c r="AE796" s="399"/>
      <c r="AF796" s="399"/>
      <c r="AG796" s="399"/>
      <c r="AH796" s="399"/>
      <c r="AI796" s="399"/>
      <c r="AJ796" s="399"/>
      <c r="AK796" s="400">
        <f t="shared" ref="AK796:AK843" si="127">SUM(F796:AJ796)</f>
        <v>0</v>
      </c>
      <c r="AL796" s="401"/>
      <c r="AM796" s="399">
        <f>AK796</f>
        <v>0</v>
      </c>
      <c r="AN796" s="590"/>
    </row>
    <row r="797" spans="3:40" ht="12.75" x14ac:dyDescent="0.2">
      <c r="C797" s="580"/>
      <c r="D797" s="643" t="s">
        <v>37</v>
      </c>
      <c r="E797" s="393" t="s">
        <v>18</v>
      </c>
      <c r="F797" s="393"/>
      <c r="G797" s="393"/>
      <c r="H797" s="394"/>
      <c r="I797" s="393"/>
      <c r="J797" s="394">
        <f>0.9+0.9</f>
        <v>1.8</v>
      </c>
      <c r="K797" s="394"/>
      <c r="L797" s="394"/>
      <c r="M797" s="394"/>
      <c r="N797" s="393"/>
      <c r="O797" s="393">
        <f>5+12.9</f>
        <v>17.899999999999999</v>
      </c>
      <c r="P797" s="394"/>
      <c r="Q797" s="393"/>
      <c r="R797" s="393"/>
      <c r="S797" s="393"/>
      <c r="T797" s="393"/>
      <c r="U797" s="394"/>
      <c r="V797" s="393"/>
      <c r="W797" s="393"/>
      <c r="X797" s="393">
        <v>3.72</v>
      </c>
      <c r="Y797" s="393"/>
      <c r="Z797" s="393"/>
      <c r="AA797" s="394"/>
      <c r="AB797" s="394"/>
      <c r="AC797" s="394"/>
      <c r="AD797" s="393">
        <v>4.1900000000000004</v>
      </c>
      <c r="AE797" s="394"/>
      <c r="AF797" s="393">
        <v>12</v>
      </c>
      <c r="AG797" s="394"/>
      <c r="AH797" s="394"/>
      <c r="AI797" s="394"/>
      <c r="AJ797" s="394"/>
      <c r="AK797" s="395">
        <f t="shared" si="127"/>
        <v>39.61</v>
      </c>
      <c r="AL797" s="403">
        <f>AK797</f>
        <v>39.61</v>
      </c>
      <c r="AM797" s="396"/>
      <c r="AN797" s="634">
        <f>SUM(AL797:AM798)</f>
        <v>39.61</v>
      </c>
    </row>
    <row r="798" spans="3:40" ht="12.75" x14ac:dyDescent="0.2">
      <c r="C798" s="580"/>
      <c r="D798" s="577"/>
      <c r="E798" s="404" t="s">
        <v>19</v>
      </c>
      <c r="F798" s="396"/>
      <c r="G798" s="396"/>
      <c r="H798" s="404"/>
      <c r="I798" s="396"/>
      <c r="J798" s="396"/>
      <c r="K798" s="396"/>
      <c r="L798" s="404"/>
      <c r="M798" s="396"/>
      <c r="N798" s="404"/>
      <c r="O798" s="396"/>
      <c r="P798" s="396"/>
      <c r="Q798" s="396"/>
      <c r="R798" s="396"/>
      <c r="S798" s="396"/>
      <c r="T798" s="404"/>
      <c r="U798" s="404"/>
      <c r="V798" s="404"/>
      <c r="W798" s="404"/>
      <c r="X798" s="404"/>
      <c r="Y798" s="396"/>
      <c r="Z798" s="396"/>
      <c r="AA798" s="404"/>
      <c r="AB798" s="404"/>
      <c r="AC798" s="404"/>
      <c r="AD798" s="404"/>
      <c r="AE798" s="404"/>
      <c r="AF798" s="396"/>
      <c r="AG798" s="396"/>
      <c r="AH798" s="396"/>
      <c r="AI798" s="396"/>
      <c r="AJ798" s="396"/>
      <c r="AK798" s="405">
        <f t="shared" si="127"/>
        <v>0</v>
      </c>
      <c r="AL798" s="406"/>
      <c r="AM798" s="407">
        <f>AK798</f>
        <v>0</v>
      </c>
      <c r="AN798" s="583"/>
    </row>
    <row r="799" spans="3:40" ht="12.75" x14ac:dyDescent="0.2">
      <c r="C799" s="580"/>
      <c r="D799" s="402" t="s">
        <v>38</v>
      </c>
      <c r="E799" s="393" t="s">
        <v>18</v>
      </c>
      <c r="F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394"/>
      <c r="R799" s="394"/>
      <c r="S799" s="394"/>
      <c r="T799" s="394"/>
      <c r="U799" s="394"/>
      <c r="V799" s="394"/>
      <c r="W799" s="394"/>
      <c r="X799" s="394"/>
      <c r="Y799" s="394"/>
      <c r="Z799" s="393"/>
      <c r="AA799" s="393"/>
      <c r="AB799" s="393"/>
      <c r="AC799" s="393"/>
      <c r="AD799" s="394"/>
      <c r="AE799" s="394"/>
      <c r="AF799" s="394"/>
      <c r="AG799" s="394"/>
      <c r="AH799" s="394"/>
      <c r="AI799" s="394"/>
      <c r="AJ799" s="394"/>
      <c r="AK799" s="395">
        <f t="shared" si="127"/>
        <v>0</v>
      </c>
      <c r="AL799" s="394">
        <f t="shared" ref="AL799:AL801" si="128">AK799</f>
        <v>0</v>
      </c>
      <c r="AM799" s="396"/>
      <c r="AN799" s="374">
        <f t="shared" ref="AN799:AN800" si="129">AL799</f>
        <v>0</v>
      </c>
    </row>
    <row r="800" spans="3:40" ht="12.75" x14ac:dyDescent="0.2">
      <c r="C800" s="580"/>
      <c r="D800" s="402" t="s">
        <v>39</v>
      </c>
      <c r="E800" s="393" t="s">
        <v>18</v>
      </c>
      <c r="F800" s="394"/>
      <c r="G800" s="394"/>
      <c r="H800" s="394"/>
      <c r="I800" s="394"/>
      <c r="J800" s="394"/>
      <c r="K800" s="394"/>
      <c r="L800" s="394"/>
      <c r="M800" s="393"/>
      <c r="N800" s="394"/>
      <c r="O800" s="394"/>
      <c r="P800" s="394"/>
      <c r="Q800" s="394"/>
      <c r="R800" s="394"/>
      <c r="S800" s="394"/>
      <c r="T800" s="394"/>
      <c r="U800" s="394"/>
      <c r="V800" s="394"/>
      <c r="W800" s="394"/>
      <c r="X800" s="394"/>
      <c r="Y800" s="394"/>
      <c r="Z800" s="394"/>
      <c r="AA800" s="394"/>
      <c r="AB800" s="394"/>
      <c r="AC800" s="394"/>
      <c r="AD800" s="394"/>
      <c r="AE800" s="394"/>
      <c r="AF800" s="394"/>
      <c r="AG800" s="394"/>
      <c r="AH800" s="394"/>
      <c r="AI800" s="394"/>
      <c r="AJ800" s="394"/>
      <c r="AK800" s="395">
        <f t="shared" si="127"/>
        <v>0</v>
      </c>
      <c r="AL800" s="394">
        <f t="shared" si="128"/>
        <v>0</v>
      </c>
      <c r="AM800" s="396"/>
      <c r="AN800" s="374">
        <f t="shared" si="129"/>
        <v>0</v>
      </c>
    </row>
    <row r="801" spans="3:40" ht="12.75" x14ac:dyDescent="0.2">
      <c r="C801" s="580"/>
      <c r="D801" s="643" t="s">
        <v>40</v>
      </c>
      <c r="E801" s="393" t="s">
        <v>18</v>
      </c>
      <c r="F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394"/>
      <c r="R801" s="394"/>
      <c r="S801" s="394"/>
      <c r="T801" s="394"/>
      <c r="U801" s="394"/>
      <c r="V801" s="394"/>
      <c r="W801" s="394"/>
      <c r="X801" s="394"/>
      <c r="Y801" s="394"/>
      <c r="Z801" s="394"/>
      <c r="AA801" s="394"/>
      <c r="AB801" s="394"/>
      <c r="AC801" s="394"/>
      <c r="AD801" s="394"/>
      <c r="AE801" s="394"/>
      <c r="AF801" s="394"/>
      <c r="AG801" s="394"/>
      <c r="AH801" s="394"/>
      <c r="AI801" s="394"/>
      <c r="AJ801" s="394"/>
      <c r="AK801" s="395">
        <f t="shared" si="127"/>
        <v>0</v>
      </c>
      <c r="AL801" s="408">
        <f t="shared" si="128"/>
        <v>0</v>
      </c>
      <c r="AM801" s="409"/>
      <c r="AN801" s="633">
        <f>SUM(AL801:AM802)</f>
        <v>0</v>
      </c>
    </row>
    <row r="802" spans="3:40" ht="12.75" x14ac:dyDescent="0.2">
      <c r="C802" s="580"/>
      <c r="D802" s="577"/>
      <c r="E802" s="404" t="s">
        <v>19</v>
      </c>
      <c r="F802" s="396"/>
      <c r="G802" s="396"/>
      <c r="H802" s="396"/>
      <c r="I802" s="396"/>
      <c r="J802" s="396"/>
      <c r="K802" s="396"/>
      <c r="L802" s="396"/>
      <c r="M802" s="396"/>
      <c r="N802" s="396"/>
      <c r="O802" s="396"/>
      <c r="P802" s="396"/>
      <c r="Q802" s="396"/>
      <c r="R802" s="396"/>
      <c r="S802" s="396"/>
      <c r="T802" s="396"/>
      <c r="U802" s="396"/>
      <c r="V802" s="396"/>
      <c r="W802" s="396"/>
      <c r="X802" s="396"/>
      <c r="Y802" s="396"/>
      <c r="Z802" s="396"/>
      <c r="AA802" s="396"/>
      <c r="AB802" s="396"/>
      <c r="AC802" s="396"/>
      <c r="AD802" s="396"/>
      <c r="AE802" s="396"/>
      <c r="AF802" s="396"/>
      <c r="AG802" s="396"/>
      <c r="AH802" s="396"/>
      <c r="AI802" s="396"/>
      <c r="AJ802" s="396"/>
      <c r="AK802" s="405">
        <f t="shared" si="127"/>
        <v>0</v>
      </c>
      <c r="AL802" s="406"/>
      <c r="AM802" s="407">
        <f>AK802</f>
        <v>0</v>
      </c>
      <c r="AN802" s="583"/>
    </row>
    <row r="803" spans="3:40" ht="12.75" x14ac:dyDescent="0.2">
      <c r="C803" s="580"/>
      <c r="D803" s="643" t="s">
        <v>41</v>
      </c>
      <c r="E803" s="393" t="s">
        <v>18</v>
      </c>
      <c r="F803" s="393"/>
      <c r="G803" s="393"/>
      <c r="H803" s="394"/>
      <c r="I803" s="393"/>
      <c r="J803" s="394"/>
      <c r="K803" s="394"/>
      <c r="L803" s="393"/>
      <c r="M803" s="394"/>
      <c r="N803" s="394"/>
      <c r="O803" s="394"/>
      <c r="P803" s="394"/>
      <c r="Q803" s="394"/>
      <c r="R803" s="394"/>
      <c r="S803" s="393"/>
      <c r="T803" s="394"/>
      <c r="U803" s="394"/>
      <c r="V803" s="394"/>
      <c r="W803" s="394"/>
      <c r="X803" s="394"/>
      <c r="Y803" s="394"/>
      <c r="Z803" s="394"/>
      <c r="AA803" s="393"/>
      <c r="AB803" s="394"/>
      <c r="AC803" s="394"/>
      <c r="AD803" s="394"/>
      <c r="AE803" s="394"/>
      <c r="AF803" s="394"/>
      <c r="AG803" s="393">
        <v>27</v>
      </c>
      <c r="AH803" s="394"/>
      <c r="AI803" s="394"/>
      <c r="AJ803" s="394"/>
      <c r="AK803" s="395">
        <f t="shared" si="127"/>
        <v>27</v>
      </c>
      <c r="AL803" s="408">
        <f>AK803</f>
        <v>27</v>
      </c>
      <c r="AM803" s="409"/>
      <c r="AN803" s="633">
        <f>SUM(AL803:AM804)</f>
        <v>27</v>
      </c>
    </row>
    <row r="804" spans="3:40" ht="12.75" x14ac:dyDescent="0.2">
      <c r="C804" s="580"/>
      <c r="D804" s="577"/>
      <c r="E804" s="404" t="s">
        <v>19</v>
      </c>
      <c r="F804" s="396"/>
      <c r="G804" s="396"/>
      <c r="H804" s="396"/>
      <c r="I804" s="396"/>
      <c r="J804" s="404"/>
      <c r="K804" s="396"/>
      <c r="L804" s="404"/>
      <c r="M804" s="404"/>
      <c r="N804" s="396"/>
      <c r="O804" s="396"/>
      <c r="P804" s="396"/>
      <c r="Q804" s="404"/>
      <c r="R804" s="404"/>
      <c r="S804" s="404"/>
      <c r="T804" s="396"/>
      <c r="U804" s="404"/>
      <c r="V804" s="396"/>
      <c r="W804" s="396"/>
      <c r="X804" s="396"/>
      <c r="Y804" s="396"/>
      <c r="Z804" s="396"/>
      <c r="AA804" s="396"/>
      <c r="AB804" s="396"/>
      <c r="AC804" s="396"/>
      <c r="AD804" s="396"/>
      <c r="AE804" s="404"/>
      <c r="AF804" s="396"/>
      <c r="AG804" s="396"/>
      <c r="AH804" s="396"/>
      <c r="AI804" s="396"/>
      <c r="AJ804" s="396"/>
      <c r="AK804" s="405">
        <f t="shared" si="127"/>
        <v>0</v>
      </c>
      <c r="AL804" s="406"/>
      <c r="AM804" s="407">
        <f>AK804</f>
        <v>0</v>
      </c>
      <c r="AN804" s="583"/>
    </row>
    <row r="805" spans="3:40" ht="12.75" x14ac:dyDescent="0.2">
      <c r="C805" s="580"/>
      <c r="D805" s="402" t="s">
        <v>42</v>
      </c>
      <c r="E805" s="393" t="s">
        <v>18</v>
      </c>
      <c r="F805" s="394"/>
      <c r="G805" s="394"/>
      <c r="H805" s="394"/>
      <c r="I805" s="393"/>
      <c r="J805" s="393"/>
      <c r="K805" s="393"/>
      <c r="L805" s="393">
        <v>5</v>
      </c>
      <c r="M805" s="393"/>
      <c r="N805" s="394"/>
      <c r="O805" s="393"/>
      <c r="P805" s="394"/>
      <c r="Q805" s="393"/>
      <c r="R805" s="393"/>
      <c r="S805" s="394"/>
      <c r="T805" s="394"/>
      <c r="U805" s="394"/>
      <c r="V805" s="394"/>
      <c r="W805" s="394"/>
      <c r="X805" s="394"/>
      <c r="Y805" s="394"/>
      <c r="Z805" s="394"/>
      <c r="AA805" s="394"/>
      <c r="AB805" s="394"/>
      <c r="AC805" s="394"/>
      <c r="AD805" s="394"/>
      <c r="AE805" s="394"/>
      <c r="AF805" s="394"/>
      <c r="AG805" s="394"/>
      <c r="AH805" s="394"/>
      <c r="AI805" s="393"/>
      <c r="AJ805" s="394"/>
      <c r="AK805" s="395">
        <f t="shared" si="127"/>
        <v>5</v>
      </c>
      <c r="AL805" s="394">
        <f>AK805</f>
        <v>5</v>
      </c>
      <c r="AM805" s="396"/>
      <c r="AN805" s="374">
        <f>AL805</f>
        <v>5</v>
      </c>
    </row>
    <row r="806" spans="3:40" ht="12.75" x14ac:dyDescent="0.2">
      <c r="C806" s="580"/>
      <c r="D806" s="402" t="s">
        <v>43</v>
      </c>
      <c r="E806" s="404" t="s">
        <v>19</v>
      </c>
      <c r="F806" s="396"/>
      <c r="G806" s="396"/>
      <c r="H806" s="396"/>
      <c r="I806" s="396"/>
      <c r="J806" s="396"/>
      <c r="K806" s="396"/>
      <c r="L806" s="396"/>
      <c r="M806" s="396"/>
      <c r="N806" s="396"/>
      <c r="O806" s="396"/>
      <c r="P806" s="396"/>
      <c r="Q806" s="396"/>
      <c r="R806" s="396"/>
      <c r="S806" s="396"/>
      <c r="T806" s="396"/>
      <c r="U806" s="396"/>
      <c r="V806" s="396"/>
      <c r="W806" s="396"/>
      <c r="X806" s="396"/>
      <c r="Y806" s="396"/>
      <c r="Z806" s="396"/>
      <c r="AA806" s="396"/>
      <c r="AB806" s="396"/>
      <c r="AC806" s="396"/>
      <c r="AD806" s="396"/>
      <c r="AE806" s="396"/>
      <c r="AF806" s="396"/>
      <c r="AG806" s="396"/>
      <c r="AH806" s="396"/>
      <c r="AI806" s="396"/>
      <c r="AJ806" s="396"/>
      <c r="AK806" s="405">
        <f t="shared" si="127"/>
        <v>0</v>
      </c>
      <c r="AL806" s="394"/>
      <c r="AM806" s="396">
        <f>AK806</f>
        <v>0</v>
      </c>
      <c r="AN806" s="374">
        <f>AM806</f>
        <v>0</v>
      </c>
    </row>
    <row r="807" spans="3:40" ht="12.75" x14ac:dyDescent="0.2">
      <c r="C807" s="580"/>
      <c r="D807" s="643" t="s">
        <v>44</v>
      </c>
      <c r="E807" s="393" t="s">
        <v>18</v>
      </c>
      <c r="F807" s="393"/>
      <c r="G807" s="394"/>
      <c r="H807" s="394"/>
      <c r="I807" s="394"/>
      <c r="J807" s="394"/>
      <c r="K807" s="394"/>
      <c r="L807" s="394"/>
      <c r="M807" s="393"/>
      <c r="N807" s="394"/>
      <c r="O807" s="394"/>
      <c r="P807" s="394"/>
      <c r="Q807" s="394"/>
      <c r="R807" s="394"/>
      <c r="S807" s="394"/>
      <c r="T807" s="393"/>
      <c r="U807" s="394"/>
      <c r="V807" s="394"/>
      <c r="W807" s="394"/>
      <c r="X807" s="394"/>
      <c r="Y807" s="394"/>
      <c r="Z807" s="394"/>
      <c r="AA807" s="394"/>
      <c r="AB807" s="394"/>
      <c r="AC807" s="394"/>
      <c r="AD807" s="393"/>
      <c r="AE807" s="394"/>
      <c r="AF807" s="394"/>
      <c r="AG807" s="394"/>
      <c r="AH807" s="394"/>
      <c r="AI807" s="394"/>
      <c r="AJ807" s="394"/>
      <c r="AK807" s="395">
        <f t="shared" si="127"/>
        <v>0</v>
      </c>
      <c r="AL807" s="408">
        <f>AK807</f>
        <v>0</v>
      </c>
      <c r="AM807" s="409"/>
      <c r="AN807" s="633">
        <f>SUM(AL807:AM808)</f>
        <v>5</v>
      </c>
    </row>
    <row r="808" spans="3:40" ht="12.75" x14ac:dyDescent="0.2">
      <c r="C808" s="581"/>
      <c r="D808" s="585"/>
      <c r="E808" s="404" t="s">
        <v>19</v>
      </c>
      <c r="F808" s="407"/>
      <c r="G808" s="407"/>
      <c r="H808" s="407"/>
      <c r="I808" s="407"/>
      <c r="J808" s="407"/>
      <c r="K808" s="407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10">
        <v>5</v>
      </c>
      <c r="AA808" s="407"/>
      <c r="AB808" s="407"/>
      <c r="AC808" s="407"/>
      <c r="AD808" s="407"/>
      <c r="AE808" s="407"/>
      <c r="AF808" s="407"/>
      <c r="AG808" s="407"/>
      <c r="AH808" s="407"/>
      <c r="AI808" s="407"/>
      <c r="AJ808" s="407"/>
      <c r="AK808" s="405">
        <f t="shared" si="127"/>
        <v>5</v>
      </c>
      <c r="AL808" s="406"/>
      <c r="AM808" s="407">
        <f>AK808</f>
        <v>5</v>
      </c>
      <c r="AN808" s="583"/>
    </row>
    <row r="809" spans="3:40" ht="12.75" x14ac:dyDescent="0.2">
      <c r="C809" s="629" t="s">
        <v>45</v>
      </c>
      <c r="D809" s="652" t="s">
        <v>46</v>
      </c>
      <c r="E809" s="411" t="s">
        <v>18</v>
      </c>
      <c r="F809" s="411"/>
      <c r="G809" s="411">
        <v>11.55</v>
      </c>
      <c r="H809" s="412"/>
      <c r="I809" s="411"/>
      <c r="J809" s="411"/>
      <c r="K809" s="411"/>
      <c r="L809" s="411">
        <v>1.77</v>
      </c>
      <c r="M809" s="411">
        <v>4.0999999999999996</v>
      </c>
      <c r="N809" s="411"/>
      <c r="O809" s="411">
        <f>0.89+4.29</f>
        <v>5.18</v>
      </c>
      <c r="P809" s="411">
        <f>1.04+2.13</f>
        <v>3.17</v>
      </c>
      <c r="Q809" s="411">
        <f>2.89+1.49+3.32+11.71</f>
        <v>19.41</v>
      </c>
      <c r="R809" s="411">
        <f>2.8+1.97+4.89+2.45</f>
        <v>12.11</v>
      </c>
      <c r="S809" s="411"/>
      <c r="T809" s="411">
        <v>1.79</v>
      </c>
      <c r="U809" s="411"/>
      <c r="V809" s="411">
        <f>2.76+2.5+3.22+5.08+4.69+1.44+0.39</f>
        <v>20.080000000000002</v>
      </c>
      <c r="W809" s="411">
        <f>11.64</f>
        <v>11.64</v>
      </c>
      <c r="X809" s="411"/>
      <c r="Y809" s="412">
        <f>45+1.99+3.99</f>
        <v>50.980000000000004</v>
      </c>
      <c r="Z809" s="412"/>
      <c r="AA809" s="411"/>
      <c r="AB809" s="411"/>
      <c r="AC809" s="411"/>
      <c r="AD809" s="411"/>
      <c r="AE809" s="412"/>
      <c r="AF809" s="411"/>
      <c r="AG809" s="412">
        <f>1.79+1.44+11.64+2.59+3.67+2.44</f>
        <v>23.570000000000004</v>
      </c>
      <c r="AH809" s="411">
        <v>0.89</v>
      </c>
      <c r="AI809" s="412">
        <f>1.99+8.67+2.46</f>
        <v>13.120000000000001</v>
      </c>
      <c r="AJ809" s="412"/>
      <c r="AK809" s="395">
        <f t="shared" si="127"/>
        <v>179.36</v>
      </c>
      <c r="AL809" s="408">
        <f>AK809</f>
        <v>179.36</v>
      </c>
      <c r="AM809" s="409"/>
      <c r="AN809" s="633">
        <f>SUM(AL809:AM810)</f>
        <v>179.36</v>
      </c>
    </row>
    <row r="810" spans="3:40" ht="12.75" x14ac:dyDescent="0.2">
      <c r="C810" s="580"/>
      <c r="D810" s="577"/>
      <c r="E810" s="404" t="s">
        <v>19</v>
      </c>
      <c r="F810" s="404"/>
      <c r="G810" s="404"/>
      <c r="H810" s="404"/>
      <c r="I810" s="396"/>
      <c r="J810" s="396"/>
      <c r="K810" s="396"/>
      <c r="L810" s="404"/>
      <c r="M810" s="396"/>
      <c r="N810" s="396"/>
      <c r="O810" s="396"/>
      <c r="P810" s="396"/>
      <c r="Q810" s="396"/>
      <c r="R810" s="396"/>
      <c r="S810" s="404"/>
      <c r="T810" s="404"/>
      <c r="U810" s="396"/>
      <c r="V810" s="404"/>
      <c r="W810" s="396"/>
      <c r="X810" s="404"/>
      <c r="Y810" s="396"/>
      <c r="Z810" s="404"/>
      <c r="AA810" s="396"/>
      <c r="AB810" s="404"/>
      <c r="AC810" s="404"/>
      <c r="AD810" s="404"/>
      <c r="AE810" s="396"/>
      <c r="AF810" s="396"/>
      <c r="AG810" s="396"/>
      <c r="AH810" s="396"/>
      <c r="AI810" s="396"/>
      <c r="AJ810" s="396"/>
      <c r="AK810" s="405">
        <f t="shared" si="127"/>
        <v>0</v>
      </c>
      <c r="AL810" s="406"/>
      <c r="AM810" s="407">
        <f>AK810</f>
        <v>0</v>
      </c>
      <c r="AN810" s="583"/>
    </row>
    <row r="811" spans="3:40" ht="12.75" x14ac:dyDescent="0.2">
      <c r="C811" s="580"/>
      <c r="D811" s="646" t="s">
        <v>47</v>
      </c>
      <c r="E811" s="393" t="s">
        <v>18</v>
      </c>
      <c r="F811" s="394">
        <f>1.49+3.77+0.85+0.85+2.17+1.37-1.04</f>
        <v>9.4600000000000009</v>
      </c>
      <c r="G811" s="393">
        <f>3.6+2.43+1.49+0.85+0.85+1.37</f>
        <v>10.59</v>
      </c>
      <c r="H811" s="393">
        <v>11.05</v>
      </c>
      <c r="I811" s="393"/>
      <c r="J811" s="393">
        <f>15.1-6.3</f>
        <v>8.8000000000000007</v>
      </c>
      <c r="K811" s="393">
        <f>1.49+5.83+0.85+0.85</f>
        <v>9.02</v>
      </c>
      <c r="L811" s="393">
        <f>17.61-1.77</f>
        <v>15.84</v>
      </c>
      <c r="M811" s="393">
        <v>3.81</v>
      </c>
      <c r="N811" s="393">
        <v>10.65</v>
      </c>
      <c r="O811" s="393">
        <f>1.59+9.61</f>
        <v>11.2</v>
      </c>
      <c r="P811" s="393">
        <f>5.29+5.12</f>
        <v>10.41</v>
      </c>
      <c r="Q811" s="393">
        <f>3.2+1.37+1.61+4.08+1.8</f>
        <v>12.060000000000002</v>
      </c>
      <c r="R811" s="393">
        <f>4.33+1.51+1.63</f>
        <v>7.47</v>
      </c>
      <c r="S811" s="393"/>
      <c r="T811" s="393">
        <f>1.59+0.85+0.85+7.19</f>
        <v>10.48</v>
      </c>
      <c r="U811" s="393"/>
      <c r="V811" s="393">
        <f>1.59+6.19</f>
        <v>7.78</v>
      </c>
      <c r="W811" s="394">
        <f>6.36+1.59+1.83+1.37</f>
        <v>11.150000000000002</v>
      </c>
      <c r="X811" s="393">
        <f>2.99+5.13+5.29+2.59+1.21+1.21+1.89+1.09</f>
        <v>21.400000000000002</v>
      </c>
      <c r="Y811" s="393">
        <f>1.59+6.73</f>
        <v>8.32</v>
      </c>
      <c r="Z811" s="393">
        <v>5.09</v>
      </c>
      <c r="AA811" s="393">
        <f>32.87-21.69</f>
        <v>11.179999999999996</v>
      </c>
      <c r="AB811" s="393">
        <v>12.23</v>
      </c>
      <c r="AC811" s="393">
        <v>8.74</v>
      </c>
      <c r="AD811" s="393">
        <v>10.9</v>
      </c>
      <c r="AE811" s="393">
        <f>3.29+1.59+5.33</f>
        <v>10.210000000000001</v>
      </c>
      <c r="AF811" s="393">
        <v>3.3</v>
      </c>
      <c r="AG811" s="393">
        <f>3.29+2.51+2.51+1.19+1.59+2.7+1.78+7.43</f>
        <v>23</v>
      </c>
      <c r="AH811" s="394">
        <f>36.37-0.89</f>
        <v>35.479999999999997</v>
      </c>
      <c r="AI811" s="394">
        <f>1.59+1.78+5.29+1.51</f>
        <v>10.17</v>
      </c>
      <c r="AJ811" s="394"/>
      <c r="AK811" s="395">
        <f t="shared" si="127"/>
        <v>309.79000000000008</v>
      </c>
      <c r="AL811" s="408">
        <f>AK811</f>
        <v>309.79000000000008</v>
      </c>
      <c r="AM811" s="409"/>
      <c r="AN811" s="633">
        <f>SUM(AL811:AM812)</f>
        <v>309.79000000000008</v>
      </c>
    </row>
    <row r="812" spans="3:40" ht="12.75" x14ac:dyDescent="0.2">
      <c r="C812" s="580"/>
      <c r="D812" s="577"/>
      <c r="E812" s="404" t="s">
        <v>19</v>
      </c>
      <c r="F812" s="396"/>
      <c r="G812" s="396"/>
      <c r="H812" s="404"/>
      <c r="I812" s="404"/>
      <c r="J812" s="404"/>
      <c r="K812" s="396"/>
      <c r="L812" s="396"/>
      <c r="M812" s="396"/>
      <c r="N812" s="396"/>
      <c r="O812" s="396"/>
      <c r="P812" s="404"/>
      <c r="Q812" s="404"/>
      <c r="R812" s="404"/>
      <c r="S812" s="404"/>
      <c r="T812" s="404"/>
      <c r="U812" s="404"/>
      <c r="V812" s="404"/>
      <c r="W812" s="404"/>
      <c r="X812" s="404"/>
      <c r="Y812" s="396"/>
      <c r="Z812" s="404"/>
      <c r="AA812" s="396"/>
      <c r="AB812" s="404"/>
      <c r="AC812" s="396"/>
      <c r="AD812" s="396"/>
      <c r="AE812" s="396"/>
      <c r="AF812" s="396"/>
      <c r="AG812" s="396"/>
      <c r="AH812" s="396"/>
      <c r="AI812" s="396"/>
      <c r="AJ812" s="396"/>
      <c r="AK812" s="405">
        <f t="shared" si="127"/>
        <v>0</v>
      </c>
      <c r="AL812" s="406"/>
      <c r="AM812" s="407">
        <f>AK812</f>
        <v>0</v>
      </c>
      <c r="AN812" s="583"/>
    </row>
    <row r="813" spans="3:40" ht="12.75" x14ac:dyDescent="0.2">
      <c r="C813" s="580"/>
      <c r="D813" s="646" t="s">
        <v>48</v>
      </c>
      <c r="E813" s="393" t="s">
        <v>18</v>
      </c>
      <c r="F813" s="393">
        <v>5.23</v>
      </c>
      <c r="G813" s="393">
        <v>5.38</v>
      </c>
      <c r="H813" s="393">
        <v>5.38</v>
      </c>
      <c r="I813" s="393">
        <v>5.38</v>
      </c>
      <c r="J813" s="393"/>
      <c r="K813" s="393"/>
      <c r="L813" s="393"/>
      <c r="M813" s="393">
        <v>5.38</v>
      </c>
      <c r="N813" s="393">
        <v>5.38</v>
      </c>
      <c r="O813" s="393">
        <v>3.33</v>
      </c>
      <c r="P813" s="393"/>
      <c r="Q813" s="393"/>
      <c r="R813" s="393"/>
      <c r="S813" s="393">
        <v>5.76</v>
      </c>
      <c r="T813" s="393"/>
      <c r="U813" s="393"/>
      <c r="V813" s="393">
        <v>11.14</v>
      </c>
      <c r="W813" s="393">
        <v>5.76</v>
      </c>
      <c r="X813" s="393"/>
      <c r="Y813" s="393"/>
      <c r="Z813" s="393">
        <f>12.06-6.3</f>
        <v>5.7600000000000007</v>
      </c>
      <c r="AA813" s="394"/>
      <c r="AB813" s="393">
        <v>5.76</v>
      </c>
      <c r="AC813" s="393">
        <f>5.74+10.4-6.3</f>
        <v>9.84</v>
      </c>
      <c r="AD813" s="393">
        <v>6.03</v>
      </c>
      <c r="AE813" s="393"/>
      <c r="AF813" s="394"/>
      <c r="AG813" s="394"/>
      <c r="AH813" s="394"/>
      <c r="AI813" s="394"/>
      <c r="AJ813" s="394"/>
      <c r="AK813" s="395">
        <f t="shared" si="127"/>
        <v>85.509999999999991</v>
      </c>
      <c r="AL813" s="408">
        <f>AK813</f>
        <v>85.509999999999991</v>
      </c>
      <c r="AM813" s="409"/>
      <c r="AN813" s="633">
        <f>SUM(AL813:AM814)</f>
        <v>85.509999999999991</v>
      </c>
    </row>
    <row r="814" spans="3:40" ht="12.75" x14ac:dyDescent="0.2">
      <c r="C814" s="580"/>
      <c r="D814" s="577"/>
      <c r="E814" s="404" t="s">
        <v>19</v>
      </c>
      <c r="F814" s="396"/>
      <c r="G814" s="404"/>
      <c r="H814" s="404"/>
      <c r="I814" s="404"/>
      <c r="J814" s="396"/>
      <c r="K814" s="404"/>
      <c r="L814" s="404"/>
      <c r="M814" s="404"/>
      <c r="N814" s="396"/>
      <c r="O814" s="396"/>
      <c r="P814" s="396"/>
      <c r="Q814" s="404"/>
      <c r="R814" s="404"/>
      <c r="S814" s="404"/>
      <c r="T814" s="404"/>
      <c r="U814" s="404"/>
      <c r="V814" s="404"/>
      <c r="W814" s="404"/>
      <c r="X814" s="404"/>
      <c r="Y814" s="396"/>
      <c r="Z814" s="396"/>
      <c r="AA814" s="404"/>
      <c r="AB814" s="404"/>
      <c r="AC814" s="404"/>
      <c r="AD814" s="404"/>
      <c r="AE814" s="404"/>
      <c r="AF814" s="396"/>
      <c r="AG814" s="396"/>
      <c r="AH814" s="396"/>
      <c r="AI814" s="396"/>
      <c r="AJ814" s="396"/>
      <c r="AK814" s="405">
        <f t="shared" si="127"/>
        <v>0</v>
      </c>
      <c r="AL814" s="406"/>
      <c r="AM814" s="407">
        <f>AK814</f>
        <v>0</v>
      </c>
      <c r="AN814" s="583"/>
    </row>
    <row r="815" spans="3:40" ht="12.75" x14ac:dyDescent="0.2">
      <c r="C815" s="580"/>
      <c r="D815" s="646" t="s">
        <v>49</v>
      </c>
      <c r="E815" s="393" t="s">
        <v>18</v>
      </c>
      <c r="F815" s="393"/>
      <c r="G815" s="393"/>
      <c r="H815" s="393">
        <v>10</v>
      </c>
      <c r="I815" s="393"/>
      <c r="J815" s="393"/>
      <c r="K815" s="394"/>
      <c r="L815" s="393"/>
      <c r="M815" s="393"/>
      <c r="N815" s="394"/>
      <c r="O815" s="393"/>
      <c r="P815" s="393"/>
      <c r="Q815" s="393"/>
      <c r="R815" s="393">
        <f>10+2.49</f>
        <v>12.49</v>
      </c>
      <c r="S815" s="393"/>
      <c r="T815" s="393"/>
      <c r="U815" s="393"/>
      <c r="V815" s="393"/>
      <c r="W815" s="393"/>
      <c r="X815" s="393"/>
      <c r="Y815" s="394"/>
      <c r="Z815" s="393"/>
      <c r="AA815" s="393"/>
      <c r="AB815" s="393"/>
      <c r="AC815" s="393"/>
      <c r="AD815" s="393">
        <v>7</v>
      </c>
      <c r="AE815" s="393">
        <v>3.5</v>
      </c>
      <c r="AF815" s="394"/>
      <c r="AG815" s="394"/>
      <c r="AH815" s="394"/>
      <c r="AI815" s="394"/>
      <c r="AJ815" s="394"/>
      <c r="AK815" s="395">
        <f t="shared" si="127"/>
        <v>32.99</v>
      </c>
      <c r="AL815" s="408">
        <f>AK815</f>
        <v>32.99</v>
      </c>
      <c r="AM815" s="409"/>
      <c r="AN815" s="633">
        <f>SUM(AL815:AM816)</f>
        <v>32.99</v>
      </c>
    </row>
    <row r="816" spans="3:40" ht="12.75" x14ac:dyDescent="0.2">
      <c r="C816" s="580"/>
      <c r="D816" s="577"/>
      <c r="E816" s="404" t="s">
        <v>19</v>
      </c>
      <c r="F816" s="396"/>
      <c r="G816" s="396"/>
      <c r="H816" s="404"/>
      <c r="I816" s="404"/>
      <c r="J816" s="404"/>
      <c r="K816" s="404"/>
      <c r="L816" s="404"/>
      <c r="M816" s="404"/>
      <c r="N816" s="404"/>
      <c r="O816" s="404"/>
      <c r="P816" s="404"/>
      <c r="Q816" s="404"/>
      <c r="R816" s="404"/>
      <c r="S816" s="404"/>
      <c r="T816" s="404"/>
      <c r="U816" s="404"/>
      <c r="V816" s="404"/>
      <c r="W816" s="404"/>
      <c r="X816" s="404"/>
      <c r="Y816" s="404"/>
      <c r="Z816" s="404"/>
      <c r="AA816" s="396"/>
      <c r="AB816" s="396"/>
      <c r="AC816" s="396"/>
      <c r="AD816" s="396"/>
      <c r="AE816" s="404"/>
      <c r="AF816" s="396"/>
      <c r="AG816" s="396"/>
      <c r="AH816" s="396"/>
      <c r="AI816" s="396"/>
      <c r="AJ816" s="396"/>
      <c r="AK816" s="405">
        <f t="shared" si="127"/>
        <v>0</v>
      </c>
      <c r="AL816" s="406"/>
      <c r="AM816" s="407">
        <f>AK816</f>
        <v>0</v>
      </c>
      <c r="AN816" s="583"/>
    </row>
    <row r="817" spans="3:40" ht="12.75" x14ac:dyDescent="0.2">
      <c r="C817" s="580"/>
      <c r="D817" s="653" t="s">
        <v>50</v>
      </c>
      <c r="E817" s="393" t="s">
        <v>18</v>
      </c>
      <c r="F817" s="393">
        <v>6.3</v>
      </c>
      <c r="G817" s="393">
        <v>6.3</v>
      </c>
      <c r="H817" s="393">
        <v>6.3</v>
      </c>
      <c r="I817" s="393"/>
      <c r="J817" s="393">
        <v>12.3</v>
      </c>
      <c r="K817" s="393">
        <v>6.3</v>
      </c>
      <c r="L817" s="393">
        <v>6.3</v>
      </c>
      <c r="M817" s="393">
        <v>6</v>
      </c>
      <c r="N817" s="393">
        <v>6.3</v>
      </c>
      <c r="O817" s="393">
        <v>48</v>
      </c>
      <c r="P817" s="393"/>
      <c r="Q817" s="393">
        <v>6</v>
      </c>
      <c r="R817" s="393"/>
      <c r="S817" s="393"/>
      <c r="T817" s="393"/>
      <c r="U817" s="393"/>
      <c r="V817" s="393">
        <v>6.3</v>
      </c>
      <c r="W817" s="393">
        <v>6.3</v>
      </c>
      <c r="X817" s="393">
        <v>6.3</v>
      </c>
      <c r="Y817" s="393">
        <v>6.3</v>
      </c>
      <c r="Z817" s="393">
        <f>6.3*2</f>
        <v>12.6</v>
      </c>
      <c r="AA817" s="393">
        <v>6.3</v>
      </c>
      <c r="AB817" s="393">
        <v>6.3</v>
      </c>
      <c r="AC817" s="393">
        <v>6.3</v>
      </c>
      <c r="AD817" s="393">
        <v>6.3</v>
      </c>
      <c r="AE817" s="393">
        <v>6.3</v>
      </c>
      <c r="AF817" s="393">
        <v>12.6</v>
      </c>
      <c r="AG817" s="394"/>
      <c r="AH817" s="393">
        <v>12.6</v>
      </c>
      <c r="AI817" s="394"/>
      <c r="AJ817" s="394"/>
      <c r="AK817" s="395">
        <f t="shared" si="127"/>
        <v>204.60000000000005</v>
      </c>
      <c r="AL817" s="408">
        <f>AK817</f>
        <v>204.60000000000005</v>
      </c>
      <c r="AM817" s="409"/>
      <c r="AN817" s="633">
        <f>SUM(AL817:AM818)</f>
        <v>204.60000000000005</v>
      </c>
    </row>
    <row r="818" spans="3:40" ht="12.75" x14ac:dyDescent="0.2">
      <c r="C818" s="580"/>
      <c r="D818" s="577"/>
      <c r="E818" s="404" t="s">
        <v>19</v>
      </c>
      <c r="F818" s="404"/>
      <c r="G818" s="404"/>
      <c r="H818" s="404"/>
      <c r="I818" s="404"/>
      <c r="J818" s="404"/>
      <c r="K818" s="404"/>
      <c r="L818" s="404"/>
      <c r="M818" s="404"/>
      <c r="N818" s="404"/>
      <c r="O818" s="404"/>
      <c r="P818" s="404"/>
      <c r="Q818" s="404"/>
      <c r="R818" s="404"/>
      <c r="S818" s="404"/>
      <c r="T818" s="404"/>
      <c r="U818" s="404"/>
      <c r="V818" s="404"/>
      <c r="W818" s="404"/>
      <c r="X818" s="404"/>
      <c r="Y818" s="404"/>
      <c r="Z818" s="404"/>
      <c r="AA818" s="404"/>
      <c r="AB818" s="404"/>
      <c r="AC818" s="404"/>
      <c r="AD818" s="396"/>
      <c r="AE818" s="396"/>
      <c r="AF818" s="396"/>
      <c r="AG818" s="396"/>
      <c r="AH818" s="396"/>
      <c r="AI818" s="396"/>
      <c r="AJ818" s="396"/>
      <c r="AK818" s="405">
        <f t="shared" si="127"/>
        <v>0</v>
      </c>
      <c r="AL818" s="406"/>
      <c r="AM818" s="407">
        <f>AK818</f>
        <v>0</v>
      </c>
      <c r="AN818" s="583"/>
    </row>
    <row r="819" spans="3:40" ht="12.75" x14ac:dyDescent="0.2">
      <c r="C819" s="580"/>
      <c r="D819" s="653" t="s">
        <v>1</v>
      </c>
      <c r="E819" s="393" t="s">
        <v>18</v>
      </c>
      <c r="F819" s="394"/>
      <c r="G819" s="394"/>
      <c r="H819" s="394"/>
      <c r="I819" s="393"/>
      <c r="J819" s="393"/>
      <c r="K819" s="393"/>
      <c r="L819" s="393"/>
      <c r="M819" s="394"/>
      <c r="N819" s="394"/>
      <c r="O819" s="394"/>
      <c r="P819" s="394"/>
      <c r="Q819" s="393"/>
      <c r="R819" s="393"/>
      <c r="S819" s="393"/>
      <c r="T819" s="394"/>
      <c r="U819" s="393"/>
      <c r="V819" s="393"/>
      <c r="W819" s="393"/>
      <c r="X819" s="393">
        <f>3.79+5.29+5.29+2.39</f>
        <v>16.760000000000002</v>
      </c>
      <c r="Y819" s="393"/>
      <c r="Z819" s="393"/>
      <c r="AA819" s="393"/>
      <c r="AB819" s="393"/>
      <c r="AC819" s="393"/>
      <c r="AD819" s="393"/>
      <c r="AE819" s="394"/>
      <c r="AF819" s="394"/>
      <c r="AG819" s="394"/>
      <c r="AH819" s="394"/>
      <c r="AI819" s="394"/>
      <c r="AJ819" s="394"/>
      <c r="AK819" s="395">
        <f t="shared" si="127"/>
        <v>16.760000000000002</v>
      </c>
      <c r="AL819" s="403">
        <f>AK819</f>
        <v>16.760000000000002</v>
      </c>
      <c r="AM819" s="396"/>
      <c r="AN819" s="633">
        <f>SUM(AL819:AM820)</f>
        <v>16.760000000000002</v>
      </c>
    </row>
    <row r="820" spans="3:40" ht="12.75" x14ac:dyDescent="0.2">
      <c r="C820" s="580"/>
      <c r="D820" s="577"/>
      <c r="E820" s="404" t="s">
        <v>19</v>
      </c>
      <c r="F820" s="396"/>
      <c r="G820" s="396"/>
      <c r="H820" s="404"/>
      <c r="I820" s="404"/>
      <c r="J820" s="396"/>
      <c r="K820" s="396"/>
      <c r="L820" s="396"/>
      <c r="M820" s="396"/>
      <c r="N820" s="396"/>
      <c r="O820" s="396"/>
      <c r="P820" s="396"/>
      <c r="Q820" s="404"/>
      <c r="R820" s="404"/>
      <c r="S820" s="404"/>
      <c r="T820" s="396"/>
      <c r="U820" s="404"/>
      <c r="V820" s="404"/>
      <c r="W820" s="396"/>
      <c r="X820" s="404"/>
      <c r="Y820" s="404"/>
      <c r="Z820" s="404"/>
      <c r="AA820" s="404"/>
      <c r="AB820" s="404"/>
      <c r="AC820" s="404"/>
      <c r="AD820" s="396"/>
      <c r="AE820" s="396"/>
      <c r="AF820" s="396"/>
      <c r="AG820" s="396"/>
      <c r="AH820" s="396"/>
      <c r="AI820" s="396"/>
      <c r="AJ820" s="396"/>
      <c r="AK820" s="405">
        <f t="shared" si="127"/>
        <v>0</v>
      </c>
      <c r="AL820" s="403"/>
      <c r="AM820" s="396">
        <f>AK820</f>
        <v>0</v>
      </c>
      <c r="AN820" s="583"/>
    </row>
    <row r="821" spans="3:40" ht="12.75" x14ac:dyDescent="0.2">
      <c r="C821" s="580"/>
      <c r="D821" s="645" t="s">
        <v>78</v>
      </c>
      <c r="E821" s="393" t="s">
        <v>18</v>
      </c>
      <c r="F821" s="394"/>
      <c r="G821" s="394"/>
      <c r="H821" s="394"/>
      <c r="I821" s="394"/>
      <c r="J821" s="394"/>
      <c r="K821" s="393"/>
      <c r="L821" s="393"/>
      <c r="M821" s="393"/>
      <c r="N821" s="393"/>
      <c r="O821" s="393"/>
      <c r="P821" s="393"/>
      <c r="Q821" s="394"/>
      <c r="R821" s="393">
        <v>22.7</v>
      </c>
      <c r="S821" s="394"/>
      <c r="T821" s="394"/>
      <c r="U821" s="394"/>
      <c r="V821" s="394"/>
      <c r="W821" s="393"/>
      <c r="X821" s="393"/>
      <c r="Y821" s="393"/>
      <c r="Z821" s="393"/>
      <c r="AA821" s="393">
        <v>51.16</v>
      </c>
      <c r="AB821" s="394"/>
      <c r="AC821" s="394"/>
      <c r="AD821" s="394"/>
      <c r="AE821" s="394"/>
      <c r="AF821" s="394"/>
      <c r="AG821" s="394"/>
      <c r="AH821" s="394"/>
      <c r="AI821" s="394"/>
      <c r="AJ821" s="394"/>
      <c r="AK821" s="395">
        <f t="shared" si="127"/>
        <v>73.86</v>
      </c>
      <c r="AL821" s="408">
        <f>AK821</f>
        <v>73.86</v>
      </c>
      <c r="AM821" s="409"/>
      <c r="AN821" s="634">
        <f>SUM(AL821:AM822)</f>
        <v>73.86</v>
      </c>
    </row>
    <row r="822" spans="3:40" ht="12.75" x14ac:dyDescent="0.2">
      <c r="C822" s="580"/>
      <c r="D822" s="577"/>
      <c r="E822" s="404" t="s">
        <v>19</v>
      </c>
      <c r="F822" s="396"/>
      <c r="G822" s="396"/>
      <c r="H822" s="396"/>
      <c r="I822" s="396"/>
      <c r="J822" s="396"/>
      <c r="K822" s="396"/>
      <c r="L822" s="396"/>
      <c r="M822" s="396"/>
      <c r="N822" s="396"/>
      <c r="O822" s="396"/>
      <c r="P822" s="396"/>
      <c r="Q822" s="396"/>
      <c r="R822" s="396"/>
      <c r="S822" s="396"/>
      <c r="T822" s="396"/>
      <c r="U822" s="396"/>
      <c r="V822" s="396"/>
      <c r="W822" s="396"/>
      <c r="X822" s="396"/>
      <c r="Y822" s="396"/>
      <c r="Z822" s="396"/>
      <c r="AA822" s="396"/>
      <c r="AB822" s="396"/>
      <c r="AC822" s="396"/>
      <c r="AD822" s="396"/>
      <c r="AE822" s="396"/>
      <c r="AF822" s="396"/>
      <c r="AG822" s="396"/>
      <c r="AH822" s="396"/>
      <c r="AI822" s="396"/>
      <c r="AJ822" s="396"/>
      <c r="AK822" s="405">
        <f t="shared" si="127"/>
        <v>0</v>
      </c>
      <c r="AL822" s="406"/>
      <c r="AM822" s="407">
        <f>AK822</f>
        <v>0</v>
      </c>
      <c r="AN822" s="583"/>
    </row>
    <row r="823" spans="3:40" ht="12.75" x14ac:dyDescent="0.2">
      <c r="C823" s="580"/>
      <c r="D823" s="645" t="s">
        <v>52</v>
      </c>
      <c r="E823" s="393" t="s">
        <v>18</v>
      </c>
      <c r="F823" s="394"/>
      <c r="G823" s="394"/>
      <c r="H823" s="394"/>
      <c r="I823" s="394"/>
      <c r="J823" s="394"/>
      <c r="K823" s="393">
        <v>16.89</v>
      </c>
      <c r="L823" s="394"/>
      <c r="M823" s="394"/>
      <c r="N823" s="394"/>
      <c r="O823" s="394"/>
      <c r="P823" s="394"/>
      <c r="Q823" s="394"/>
      <c r="R823" s="394"/>
      <c r="S823" s="394"/>
      <c r="T823" s="394"/>
      <c r="U823" s="394"/>
      <c r="V823" s="394"/>
      <c r="W823" s="394"/>
      <c r="X823" s="394"/>
      <c r="Y823" s="393"/>
      <c r="Z823" s="393"/>
      <c r="AA823" s="394"/>
      <c r="AB823" s="394"/>
      <c r="AC823" s="394"/>
      <c r="AD823" s="394"/>
      <c r="AE823" s="394">
        <f>0.99+3.4</f>
        <v>4.3899999999999997</v>
      </c>
      <c r="AF823" s="394"/>
      <c r="AG823" s="394"/>
      <c r="AH823" s="394"/>
      <c r="AI823" s="394"/>
      <c r="AJ823" s="414"/>
      <c r="AK823" s="395">
        <f t="shared" si="127"/>
        <v>21.28</v>
      </c>
      <c r="AL823" s="408">
        <f>AK823</f>
        <v>21.28</v>
      </c>
      <c r="AM823" s="409"/>
      <c r="AN823" s="633">
        <f>SUM(AL823:AM824)</f>
        <v>21.28</v>
      </c>
    </row>
    <row r="824" spans="3:40" ht="12.75" x14ac:dyDescent="0.2">
      <c r="C824" s="581"/>
      <c r="D824" s="585"/>
      <c r="E824" s="404" t="s">
        <v>19</v>
      </c>
      <c r="F824" s="396"/>
      <c r="G824" s="396"/>
      <c r="H824" s="396"/>
      <c r="I824" s="396"/>
      <c r="J824" s="396"/>
      <c r="K824" s="396"/>
      <c r="L824" s="396"/>
      <c r="M824" s="396"/>
      <c r="N824" s="396"/>
      <c r="O824" s="396"/>
      <c r="P824" s="396"/>
      <c r="Q824" s="396"/>
      <c r="R824" s="396"/>
      <c r="S824" s="396"/>
      <c r="T824" s="396"/>
      <c r="U824" s="396"/>
      <c r="V824" s="396"/>
      <c r="W824" s="396"/>
      <c r="X824" s="396"/>
      <c r="Y824" s="404"/>
      <c r="Z824" s="404"/>
      <c r="AA824" s="396"/>
      <c r="AB824" s="396"/>
      <c r="AC824" s="396"/>
      <c r="AD824" s="396"/>
      <c r="AE824" s="396"/>
      <c r="AF824" s="396"/>
      <c r="AG824" s="396"/>
      <c r="AH824" s="396"/>
      <c r="AI824" s="396"/>
      <c r="AJ824" s="415"/>
      <c r="AK824" s="405">
        <f t="shared" si="127"/>
        <v>0</v>
      </c>
      <c r="AL824" s="406"/>
      <c r="AM824" s="407">
        <f>AK824</f>
        <v>0</v>
      </c>
      <c r="AN824" s="583"/>
    </row>
    <row r="825" spans="3:40" ht="12.75" x14ac:dyDescent="0.2">
      <c r="C825" s="629" t="s">
        <v>53</v>
      </c>
      <c r="D825" s="416" t="s">
        <v>54</v>
      </c>
      <c r="E825" s="411" t="s">
        <v>18</v>
      </c>
      <c r="F825" s="412"/>
      <c r="G825" s="411"/>
      <c r="H825" s="412"/>
      <c r="I825" s="412"/>
      <c r="J825" s="412"/>
      <c r="K825" s="411"/>
      <c r="L825" s="412"/>
      <c r="M825" s="412"/>
      <c r="N825" s="412"/>
      <c r="O825" s="412"/>
      <c r="P825" s="412"/>
      <c r="Q825" s="412"/>
      <c r="R825" s="412"/>
      <c r="S825" s="412"/>
      <c r="T825" s="412"/>
      <c r="U825" s="412"/>
      <c r="V825" s="412"/>
      <c r="W825" s="412"/>
      <c r="X825" s="412"/>
      <c r="Y825" s="412"/>
      <c r="Z825" s="412"/>
      <c r="AA825" s="412"/>
      <c r="AB825" s="412"/>
      <c r="AC825" s="412"/>
      <c r="AD825" s="411"/>
      <c r="AE825" s="412"/>
      <c r="AF825" s="412"/>
      <c r="AG825" s="412"/>
      <c r="AH825" s="412"/>
      <c r="AI825" s="412"/>
      <c r="AJ825" s="417"/>
      <c r="AK825" s="395">
        <f t="shared" si="127"/>
        <v>0</v>
      </c>
      <c r="AL825" s="394">
        <f t="shared" ref="AL825:AL826" si="130">AK825</f>
        <v>0</v>
      </c>
      <c r="AM825" s="396"/>
      <c r="AN825" s="374">
        <f>AL825</f>
        <v>0</v>
      </c>
    </row>
    <row r="826" spans="3:40" ht="12.75" x14ac:dyDescent="0.2">
      <c r="C826" s="580"/>
      <c r="D826" s="643" t="s">
        <v>55</v>
      </c>
      <c r="E826" s="393" t="s">
        <v>18</v>
      </c>
      <c r="F826" s="394"/>
      <c r="G826" s="394"/>
      <c r="H826" s="393">
        <v>37.33</v>
      </c>
      <c r="I826" s="393"/>
      <c r="J826" s="394"/>
      <c r="K826" s="393"/>
      <c r="L826" s="393"/>
      <c r="M826" s="393">
        <v>33.43</v>
      </c>
      <c r="N826" s="393"/>
      <c r="O826" s="394"/>
      <c r="P826" s="393"/>
      <c r="Q826" s="394"/>
      <c r="R826" s="393"/>
      <c r="S826" s="393"/>
      <c r="T826" s="394"/>
      <c r="U826" s="393"/>
      <c r="V826" s="393"/>
      <c r="W826" s="393"/>
      <c r="X826" s="393"/>
      <c r="Y826" s="393"/>
      <c r="Z826" s="394"/>
      <c r="AA826" s="394"/>
      <c r="AB826" s="393"/>
      <c r="AC826" s="393"/>
      <c r="AD826" s="393"/>
      <c r="AE826" s="393"/>
      <c r="AF826" s="394"/>
      <c r="AG826" s="394"/>
      <c r="AH826" s="394"/>
      <c r="AI826" s="394"/>
      <c r="AJ826" s="414"/>
      <c r="AK826" s="395">
        <f t="shared" si="127"/>
        <v>70.759999999999991</v>
      </c>
      <c r="AL826" s="408">
        <f t="shared" si="130"/>
        <v>70.759999999999991</v>
      </c>
      <c r="AM826" s="409"/>
      <c r="AN826" s="633">
        <f>SUM(AL826:AM827)</f>
        <v>70.759999999999991</v>
      </c>
    </row>
    <row r="827" spans="3:40" ht="12.75" x14ac:dyDescent="0.2">
      <c r="C827" s="580"/>
      <c r="D827" s="577"/>
      <c r="E827" s="404" t="s">
        <v>19</v>
      </c>
      <c r="F827" s="396"/>
      <c r="G827" s="396"/>
      <c r="H827" s="404"/>
      <c r="I827" s="404"/>
      <c r="J827" s="396"/>
      <c r="K827" s="396"/>
      <c r="L827" s="404"/>
      <c r="M827" s="396"/>
      <c r="N827" s="396"/>
      <c r="O827" s="396"/>
      <c r="P827" s="396"/>
      <c r="Q827" s="396"/>
      <c r="R827" s="396"/>
      <c r="S827" s="396"/>
      <c r="T827" s="396"/>
      <c r="U827" s="404"/>
      <c r="V827" s="404"/>
      <c r="W827" s="396"/>
      <c r="X827" s="396"/>
      <c r="Y827" s="396"/>
      <c r="Z827" s="396"/>
      <c r="AA827" s="396"/>
      <c r="AB827" s="396"/>
      <c r="AC827" s="404"/>
      <c r="AD827" s="396"/>
      <c r="AE827" s="396"/>
      <c r="AF827" s="396"/>
      <c r="AG827" s="396"/>
      <c r="AH827" s="396"/>
      <c r="AI827" s="396"/>
      <c r="AJ827" s="415"/>
      <c r="AK827" s="405">
        <f t="shared" si="127"/>
        <v>0</v>
      </c>
      <c r="AL827" s="406"/>
      <c r="AM827" s="407">
        <f>AK827</f>
        <v>0</v>
      </c>
      <c r="AN827" s="583"/>
    </row>
    <row r="828" spans="3:40" ht="12.75" x14ac:dyDescent="0.2">
      <c r="C828" s="580"/>
      <c r="D828" s="643" t="s">
        <v>56</v>
      </c>
      <c r="E828" s="393" t="s">
        <v>18</v>
      </c>
      <c r="F828" s="394"/>
      <c r="G828" s="394"/>
      <c r="H828" s="393"/>
      <c r="I828" s="393"/>
      <c r="J828" s="394"/>
      <c r="K828" s="394"/>
      <c r="L828" s="394"/>
      <c r="M828" s="394"/>
      <c r="N828" s="393"/>
      <c r="O828" s="394"/>
      <c r="P828" s="394"/>
      <c r="Q828" s="394"/>
      <c r="R828" s="393">
        <v>9.99</v>
      </c>
      <c r="S828" s="394"/>
      <c r="T828" s="393"/>
      <c r="U828" s="393"/>
      <c r="V828" s="394"/>
      <c r="W828" s="394"/>
      <c r="X828" s="394"/>
      <c r="Y828" s="394"/>
      <c r="Z828" s="394"/>
      <c r="AA828" s="394"/>
      <c r="AB828" s="394"/>
      <c r="AC828" s="394"/>
      <c r="AD828" s="394"/>
      <c r="AE828" s="394"/>
      <c r="AF828" s="394"/>
      <c r="AG828" s="394"/>
      <c r="AH828" s="394"/>
      <c r="AI828" s="394"/>
      <c r="AJ828" s="414"/>
      <c r="AK828" s="395">
        <f t="shared" si="127"/>
        <v>9.99</v>
      </c>
      <c r="AL828" s="408">
        <f>AK828</f>
        <v>9.99</v>
      </c>
      <c r="AM828" s="409"/>
      <c r="AN828" s="633">
        <f>SUM(AL828:AM829)</f>
        <v>9.99</v>
      </c>
    </row>
    <row r="829" spans="3:40" ht="12.75" x14ac:dyDescent="0.2">
      <c r="C829" s="580"/>
      <c r="D829" s="577"/>
      <c r="E829" s="404" t="s">
        <v>19</v>
      </c>
      <c r="F829" s="396"/>
      <c r="G829" s="396"/>
      <c r="H829" s="396"/>
      <c r="I829" s="396"/>
      <c r="J829" s="396"/>
      <c r="K829" s="396"/>
      <c r="L829" s="396"/>
      <c r="M829" s="396"/>
      <c r="N829" s="396"/>
      <c r="O829" s="396"/>
      <c r="P829" s="396"/>
      <c r="Q829" s="396"/>
      <c r="R829" s="396"/>
      <c r="S829" s="396"/>
      <c r="T829" s="396"/>
      <c r="U829" s="396"/>
      <c r="V829" s="396"/>
      <c r="W829" s="396"/>
      <c r="X829" s="396"/>
      <c r="Y829" s="396"/>
      <c r="Z829" s="396"/>
      <c r="AA829" s="396"/>
      <c r="AB829" s="396"/>
      <c r="AC829" s="396"/>
      <c r="AD829" s="396"/>
      <c r="AE829" s="396"/>
      <c r="AF829" s="396"/>
      <c r="AG829" s="396"/>
      <c r="AH829" s="396"/>
      <c r="AI829" s="396"/>
      <c r="AJ829" s="415"/>
      <c r="AK829" s="405">
        <f t="shared" si="127"/>
        <v>0</v>
      </c>
      <c r="AL829" s="406"/>
      <c r="AM829" s="407">
        <f>AK829</f>
        <v>0</v>
      </c>
      <c r="AN829" s="583"/>
    </row>
    <row r="830" spans="3:40" ht="12.75" x14ac:dyDescent="0.2">
      <c r="C830" s="580"/>
      <c r="D830" s="643" t="s">
        <v>57</v>
      </c>
      <c r="E830" s="393" t="s">
        <v>18</v>
      </c>
      <c r="F830" s="394"/>
      <c r="G830" s="394"/>
      <c r="H830" s="394"/>
      <c r="I830" s="394"/>
      <c r="J830" s="394"/>
      <c r="K830" s="394"/>
      <c r="L830" s="394"/>
      <c r="M830" s="393"/>
      <c r="N830" s="394"/>
      <c r="O830" s="394"/>
      <c r="P830" s="394"/>
      <c r="Q830" s="394"/>
      <c r="R830" s="394"/>
      <c r="S830" s="394"/>
      <c r="T830" s="393"/>
      <c r="U830" s="394"/>
      <c r="V830" s="394"/>
      <c r="W830" s="394"/>
      <c r="X830" s="394"/>
      <c r="Y830" s="393"/>
      <c r="Z830" s="394"/>
      <c r="AA830" s="393">
        <v>21.69</v>
      </c>
      <c r="AB830" s="394"/>
      <c r="AC830" s="394"/>
      <c r="AD830" s="394"/>
      <c r="AE830" s="394"/>
      <c r="AF830" s="394"/>
      <c r="AG830" s="394"/>
      <c r="AH830" s="394"/>
      <c r="AI830" s="394"/>
      <c r="AJ830" s="414"/>
      <c r="AK830" s="395">
        <f t="shared" si="127"/>
        <v>21.69</v>
      </c>
      <c r="AL830" s="408">
        <f>AK830</f>
        <v>21.69</v>
      </c>
      <c r="AM830" s="409"/>
      <c r="AN830" s="633">
        <f>SUM(AL830:AM831)</f>
        <v>21.69</v>
      </c>
    </row>
    <row r="831" spans="3:40" ht="12.75" x14ac:dyDescent="0.2">
      <c r="C831" s="581"/>
      <c r="D831" s="585"/>
      <c r="E831" s="410" t="s">
        <v>19</v>
      </c>
      <c r="F831" s="407"/>
      <c r="G831" s="407"/>
      <c r="H831" s="407"/>
      <c r="I831" s="407"/>
      <c r="J831" s="407"/>
      <c r="K831" s="407"/>
      <c r="L831" s="407"/>
      <c r="M831" s="407"/>
      <c r="N831" s="407"/>
      <c r="O831" s="407"/>
      <c r="P831" s="407"/>
      <c r="Q831" s="407"/>
      <c r="R831" s="407"/>
      <c r="S831" s="407"/>
      <c r="T831" s="410"/>
      <c r="U831" s="407"/>
      <c r="V831" s="407"/>
      <c r="W831" s="407"/>
      <c r="X831" s="407"/>
      <c r="Y831" s="407"/>
      <c r="Z831" s="407"/>
      <c r="AA831" s="407"/>
      <c r="AB831" s="407"/>
      <c r="AC831" s="407"/>
      <c r="AD831" s="407"/>
      <c r="AE831" s="407"/>
      <c r="AF831" s="407"/>
      <c r="AG831" s="407"/>
      <c r="AH831" s="407"/>
      <c r="AI831" s="407"/>
      <c r="AJ831" s="418"/>
      <c r="AK831" s="405">
        <f t="shared" si="127"/>
        <v>0</v>
      </c>
      <c r="AL831" s="406"/>
      <c r="AM831" s="407">
        <f>AK831</f>
        <v>0</v>
      </c>
      <c r="AN831" s="583"/>
    </row>
    <row r="832" spans="3:40" ht="12.75" x14ac:dyDescent="0.2">
      <c r="C832" s="629" t="s">
        <v>58</v>
      </c>
      <c r="D832" s="644" t="s">
        <v>59</v>
      </c>
      <c r="E832" s="411" t="s">
        <v>18</v>
      </c>
      <c r="F832" s="412"/>
      <c r="G832" s="412"/>
      <c r="H832" s="411"/>
      <c r="I832" s="411"/>
      <c r="J832" s="412"/>
      <c r="K832" s="411"/>
      <c r="L832" s="411"/>
      <c r="M832" s="411"/>
      <c r="N832" s="412"/>
      <c r="O832" s="412"/>
      <c r="P832" s="411"/>
      <c r="Q832" s="412"/>
      <c r="R832" s="412"/>
      <c r="S832" s="411"/>
      <c r="T832" s="412"/>
      <c r="U832" s="411"/>
      <c r="V832" s="411"/>
      <c r="W832" s="411"/>
      <c r="X832" s="411"/>
      <c r="Y832" s="411"/>
      <c r="Z832" s="411"/>
      <c r="AA832" s="412"/>
      <c r="AB832" s="412"/>
      <c r="AC832" s="412"/>
      <c r="AD832" s="412"/>
      <c r="AE832" s="412"/>
      <c r="AF832" s="412"/>
      <c r="AG832" s="411"/>
      <c r="AH832" s="412"/>
      <c r="AI832" s="412"/>
      <c r="AJ832" s="417"/>
      <c r="AK832" s="395">
        <f t="shared" si="127"/>
        <v>0</v>
      </c>
      <c r="AL832" s="408">
        <f>AK832</f>
        <v>0</v>
      </c>
      <c r="AM832" s="409"/>
      <c r="AN832" s="635">
        <f>SUM(AL832:AM833)</f>
        <v>0</v>
      </c>
    </row>
    <row r="833" spans="3:45" ht="12.75" x14ac:dyDescent="0.2">
      <c r="C833" s="580"/>
      <c r="D833" s="577"/>
      <c r="E833" s="404" t="s">
        <v>19</v>
      </c>
      <c r="F833" s="396"/>
      <c r="G833" s="396"/>
      <c r="H833" s="396"/>
      <c r="I833" s="396"/>
      <c r="J833" s="396"/>
      <c r="K833" s="404"/>
      <c r="L833" s="396"/>
      <c r="M833" s="404"/>
      <c r="N833" s="404"/>
      <c r="O833" s="404"/>
      <c r="P833" s="396"/>
      <c r="Q833" s="396"/>
      <c r="R833" s="396"/>
      <c r="S833" s="396"/>
      <c r="T833" s="396"/>
      <c r="U833" s="396"/>
      <c r="V833" s="404"/>
      <c r="W833" s="404"/>
      <c r="X833" s="396"/>
      <c r="Y833" s="396"/>
      <c r="Z833" s="396"/>
      <c r="AA833" s="396"/>
      <c r="AB833" s="396"/>
      <c r="AC833" s="396"/>
      <c r="AD833" s="396"/>
      <c r="AE833" s="396"/>
      <c r="AF833" s="396"/>
      <c r="AG833" s="396"/>
      <c r="AH833" s="396"/>
      <c r="AI833" s="396"/>
      <c r="AJ833" s="415"/>
      <c r="AK833" s="405">
        <f t="shared" si="127"/>
        <v>0</v>
      </c>
      <c r="AL833" s="406"/>
      <c r="AM833" s="407">
        <f>AK833</f>
        <v>0</v>
      </c>
      <c r="AN833" s="585"/>
    </row>
    <row r="834" spans="3:45" ht="12.75" x14ac:dyDescent="0.2">
      <c r="C834" s="580"/>
      <c r="D834" s="643" t="s">
        <v>60</v>
      </c>
      <c r="E834" s="393" t="s">
        <v>18</v>
      </c>
      <c r="F834" s="393"/>
      <c r="G834" s="394"/>
      <c r="H834" s="394"/>
      <c r="I834" s="394"/>
      <c r="J834" s="394"/>
      <c r="K834" s="393"/>
      <c r="L834" s="394"/>
      <c r="M834" s="393"/>
      <c r="N834" s="393"/>
      <c r="O834" s="394"/>
      <c r="P834" s="394"/>
      <c r="Q834" s="394"/>
      <c r="R834" s="394"/>
      <c r="S834" s="393"/>
      <c r="T834" s="394"/>
      <c r="U834" s="394"/>
      <c r="V834" s="394"/>
      <c r="W834" s="394"/>
      <c r="X834" s="394"/>
      <c r="Y834" s="394"/>
      <c r="Z834" s="394"/>
      <c r="AA834" s="394"/>
      <c r="AB834" s="394"/>
      <c r="AC834" s="394"/>
      <c r="AD834" s="394"/>
      <c r="AE834" s="394"/>
      <c r="AF834" s="394"/>
      <c r="AG834" s="394"/>
      <c r="AH834" s="394"/>
      <c r="AI834" s="394"/>
      <c r="AJ834" s="414"/>
      <c r="AK834" s="395">
        <f t="shared" si="127"/>
        <v>0</v>
      </c>
      <c r="AL834" s="403">
        <f>AK834</f>
        <v>0</v>
      </c>
      <c r="AM834" s="396"/>
      <c r="AN834" s="633">
        <f>SUM(AL834:AM835)</f>
        <v>0</v>
      </c>
    </row>
    <row r="835" spans="3:45" ht="12.75" x14ac:dyDescent="0.2">
      <c r="C835" s="580"/>
      <c r="D835" s="577"/>
      <c r="E835" s="404" t="s">
        <v>19</v>
      </c>
      <c r="F835" s="396"/>
      <c r="G835" s="396"/>
      <c r="H835" s="396"/>
      <c r="I835" s="396"/>
      <c r="J835" s="396"/>
      <c r="K835" s="404"/>
      <c r="L835" s="396"/>
      <c r="M835" s="396"/>
      <c r="N835" s="396"/>
      <c r="O835" s="396"/>
      <c r="P835" s="396"/>
      <c r="Q835" s="404"/>
      <c r="R835" s="396"/>
      <c r="S835" s="396"/>
      <c r="T835" s="396"/>
      <c r="U835" s="396"/>
      <c r="V835" s="396"/>
      <c r="W835" s="396"/>
      <c r="X835" s="396"/>
      <c r="Y835" s="396"/>
      <c r="Z835" s="396"/>
      <c r="AA835" s="396"/>
      <c r="AB835" s="396"/>
      <c r="AC835" s="396"/>
      <c r="AD835" s="396"/>
      <c r="AE835" s="396"/>
      <c r="AF835" s="396"/>
      <c r="AG835" s="396"/>
      <c r="AH835" s="396"/>
      <c r="AI835" s="396"/>
      <c r="AJ835" s="415"/>
      <c r="AK835" s="405">
        <f t="shared" si="127"/>
        <v>0</v>
      </c>
      <c r="AL835" s="403"/>
      <c r="AM835" s="396">
        <f>AK835</f>
        <v>0</v>
      </c>
      <c r="AN835" s="583"/>
    </row>
    <row r="836" spans="3:45" ht="12.75" x14ac:dyDescent="0.2">
      <c r="C836" s="580"/>
      <c r="D836" s="643" t="s">
        <v>61</v>
      </c>
      <c r="E836" s="393" t="s">
        <v>18</v>
      </c>
      <c r="F836" s="393"/>
      <c r="G836" s="394"/>
      <c r="H836" s="394"/>
      <c r="I836" s="394"/>
      <c r="J836" s="394"/>
      <c r="K836" s="394"/>
      <c r="L836" s="394"/>
      <c r="M836" s="394"/>
      <c r="N836" s="394"/>
      <c r="O836" s="393"/>
      <c r="P836" s="394"/>
      <c r="Q836" s="393"/>
      <c r="R836" s="393">
        <v>20.100000000000001</v>
      </c>
      <c r="S836" s="393"/>
      <c r="T836" s="394"/>
      <c r="U836" s="394"/>
      <c r="V836" s="394"/>
      <c r="W836" s="393"/>
      <c r="X836" s="394"/>
      <c r="Y836" s="394"/>
      <c r="Z836" s="394"/>
      <c r="AA836" s="394"/>
      <c r="AB836" s="394"/>
      <c r="AC836" s="393"/>
      <c r="AD836" s="394"/>
      <c r="AE836" s="394"/>
      <c r="AF836" s="393"/>
      <c r="AG836" s="394"/>
      <c r="AH836" s="394"/>
      <c r="AI836" s="394"/>
      <c r="AJ836" s="414"/>
      <c r="AK836" s="414">
        <f t="shared" si="127"/>
        <v>20.100000000000001</v>
      </c>
      <c r="AL836" s="408">
        <f>AK836</f>
        <v>20.100000000000001</v>
      </c>
      <c r="AM836" s="409"/>
      <c r="AN836" s="635">
        <f>SUM(AL836:AM837)</f>
        <v>20.100000000000001</v>
      </c>
    </row>
    <row r="837" spans="3:45" ht="12.75" x14ac:dyDescent="0.2">
      <c r="C837" s="580"/>
      <c r="D837" s="577"/>
      <c r="E837" s="404" t="s">
        <v>19</v>
      </c>
      <c r="F837" s="396"/>
      <c r="G837" s="396"/>
      <c r="H837" s="396"/>
      <c r="I837" s="396"/>
      <c r="J837" s="396"/>
      <c r="K837" s="396"/>
      <c r="L837" s="396"/>
      <c r="M837" s="396"/>
      <c r="N837" s="396"/>
      <c r="O837" s="396"/>
      <c r="P837" s="396"/>
      <c r="Q837" s="396"/>
      <c r="R837" s="396"/>
      <c r="S837" s="396"/>
      <c r="T837" s="396"/>
      <c r="U837" s="396"/>
      <c r="V837" s="396"/>
      <c r="W837" s="404"/>
      <c r="X837" s="396"/>
      <c r="Y837" s="404"/>
      <c r="Z837" s="396"/>
      <c r="AA837" s="396"/>
      <c r="AB837" s="396"/>
      <c r="AC837" s="396"/>
      <c r="AD837" s="396"/>
      <c r="AE837" s="396"/>
      <c r="AF837" s="396"/>
      <c r="AG837" s="396"/>
      <c r="AH837" s="396"/>
      <c r="AI837" s="396"/>
      <c r="AJ837" s="415"/>
      <c r="AK837" s="415">
        <f t="shared" si="127"/>
        <v>0</v>
      </c>
      <c r="AL837" s="406"/>
      <c r="AM837" s="407">
        <f>AK837</f>
        <v>0</v>
      </c>
      <c r="AN837" s="585"/>
    </row>
    <row r="838" spans="3:45" ht="12.75" x14ac:dyDescent="0.2">
      <c r="C838" s="580"/>
      <c r="D838" s="643" t="s">
        <v>62</v>
      </c>
      <c r="E838" s="393" t="s">
        <v>18</v>
      </c>
      <c r="F838" s="394"/>
      <c r="G838" s="394"/>
      <c r="H838" s="393"/>
      <c r="I838" s="393"/>
      <c r="J838" s="394"/>
      <c r="K838" s="394"/>
      <c r="L838" s="394"/>
      <c r="M838" s="394"/>
      <c r="N838" s="393"/>
      <c r="O838" s="394"/>
      <c r="P838" s="393"/>
      <c r="Q838" s="393"/>
      <c r="R838" s="394"/>
      <c r="S838" s="394"/>
      <c r="T838" s="394"/>
      <c r="U838" s="394"/>
      <c r="V838" s="393"/>
      <c r="W838" s="393"/>
      <c r="X838" s="393"/>
      <c r="Y838" s="393"/>
      <c r="Z838" s="393"/>
      <c r="AA838" s="394"/>
      <c r="AB838" s="394"/>
      <c r="AC838" s="394"/>
      <c r="AD838" s="394"/>
      <c r="AE838" s="394"/>
      <c r="AF838" s="394"/>
      <c r="AG838" s="394"/>
      <c r="AH838" s="394"/>
      <c r="AI838" s="394"/>
      <c r="AJ838" s="414"/>
      <c r="AK838" s="414">
        <f t="shared" si="127"/>
        <v>0</v>
      </c>
      <c r="AL838" s="408">
        <f>AK838</f>
        <v>0</v>
      </c>
      <c r="AM838" s="409"/>
      <c r="AN838" s="633">
        <f>SUM(AL838:AM839)</f>
        <v>0</v>
      </c>
    </row>
    <row r="839" spans="3:45" ht="12.75" x14ac:dyDescent="0.2">
      <c r="C839" s="581"/>
      <c r="D839" s="577"/>
      <c r="E839" s="404" t="s">
        <v>19</v>
      </c>
      <c r="F839" s="396"/>
      <c r="G839" s="396"/>
      <c r="H839" s="404"/>
      <c r="I839" s="396"/>
      <c r="J839" s="396"/>
      <c r="K839" s="396"/>
      <c r="L839" s="404"/>
      <c r="M839" s="396"/>
      <c r="N839" s="396"/>
      <c r="O839" s="396"/>
      <c r="P839" s="404"/>
      <c r="Q839" s="396"/>
      <c r="R839" s="396"/>
      <c r="S839" s="404"/>
      <c r="T839" s="396"/>
      <c r="U839" s="396"/>
      <c r="V839" s="404"/>
      <c r="W839" s="404"/>
      <c r="X839" s="396"/>
      <c r="Y839" s="404"/>
      <c r="Z839" s="396"/>
      <c r="AA839" s="396"/>
      <c r="AB839" s="396"/>
      <c r="AC839" s="396"/>
      <c r="AD839" s="396"/>
      <c r="AE839" s="396"/>
      <c r="AF839" s="396"/>
      <c r="AG839" s="396"/>
      <c r="AH839" s="396"/>
      <c r="AI839" s="396"/>
      <c r="AJ839" s="415"/>
      <c r="AK839" s="415">
        <f t="shared" si="127"/>
        <v>0</v>
      </c>
      <c r="AL839" s="406"/>
      <c r="AM839" s="407">
        <f>AK839</f>
        <v>0</v>
      </c>
      <c r="AN839" s="583"/>
    </row>
    <row r="840" spans="3:45" ht="12.75" x14ac:dyDescent="0.2">
      <c r="C840" s="629" t="s">
        <v>63</v>
      </c>
      <c r="D840" s="644" t="s">
        <v>75</v>
      </c>
      <c r="E840" s="411" t="s">
        <v>18</v>
      </c>
      <c r="F840" s="412"/>
      <c r="G840" s="412"/>
      <c r="H840" s="412"/>
      <c r="I840" s="412"/>
      <c r="J840" s="412"/>
      <c r="K840" s="412"/>
      <c r="L840" s="412"/>
      <c r="M840" s="412"/>
      <c r="N840" s="412"/>
      <c r="O840" s="412"/>
      <c r="P840" s="412"/>
      <c r="Q840" s="412"/>
      <c r="R840" s="412"/>
      <c r="S840" s="412"/>
      <c r="T840" s="412"/>
      <c r="U840" s="412"/>
      <c r="V840" s="412"/>
      <c r="W840" s="411"/>
      <c r="X840" s="412"/>
      <c r="Y840" s="411"/>
      <c r="Z840" s="412"/>
      <c r="AA840" s="412"/>
      <c r="AB840" s="412"/>
      <c r="AC840" s="412"/>
      <c r="AD840" s="412"/>
      <c r="AE840" s="412"/>
      <c r="AF840" s="412"/>
      <c r="AG840" s="412"/>
      <c r="AH840" s="412"/>
      <c r="AI840" s="412"/>
      <c r="AJ840" s="417"/>
      <c r="AK840" s="395">
        <f t="shared" si="127"/>
        <v>0</v>
      </c>
      <c r="AL840" s="412">
        <f>AK840</f>
        <v>0</v>
      </c>
      <c r="AM840" s="409"/>
      <c r="AN840" s="633">
        <f>SUM(AL840:AM841)</f>
        <v>0</v>
      </c>
    </row>
    <row r="841" spans="3:45" ht="12.75" x14ac:dyDescent="0.2">
      <c r="C841" s="580"/>
      <c r="D841" s="577"/>
      <c r="E841" s="404" t="s">
        <v>19</v>
      </c>
      <c r="F841" s="396"/>
      <c r="G841" s="396"/>
      <c r="H841" s="396"/>
      <c r="I841" s="396"/>
      <c r="J841" s="396"/>
      <c r="K841" s="396"/>
      <c r="L841" s="396"/>
      <c r="M841" s="396"/>
      <c r="N841" s="396"/>
      <c r="O841" s="396"/>
      <c r="P841" s="396"/>
      <c r="Q841" s="396"/>
      <c r="R841" s="396"/>
      <c r="S841" s="396"/>
      <c r="T841" s="396"/>
      <c r="U841" s="396"/>
      <c r="V841" s="396"/>
      <c r="W841" s="396"/>
      <c r="X841" s="404"/>
      <c r="Y841" s="396"/>
      <c r="Z841" s="396"/>
      <c r="AA841" s="396"/>
      <c r="AB841" s="396"/>
      <c r="AC841" s="396"/>
      <c r="AD841" s="396"/>
      <c r="AE841" s="396"/>
      <c r="AF841" s="396"/>
      <c r="AG841" s="396"/>
      <c r="AH841" s="396"/>
      <c r="AI841" s="396"/>
      <c r="AJ841" s="415"/>
      <c r="AK841" s="405">
        <f t="shared" si="127"/>
        <v>0</v>
      </c>
      <c r="AL841" s="406"/>
      <c r="AM841" s="407">
        <f>AK841</f>
        <v>0</v>
      </c>
      <c r="AN841" s="583"/>
    </row>
    <row r="842" spans="3:45" ht="12.75" x14ac:dyDescent="0.2">
      <c r="C842" s="580"/>
      <c r="D842" s="643" t="s">
        <v>65</v>
      </c>
      <c r="E842" s="393" t="s">
        <v>18</v>
      </c>
      <c r="F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394"/>
      <c r="R842" s="394"/>
      <c r="S842" s="394"/>
      <c r="T842" s="394"/>
      <c r="U842" s="394"/>
      <c r="V842" s="394"/>
      <c r="W842" s="394"/>
      <c r="X842" s="394"/>
      <c r="Y842" s="394"/>
      <c r="Z842" s="394"/>
      <c r="AA842" s="394"/>
      <c r="AB842" s="394"/>
      <c r="AC842" s="394"/>
      <c r="AD842" s="394"/>
      <c r="AE842" s="394"/>
      <c r="AF842" s="394"/>
      <c r="AG842" s="394"/>
      <c r="AH842" s="394"/>
      <c r="AI842" s="394"/>
      <c r="AJ842" s="414"/>
      <c r="AK842" s="395">
        <f t="shared" si="127"/>
        <v>0</v>
      </c>
      <c r="AL842" s="408">
        <f>AK842</f>
        <v>0</v>
      </c>
      <c r="AM842" s="409"/>
      <c r="AN842" s="633">
        <f>SUM(AL842:AM843)</f>
        <v>0</v>
      </c>
    </row>
    <row r="843" spans="3:45" ht="12.75" x14ac:dyDescent="0.2">
      <c r="C843" s="581"/>
      <c r="D843" s="585"/>
      <c r="E843" s="410" t="s">
        <v>19</v>
      </c>
      <c r="F843" s="407"/>
      <c r="G843" s="407"/>
      <c r="H843" s="407"/>
      <c r="I843" s="407"/>
      <c r="J843" s="410"/>
      <c r="K843" s="407"/>
      <c r="L843" s="407"/>
      <c r="M843" s="407"/>
      <c r="N843" s="407"/>
      <c r="O843" s="407"/>
      <c r="P843" s="407"/>
      <c r="Q843" s="407"/>
      <c r="R843" s="407"/>
      <c r="S843" s="407"/>
      <c r="T843" s="407"/>
      <c r="U843" s="410"/>
      <c r="V843" s="410"/>
      <c r="W843" s="407"/>
      <c r="X843" s="407"/>
      <c r="Y843" s="407"/>
      <c r="Z843" s="407"/>
      <c r="AA843" s="407"/>
      <c r="AB843" s="407"/>
      <c r="AC843" s="407"/>
      <c r="AD843" s="407"/>
      <c r="AE843" s="407"/>
      <c r="AF843" s="407"/>
      <c r="AG843" s="407"/>
      <c r="AH843" s="407"/>
      <c r="AI843" s="407"/>
      <c r="AJ843" s="418"/>
      <c r="AK843" s="419">
        <f t="shared" si="127"/>
        <v>0</v>
      </c>
      <c r="AL843" s="406"/>
      <c r="AM843" s="407">
        <f>AK843</f>
        <v>0</v>
      </c>
      <c r="AN843" s="583"/>
    </row>
    <row r="844" spans="3:45" ht="12.75" x14ac:dyDescent="0.2">
      <c r="C844" s="420" t="s">
        <v>32</v>
      </c>
      <c r="D844" s="396"/>
      <c r="E844" s="396"/>
      <c r="F844" s="396">
        <f t="shared" ref="F844:AM844" si="131">SUM(F793:F843)</f>
        <v>27.990000000000002</v>
      </c>
      <c r="G844" s="396">
        <f t="shared" si="131"/>
        <v>33.82</v>
      </c>
      <c r="H844" s="396">
        <f t="shared" si="131"/>
        <v>70.06</v>
      </c>
      <c r="I844" s="396">
        <f t="shared" si="131"/>
        <v>5.38</v>
      </c>
      <c r="J844" s="396">
        <f t="shared" si="131"/>
        <v>32.900000000000006</v>
      </c>
      <c r="K844" s="396">
        <f t="shared" si="131"/>
        <v>32.21</v>
      </c>
      <c r="L844" s="396">
        <f t="shared" si="131"/>
        <v>115.91</v>
      </c>
      <c r="M844" s="396">
        <f t="shared" si="131"/>
        <v>52.72</v>
      </c>
      <c r="N844" s="396">
        <f t="shared" si="131"/>
        <v>22.330000000000002</v>
      </c>
      <c r="O844" s="396">
        <f t="shared" si="131"/>
        <v>85.61</v>
      </c>
      <c r="P844" s="396">
        <f t="shared" si="131"/>
        <v>13.58</v>
      </c>
      <c r="Q844" s="396">
        <f t="shared" si="131"/>
        <v>37.47</v>
      </c>
      <c r="R844" s="396">
        <f t="shared" si="131"/>
        <v>104.85999999999999</v>
      </c>
      <c r="S844" s="396">
        <f t="shared" si="131"/>
        <v>5.76</v>
      </c>
      <c r="T844" s="396">
        <f t="shared" si="131"/>
        <v>12.27</v>
      </c>
      <c r="U844" s="396">
        <f t="shared" si="131"/>
        <v>0</v>
      </c>
      <c r="V844" s="396">
        <f t="shared" si="131"/>
        <v>45.3</v>
      </c>
      <c r="W844" s="396">
        <f t="shared" si="131"/>
        <v>34.85</v>
      </c>
      <c r="X844" s="396">
        <f t="shared" si="131"/>
        <v>48.180000000000007</v>
      </c>
      <c r="Y844" s="396">
        <f t="shared" si="131"/>
        <v>65.600000000000009</v>
      </c>
      <c r="Z844" s="396">
        <f t="shared" si="131"/>
        <v>28.450000000000003</v>
      </c>
      <c r="AA844" s="396">
        <f t="shared" si="131"/>
        <v>90.329999999999984</v>
      </c>
      <c r="AB844" s="396">
        <f t="shared" si="131"/>
        <v>24.290000000000003</v>
      </c>
      <c r="AC844" s="396">
        <f t="shared" si="131"/>
        <v>24.88</v>
      </c>
      <c r="AD844" s="396">
        <f t="shared" si="131"/>
        <v>34.42</v>
      </c>
      <c r="AE844" s="396">
        <f t="shared" si="131"/>
        <v>24.400000000000002</v>
      </c>
      <c r="AF844" s="396">
        <f t="shared" si="131"/>
        <v>27.9</v>
      </c>
      <c r="AG844" s="396">
        <f t="shared" si="131"/>
        <v>73.570000000000007</v>
      </c>
      <c r="AH844" s="396">
        <f t="shared" si="131"/>
        <v>48.97</v>
      </c>
      <c r="AI844" s="396">
        <f t="shared" si="131"/>
        <v>23.29</v>
      </c>
      <c r="AJ844" s="396">
        <f t="shared" si="131"/>
        <v>0</v>
      </c>
      <c r="AK844" s="421">
        <f t="shared" si="131"/>
        <v>1220.3</v>
      </c>
      <c r="AL844" s="394">
        <f t="shared" si="131"/>
        <v>1162.3000000000002</v>
      </c>
      <c r="AM844" s="396">
        <f t="shared" si="131"/>
        <v>85</v>
      </c>
    </row>
    <row r="846" spans="3:45" ht="12.75" x14ac:dyDescent="0.2">
      <c r="F846" s="642" t="s">
        <v>79</v>
      </c>
      <c r="G846" s="577"/>
      <c r="H846" s="577"/>
      <c r="I846" s="577"/>
      <c r="J846" s="577"/>
      <c r="K846" s="577"/>
      <c r="L846" s="577"/>
      <c r="M846" s="577"/>
      <c r="N846" s="577"/>
      <c r="O846" s="577"/>
      <c r="P846" s="577"/>
      <c r="Q846" s="577"/>
      <c r="R846" s="577"/>
      <c r="S846" s="577"/>
      <c r="T846" s="577"/>
      <c r="U846" s="577"/>
      <c r="V846" s="577"/>
      <c r="W846" s="577"/>
      <c r="X846" s="577"/>
      <c r="Y846" s="577"/>
      <c r="Z846" s="577"/>
      <c r="AA846" s="577"/>
      <c r="AB846" s="577"/>
      <c r="AC846" s="577"/>
      <c r="AD846" s="577"/>
      <c r="AE846" s="577"/>
      <c r="AF846" s="577"/>
      <c r="AG846" s="577"/>
      <c r="AH846" s="577"/>
      <c r="AI846" s="577"/>
      <c r="AJ846" s="577"/>
    </row>
    <row r="847" spans="3:45" ht="12.75" x14ac:dyDescent="0.2">
      <c r="E847" s="362" t="s">
        <v>9</v>
      </c>
      <c r="F847" s="362" t="s">
        <v>16</v>
      </c>
      <c r="G847" s="362" t="s">
        <v>10</v>
      </c>
      <c r="H847" s="362" t="s">
        <v>11</v>
      </c>
      <c r="I847" s="362" t="s">
        <v>12</v>
      </c>
      <c r="J847" s="362" t="s">
        <v>13</v>
      </c>
      <c r="K847" s="362" t="s">
        <v>14</v>
      </c>
      <c r="L847" s="362" t="s">
        <v>15</v>
      </c>
      <c r="M847" s="362" t="s">
        <v>16</v>
      </c>
      <c r="N847" s="362" t="s">
        <v>10</v>
      </c>
      <c r="O847" s="362" t="s">
        <v>11</v>
      </c>
      <c r="P847" s="362" t="s">
        <v>12</v>
      </c>
      <c r="Q847" s="362" t="s">
        <v>13</v>
      </c>
      <c r="R847" s="362" t="s">
        <v>14</v>
      </c>
      <c r="S847" s="362" t="s">
        <v>15</v>
      </c>
      <c r="T847" s="362" t="s">
        <v>16</v>
      </c>
      <c r="U847" s="362" t="s">
        <v>10</v>
      </c>
      <c r="V847" s="362" t="s">
        <v>11</v>
      </c>
      <c r="W847" s="362" t="s">
        <v>12</v>
      </c>
      <c r="X847" s="362" t="s">
        <v>13</v>
      </c>
      <c r="Y847" s="362" t="s">
        <v>14</v>
      </c>
      <c r="Z847" s="362" t="s">
        <v>15</v>
      </c>
      <c r="AA847" s="362" t="s">
        <v>16</v>
      </c>
      <c r="AB847" s="362" t="s">
        <v>10</v>
      </c>
      <c r="AC847" s="362" t="s">
        <v>11</v>
      </c>
      <c r="AD847" s="362" t="s">
        <v>12</v>
      </c>
      <c r="AE847" s="362" t="s">
        <v>13</v>
      </c>
      <c r="AF847" s="362" t="s">
        <v>14</v>
      </c>
      <c r="AG847" s="362" t="s">
        <v>15</v>
      </c>
      <c r="AH847" s="362" t="s">
        <v>16</v>
      </c>
      <c r="AI847" s="362" t="s">
        <v>10</v>
      </c>
      <c r="AJ847" s="362" t="s">
        <v>11</v>
      </c>
      <c r="AK847" s="362"/>
      <c r="AL847" s="363"/>
      <c r="AM847" s="364"/>
      <c r="AN847" s="365"/>
      <c r="AP847" s="366"/>
      <c r="AQ847" s="367" t="s">
        <v>17</v>
      </c>
      <c r="AR847" s="367" t="s">
        <v>18</v>
      </c>
      <c r="AS847" s="367" t="s">
        <v>19</v>
      </c>
    </row>
    <row r="848" spans="3:45" ht="12.75" x14ac:dyDescent="0.2">
      <c r="E848" s="362" t="s">
        <v>20</v>
      </c>
      <c r="F848" s="362">
        <v>1</v>
      </c>
      <c r="G848" s="362">
        <v>2</v>
      </c>
      <c r="H848" s="362">
        <v>3</v>
      </c>
      <c r="I848" s="362">
        <v>4</v>
      </c>
      <c r="J848" s="362">
        <v>5</v>
      </c>
      <c r="K848" s="362">
        <v>6</v>
      </c>
      <c r="L848" s="362">
        <v>7</v>
      </c>
      <c r="M848" s="362">
        <v>8</v>
      </c>
      <c r="N848" s="362">
        <v>9</v>
      </c>
      <c r="O848" s="362">
        <v>10</v>
      </c>
      <c r="P848" s="362">
        <v>11</v>
      </c>
      <c r="Q848" s="362">
        <v>12</v>
      </c>
      <c r="R848" s="362">
        <v>13</v>
      </c>
      <c r="S848" s="362">
        <v>14</v>
      </c>
      <c r="T848" s="362">
        <v>15</v>
      </c>
      <c r="U848" s="362">
        <v>16</v>
      </c>
      <c r="V848" s="362">
        <v>17</v>
      </c>
      <c r="W848" s="362">
        <v>18</v>
      </c>
      <c r="X848" s="362">
        <v>19</v>
      </c>
      <c r="Y848" s="362">
        <v>20</v>
      </c>
      <c r="Z848" s="362">
        <v>21</v>
      </c>
      <c r="AA848" s="362">
        <v>22</v>
      </c>
      <c r="AB848" s="362">
        <v>23</v>
      </c>
      <c r="AC848" s="362">
        <v>24</v>
      </c>
      <c r="AD848" s="362">
        <v>25</v>
      </c>
      <c r="AE848" s="362">
        <v>26</v>
      </c>
      <c r="AF848" s="362">
        <v>27</v>
      </c>
      <c r="AG848" s="362">
        <v>28</v>
      </c>
      <c r="AH848" s="362">
        <v>29</v>
      </c>
      <c r="AI848" s="362">
        <v>30</v>
      </c>
      <c r="AJ848" s="362">
        <v>31</v>
      </c>
      <c r="AK848" s="362" t="s">
        <v>21</v>
      </c>
      <c r="AL848" s="363" t="s">
        <v>18</v>
      </c>
      <c r="AM848" s="364" t="s">
        <v>19</v>
      </c>
      <c r="AN848" s="368" t="s">
        <v>22</v>
      </c>
      <c r="AP848" s="367" t="s">
        <v>23</v>
      </c>
      <c r="AQ848" s="369">
        <f>AK859-AK911</f>
        <v>882.6099999999999</v>
      </c>
      <c r="AR848" s="369">
        <f t="shared" ref="AR848:AS848" si="132">(AL859-AL911)</f>
        <v>917.6099999999999</v>
      </c>
      <c r="AS848" s="369">
        <f t="shared" si="132"/>
        <v>-90</v>
      </c>
    </row>
    <row r="849" spans="3:40" ht="12.75" x14ac:dyDescent="0.2">
      <c r="C849" s="628" t="s">
        <v>24</v>
      </c>
      <c r="D849" s="370" t="s">
        <v>25</v>
      </c>
      <c r="E849" s="371" t="s">
        <v>18</v>
      </c>
      <c r="F849" s="372"/>
      <c r="G849" s="372"/>
      <c r="H849" s="371"/>
      <c r="I849" s="371"/>
      <c r="J849" s="371">
        <f>980+609.6</f>
        <v>1589.6</v>
      </c>
      <c r="K849" s="372"/>
      <c r="L849" s="372"/>
      <c r="M849" s="372"/>
      <c r="N849" s="372"/>
      <c r="O849" s="372"/>
      <c r="P849" s="372"/>
      <c r="Q849" s="372"/>
      <c r="R849" s="372"/>
      <c r="S849" s="372"/>
      <c r="T849" s="371"/>
      <c r="U849" s="372"/>
      <c r="V849" s="372"/>
      <c r="W849" s="371"/>
      <c r="X849" s="371"/>
      <c r="Y849" s="371">
        <v>525</v>
      </c>
      <c r="Z849" s="372"/>
      <c r="AA849" s="372"/>
      <c r="AB849" s="372"/>
      <c r="AC849" s="372"/>
      <c r="AD849" s="372"/>
      <c r="AE849" s="372"/>
      <c r="AF849" s="372"/>
      <c r="AG849" s="372"/>
      <c r="AH849" s="371"/>
      <c r="AI849" s="371">
        <v>5</v>
      </c>
      <c r="AJ849" s="372"/>
      <c r="AK849" s="373">
        <f t="shared" ref="AK849:AK858" si="133">SUM(F849:AJ849)</f>
        <v>2119.6</v>
      </c>
      <c r="AL849" s="366">
        <f t="shared" ref="AL849:AL850" si="134">AK849</f>
        <v>2119.6</v>
      </c>
      <c r="AM849" s="369"/>
      <c r="AN849" s="374">
        <f>AL849</f>
        <v>2119.6</v>
      </c>
    </row>
    <row r="850" spans="3:40" ht="12.75" x14ac:dyDescent="0.2">
      <c r="C850" s="580"/>
      <c r="D850" s="645" t="s">
        <v>26</v>
      </c>
      <c r="E850" s="363" t="s">
        <v>18</v>
      </c>
      <c r="F850" s="366"/>
      <c r="G850" s="366"/>
      <c r="H850" s="366"/>
      <c r="I850" s="366"/>
      <c r="J850" s="366"/>
      <c r="K850" s="366"/>
      <c r="L850" s="366"/>
      <c r="M850" s="366"/>
      <c r="N850" s="366"/>
      <c r="O850" s="366"/>
      <c r="P850" s="366"/>
      <c r="Q850" s="366"/>
      <c r="R850" s="366"/>
      <c r="S850" s="366"/>
      <c r="T850" s="366"/>
      <c r="U850" s="366"/>
      <c r="V850" s="366"/>
      <c r="W850" s="366"/>
      <c r="X850" s="363"/>
      <c r="Y850" s="366"/>
      <c r="Z850" s="366"/>
      <c r="AA850" s="366"/>
      <c r="AB850" s="366"/>
      <c r="AC850" s="366"/>
      <c r="AD850" s="366"/>
      <c r="AE850" s="366"/>
      <c r="AF850" s="366"/>
      <c r="AG850" s="366"/>
      <c r="AH850" s="366"/>
      <c r="AI850" s="366"/>
      <c r="AJ850" s="366"/>
      <c r="AK850" s="376">
        <f t="shared" si="133"/>
        <v>0</v>
      </c>
      <c r="AL850" s="377">
        <f t="shared" si="134"/>
        <v>0</v>
      </c>
      <c r="AM850" s="378"/>
      <c r="AN850" s="633">
        <f>SUM(AL850:AM851)</f>
        <v>0</v>
      </c>
    </row>
    <row r="851" spans="3:40" ht="12.75" x14ac:dyDescent="0.2">
      <c r="C851" s="580"/>
      <c r="D851" s="577"/>
      <c r="E851" s="364" t="s">
        <v>19</v>
      </c>
      <c r="F851" s="369"/>
      <c r="G851" s="369"/>
      <c r="H851" s="369"/>
      <c r="I851" s="369"/>
      <c r="J851" s="369"/>
      <c r="K851" s="369"/>
      <c r="L851" s="369"/>
      <c r="M851" s="369"/>
      <c r="N851" s="369"/>
      <c r="O851" s="369"/>
      <c r="P851" s="369"/>
      <c r="Q851" s="369"/>
      <c r="R851" s="369"/>
      <c r="S851" s="369"/>
      <c r="T851" s="369"/>
      <c r="U851" s="369"/>
      <c r="V851" s="369"/>
      <c r="W851" s="369"/>
      <c r="X851" s="369"/>
      <c r="Y851" s="369"/>
      <c r="Z851" s="369"/>
      <c r="AA851" s="369"/>
      <c r="AB851" s="369"/>
      <c r="AC851" s="369"/>
      <c r="AD851" s="369"/>
      <c r="AE851" s="369"/>
      <c r="AF851" s="369"/>
      <c r="AG851" s="369"/>
      <c r="AH851" s="369"/>
      <c r="AI851" s="369"/>
      <c r="AJ851" s="369"/>
      <c r="AK851" s="379">
        <f t="shared" si="133"/>
        <v>0</v>
      </c>
      <c r="AL851" s="380"/>
      <c r="AM851" s="381">
        <f t="shared" ref="AM851:AM852" si="135">AK851</f>
        <v>0</v>
      </c>
      <c r="AN851" s="583"/>
    </row>
    <row r="852" spans="3:40" ht="12.75" x14ac:dyDescent="0.2">
      <c r="C852" s="580"/>
      <c r="D852" s="375" t="s">
        <v>27</v>
      </c>
      <c r="E852" s="364" t="s">
        <v>19</v>
      </c>
      <c r="F852" s="369"/>
      <c r="G852" s="369"/>
      <c r="H852" s="369"/>
      <c r="I852" s="369"/>
      <c r="J852" s="369"/>
      <c r="K852" s="369"/>
      <c r="L852" s="369"/>
      <c r="M852" s="369"/>
      <c r="N852" s="369"/>
      <c r="O852" s="369"/>
      <c r="P852" s="369"/>
      <c r="Q852" s="369"/>
      <c r="R852" s="369"/>
      <c r="S852" s="369"/>
      <c r="T852" s="369"/>
      <c r="U852" s="369"/>
      <c r="V852" s="369"/>
      <c r="W852" s="369"/>
      <c r="X852" s="369"/>
      <c r="Y852" s="369"/>
      <c r="Z852" s="369"/>
      <c r="AA852" s="369"/>
      <c r="AB852" s="369"/>
      <c r="AC852" s="369"/>
      <c r="AD852" s="369"/>
      <c r="AE852" s="369"/>
      <c r="AF852" s="369"/>
      <c r="AG852" s="369"/>
      <c r="AH852" s="369"/>
      <c r="AI852" s="369"/>
      <c r="AJ852" s="369"/>
      <c r="AK852" s="379">
        <f t="shared" si="133"/>
        <v>0</v>
      </c>
      <c r="AL852" s="366"/>
      <c r="AM852" s="369">
        <f t="shared" si="135"/>
        <v>0</v>
      </c>
      <c r="AN852" s="374">
        <f>AM852</f>
        <v>0</v>
      </c>
    </row>
    <row r="853" spans="3:40" ht="12.75" x14ac:dyDescent="0.2">
      <c r="C853" s="580"/>
      <c r="D853" s="645" t="s">
        <v>28</v>
      </c>
      <c r="E853" s="363" t="s">
        <v>18</v>
      </c>
      <c r="F853" s="363"/>
      <c r="G853" s="366"/>
      <c r="H853" s="366"/>
      <c r="I853" s="366"/>
      <c r="J853" s="366"/>
      <c r="K853" s="363"/>
      <c r="L853" s="366"/>
      <c r="M853" s="366"/>
      <c r="N853" s="366"/>
      <c r="O853" s="366"/>
      <c r="P853" s="366"/>
      <c r="Q853" s="363"/>
      <c r="R853" s="366"/>
      <c r="S853" s="366"/>
      <c r="T853" s="366"/>
      <c r="U853" s="366"/>
      <c r="V853" s="366"/>
      <c r="W853" s="366"/>
      <c r="X853" s="366"/>
      <c r="Y853" s="366"/>
      <c r="Z853" s="363"/>
      <c r="AA853" s="366"/>
      <c r="AB853" s="366"/>
      <c r="AC853" s="366"/>
      <c r="AD853" s="366"/>
      <c r="AE853" s="366"/>
      <c r="AF853" s="366"/>
      <c r="AG853" s="366"/>
      <c r="AH853" s="366"/>
      <c r="AI853" s="366"/>
      <c r="AJ853" s="366"/>
      <c r="AK853" s="376">
        <f t="shared" si="133"/>
        <v>0</v>
      </c>
      <c r="AL853" s="377">
        <f>AK853</f>
        <v>0</v>
      </c>
      <c r="AM853" s="378"/>
      <c r="AN853" s="633">
        <f>SUM(AL853:AM854)</f>
        <v>60</v>
      </c>
    </row>
    <row r="854" spans="3:40" ht="12.75" x14ac:dyDescent="0.2">
      <c r="C854" s="580"/>
      <c r="D854" s="577"/>
      <c r="E854" s="364" t="s">
        <v>19</v>
      </c>
      <c r="F854" s="364"/>
      <c r="G854" s="364"/>
      <c r="H854" s="364"/>
      <c r="I854" s="369"/>
      <c r="J854" s="364"/>
      <c r="K854" s="364"/>
      <c r="L854" s="364"/>
      <c r="M854" s="369"/>
      <c r="N854" s="369"/>
      <c r="O854" s="369"/>
      <c r="P854" s="369"/>
      <c r="Q854" s="364"/>
      <c r="R854" s="369"/>
      <c r="S854" s="364"/>
      <c r="T854" s="369"/>
      <c r="U854" s="369"/>
      <c r="V854" s="369"/>
      <c r="W854" s="364"/>
      <c r="X854" s="364"/>
      <c r="Y854" s="369"/>
      <c r="Z854" s="369"/>
      <c r="AA854" s="369"/>
      <c r="AB854" s="369"/>
      <c r="AC854" s="364">
        <v>25</v>
      </c>
      <c r="AD854" s="369"/>
      <c r="AE854" s="369"/>
      <c r="AF854" s="369"/>
      <c r="AG854" s="369"/>
      <c r="AH854" s="369"/>
      <c r="AI854" s="364"/>
      <c r="AJ854" s="364">
        <v>35</v>
      </c>
      <c r="AK854" s="379">
        <f t="shared" si="133"/>
        <v>60</v>
      </c>
      <c r="AL854" s="380"/>
      <c r="AM854" s="381">
        <f>AK854</f>
        <v>60</v>
      </c>
      <c r="AN854" s="583"/>
    </row>
    <row r="855" spans="3:40" ht="12.75" x14ac:dyDescent="0.2">
      <c r="C855" s="580"/>
      <c r="D855" s="645" t="s">
        <v>29</v>
      </c>
      <c r="E855" s="363" t="s">
        <v>18</v>
      </c>
      <c r="F855" s="366"/>
      <c r="G855" s="366"/>
      <c r="H855" s="366"/>
      <c r="I855" s="366"/>
      <c r="J855" s="366"/>
      <c r="K855" s="366"/>
      <c r="L855" s="366"/>
      <c r="M855" s="363"/>
      <c r="N855" s="363"/>
      <c r="O855" s="366"/>
      <c r="P855" s="366"/>
      <c r="Q855" s="366"/>
      <c r="R855" s="366"/>
      <c r="S855" s="366"/>
      <c r="T855" s="366"/>
      <c r="U855" s="366"/>
      <c r="V855" s="366"/>
      <c r="W855" s="366"/>
      <c r="X855" s="366"/>
      <c r="Y855" s="366"/>
      <c r="Z855" s="366"/>
      <c r="AA855" s="366"/>
      <c r="AB855" s="363"/>
      <c r="AC855" s="366"/>
      <c r="AD855" s="363"/>
      <c r="AE855" s="366"/>
      <c r="AF855" s="366"/>
      <c r="AG855" s="366"/>
      <c r="AH855" s="363"/>
      <c r="AI855" s="363">
        <v>40</v>
      </c>
      <c r="AJ855" s="366"/>
      <c r="AK855" s="376">
        <f t="shared" si="133"/>
        <v>40</v>
      </c>
      <c r="AL855" s="377">
        <f>AK855</f>
        <v>40</v>
      </c>
      <c r="AM855" s="378"/>
      <c r="AN855" s="633">
        <f>SUM(AL855:AM856)</f>
        <v>40</v>
      </c>
    </row>
    <row r="856" spans="3:40" ht="12.75" x14ac:dyDescent="0.2">
      <c r="C856" s="580"/>
      <c r="D856" s="577"/>
      <c r="E856" s="364" t="s">
        <v>19</v>
      </c>
      <c r="F856" s="369"/>
      <c r="G856" s="369"/>
      <c r="H856" s="369"/>
      <c r="I856" s="369"/>
      <c r="J856" s="369"/>
      <c r="K856" s="369"/>
      <c r="L856" s="369"/>
      <c r="M856" s="369"/>
      <c r="N856" s="369"/>
      <c r="O856" s="369"/>
      <c r="P856" s="369"/>
      <c r="Q856" s="369"/>
      <c r="R856" s="369"/>
      <c r="S856" s="369"/>
      <c r="T856" s="369"/>
      <c r="U856" s="369"/>
      <c r="V856" s="369"/>
      <c r="W856" s="369"/>
      <c r="X856" s="369"/>
      <c r="Y856" s="369"/>
      <c r="Z856" s="369"/>
      <c r="AA856" s="369"/>
      <c r="AB856" s="364"/>
      <c r="AC856" s="369"/>
      <c r="AD856" s="369"/>
      <c r="AE856" s="369"/>
      <c r="AF856" s="369"/>
      <c r="AG856" s="369"/>
      <c r="AH856" s="369"/>
      <c r="AI856" s="369"/>
      <c r="AJ856" s="369"/>
      <c r="AK856" s="379">
        <f t="shared" si="133"/>
        <v>0</v>
      </c>
      <c r="AL856" s="380"/>
      <c r="AM856" s="381">
        <f>AK856</f>
        <v>0</v>
      </c>
      <c r="AN856" s="583"/>
    </row>
    <row r="857" spans="3:40" ht="12.75" x14ac:dyDescent="0.2">
      <c r="C857" s="580"/>
      <c r="D857" s="645" t="s">
        <v>31</v>
      </c>
      <c r="E857" s="363" t="s">
        <v>18</v>
      </c>
      <c r="F857" s="366"/>
      <c r="G857" s="366"/>
      <c r="H857" s="366"/>
      <c r="I857" s="366"/>
      <c r="J857" s="366"/>
      <c r="K857" s="366"/>
      <c r="L857" s="363">
        <v>30</v>
      </c>
      <c r="M857" s="366"/>
      <c r="N857" s="366"/>
      <c r="O857" s="366"/>
      <c r="P857" s="366"/>
      <c r="Q857" s="366"/>
      <c r="R857" s="366"/>
      <c r="S857" s="366"/>
      <c r="T857" s="366"/>
      <c r="U857" s="366"/>
      <c r="V857" s="366"/>
      <c r="W857" s="366"/>
      <c r="X857" s="366"/>
      <c r="Y857" s="366"/>
      <c r="Z857" s="366"/>
      <c r="AA857" s="366"/>
      <c r="AB857" s="366"/>
      <c r="AC857" s="366"/>
      <c r="AD857" s="366"/>
      <c r="AE857" s="366"/>
      <c r="AF857" s="366"/>
      <c r="AG857" s="366"/>
      <c r="AH857" s="366"/>
      <c r="AI857" s="366"/>
      <c r="AJ857" s="366"/>
      <c r="AK857" s="376">
        <f t="shared" si="133"/>
        <v>30</v>
      </c>
      <c r="AL857" s="377">
        <f>AK857</f>
        <v>30</v>
      </c>
      <c r="AM857" s="378"/>
      <c r="AN857" s="633">
        <f>SUM(AL857:AM858)</f>
        <v>30</v>
      </c>
    </row>
    <row r="858" spans="3:40" ht="12.75" x14ac:dyDescent="0.2">
      <c r="C858" s="581"/>
      <c r="D858" s="585"/>
      <c r="E858" s="382" t="s">
        <v>19</v>
      </c>
      <c r="F858" s="381"/>
      <c r="G858" s="381"/>
      <c r="H858" s="381"/>
      <c r="I858" s="381"/>
      <c r="J858" s="381"/>
      <c r="K858" s="382"/>
      <c r="L858" s="381"/>
      <c r="M858" s="382"/>
      <c r="N858" s="382"/>
      <c r="O858" s="382"/>
      <c r="P858" s="381"/>
      <c r="Q858" s="381"/>
      <c r="R858" s="381"/>
      <c r="S858" s="381"/>
      <c r="T858" s="381"/>
      <c r="U858" s="381"/>
      <c r="V858" s="381"/>
      <c r="W858" s="381"/>
      <c r="X858" s="382"/>
      <c r="Y858" s="381"/>
      <c r="Z858" s="382"/>
      <c r="AA858" s="382"/>
      <c r="AB858" s="381"/>
      <c r="AC858" s="381"/>
      <c r="AD858" s="381"/>
      <c r="AE858" s="381"/>
      <c r="AF858" s="381"/>
      <c r="AG858" s="381"/>
      <c r="AH858" s="381"/>
      <c r="AI858" s="381"/>
      <c r="AJ858" s="381"/>
      <c r="AK858" s="383">
        <f t="shared" si="133"/>
        <v>0</v>
      </c>
      <c r="AL858" s="380"/>
      <c r="AM858" s="381">
        <f>AK858</f>
        <v>0</v>
      </c>
      <c r="AN858" s="583"/>
    </row>
    <row r="859" spans="3:40" ht="12.75" x14ac:dyDescent="0.2">
      <c r="C859" s="362" t="s">
        <v>32</v>
      </c>
      <c r="D859" s="384"/>
      <c r="E859" s="369"/>
      <c r="F859" s="369"/>
      <c r="G859" s="369"/>
      <c r="H859" s="369"/>
      <c r="I859" s="369"/>
      <c r="J859" s="369"/>
      <c r="K859" s="369"/>
      <c r="L859" s="369"/>
      <c r="M859" s="369"/>
      <c r="N859" s="369"/>
      <c r="O859" s="369"/>
      <c r="P859" s="369"/>
      <c r="Q859" s="369"/>
      <c r="R859" s="369"/>
      <c r="S859" s="369"/>
      <c r="T859" s="369"/>
      <c r="U859" s="369"/>
      <c r="V859" s="369"/>
      <c r="W859" s="369"/>
      <c r="X859" s="369"/>
      <c r="Y859" s="369"/>
      <c r="Z859" s="369"/>
      <c r="AA859" s="369"/>
      <c r="AB859" s="369"/>
      <c r="AC859" s="369"/>
      <c r="AD859" s="369"/>
      <c r="AE859" s="369"/>
      <c r="AF859" s="369"/>
      <c r="AG859" s="369"/>
      <c r="AH859" s="369"/>
      <c r="AI859" s="369"/>
      <c r="AJ859" s="369"/>
      <c r="AK859" s="385">
        <f t="shared" ref="AK859:AM859" si="136">SUM(AK849:AK858)</f>
        <v>2249.6</v>
      </c>
      <c r="AL859" s="366">
        <f t="shared" si="136"/>
        <v>2189.6</v>
      </c>
      <c r="AM859" s="369">
        <f t="shared" si="136"/>
        <v>60</v>
      </c>
      <c r="AN859" s="374"/>
    </row>
    <row r="860" spans="3:40" ht="12.75" x14ac:dyDescent="0.2">
      <c r="C860" s="629" t="s">
        <v>33</v>
      </c>
      <c r="D860" s="386" t="s">
        <v>34</v>
      </c>
      <c r="E860" s="387" t="s">
        <v>19</v>
      </c>
      <c r="F860" s="388"/>
      <c r="G860" s="388"/>
      <c r="H860" s="388"/>
      <c r="I860" s="388"/>
      <c r="J860" s="387"/>
      <c r="K860" s="387"/>
      <c r="L860" s="387">
        <v>60</v>
      </c>
      <c r="M860" s="388"/>
      <c r="N860" s="388"/>
      <c r="O860" s="388"/>
      <c r="P860" s="388"/>
      <c r="Q860" s="388"/>
      <c r="R860" s="388"/>
      <c r="S860" s="388"/>
      <c r="T860" s="388"/>
      <c r="U860" s="388"/>
      <c r="V860" s="388"/>
      <c r="W860" s="388"/>
      <c r="X860" s="388"/>
      <c r="Y860" s="388"/>
      <c r="Z860" s="388"/>
      <c r="AA860" s="388"/>
      <c r="AB860" s="388"/>
      <c r="AC860" s="388"/>
      <c r="AD860" s="388"/>
      <c r="AE860" s="388"/>
      <c r="AF860" s="388"/>
      <c r="AG860" s="388"/>
      <c r="AH860" s="388"/>
      <c r="AI860" s="388"/>
      <c r="AJ860" s="388"/>
      <c r="AK860" s="389">
        <f t="shared" ref="AK860:AK861" si="137">SUM(F860:AJ860)</f>
        <v>60</v>
      </c>
      <c r="AL860" s="390"/>
      <c r="AM860" s="388">
        <f>AK860</f>
        <v>60</v>
      </c>
      <c r="AN860" s="391">
        <f>AM860</f>
        <v>60</v>
      </c>
    </row>
    <row r="861" spans="3:40" ht="12.75" x14ac:dyDescent="0.2">
      <c r="C861" s="580"/>
      <c r="D861" s="392" t="s">
        <v>35</v>
      </c>
      <c r="E861" s="393" t="s">
        <v>18</v>
      </c>
      <c r="F861" s="393">
        <v>13</v>
      </c>
      <c r="G861" s="394"/>
      <c r="H861" s="394"/>
      <c r="I861" s="393"/>
      <c r="J861" s="393"/>
      <c r="K861" s="394"/>
      <c r="L861" s="394"/>
      <c r="M861" s="394"/>
      <c r="N861" s="394"/>
      <c r="O861" s="393">
        <v>10</v>
      </c>
      <c r="P861" s="394"/>
      <c r="Q861" s="394"/>
      <c r="R861" s="394"/>
      <c r="S861" s="394"/>
      <c r="T861" s="394"/>
      <c r="U861" s="394"/>
      <c r="V861" s="394"/>
      <c r="W861" s="394"/>
      <c r="X861" s="394"/>
      <c r="Y861" s="393"/>
      <c r="Z861" s="394"/>
      <c r="AA861" s="394"/>
      <c r="AB861" s="394"/>
      <c r="AC861" s="394"/>
      <c r="AD861" s="394"/>
      <c r="AE861" s="394"/>
      <c r="AF861" s="394"/>
      <c r="AG861" s="394"/>
      <c r="AH861" s="394"/>
      <c r="AI861" s="394"/>
      <c r="AJ861" s="394"/>
      <c r="AK861" s="395">
        <f t="shared" si="137"/>
        <v>23</v>
      </c>
      <c r="AL861" s="394">
        <f>AK861</f>
        <v>23</v>
      </c>
      <c r="AM861" s="396"/>
      <c r="AN861" s="397">
        <f>AL861</f>
        <v>23</v>
      </c>
    </row>
    <row r="862" spans="3:40" ht="12.75" x14ac:dyDescent="0.2">
      <c r="C862" s="580"/>
      <c r="D862" s="651" t="s">
        <v>36</v>
      </c>
      <c r="E862" s="393" t="s">
        <v>18</v>
      </c>
      <c r="F862" s="394"/>
      <c r="G862" s="394"/>
      <c r="H862" s="394"/>
      <c r="I862" s="394"/>
      <c r="J862" s="393"/>
      <c r="K862" s="394"/>
      <c r="L862" s="393">
        <v>55</v>
      </c>
      <c r="M862" s="394"/>
      <c r="N862" s="394"/>
      <c r="O862" s="394"/>
      <c r="P862" s="394"/>
      <c r="Q862" s="394"/>
      <c r="R862" s="394"/>
      <c r="S862" s="394"/>
      <c r="T862" s="394"/>
      <c r="U862" s="394"/>
      <c r="V862" s="394"/>
      <c r="W862" s="394"/>
      <c r="X862" s="394"/>
      <c r="Y862" s="394"/>
      <c r="Z862" s="394"/>
      <c r="AA862" s="394"/>
      <c r="AB862" s="394"/>
      <c r="AC862" s="394"/>
      <c r="AD862" s="394"/>
      <c r="AE862" s="394"/>
      <c r="AF862" s="394"/>
      <c r="AG862" s="394"/>
      <c r="AH862" s="394"/>
      <c r="AI862" s="394"/>
      <c r="AJ862" s="394"/>
      <c r="AK862" s="395"/>
      <c r="AL862" s="394">
        <f>SUM(F862:AJ862)</f>
        <v>55</v>
      </c>
      <c r="AM862" s="396"/>
      <c r="AN862" s="636">
        <f>SUM(AL862:AM863)</f>
        <v>55</v>
      </c>
    </row>
    <row r="863" spans="3:40" ht="12.75" x14ac:dyDescent="0.2">
      <c r="C863" s="580"/>
      <c r="D863" s="650"/>
      <c r="E863" s="398" t="s">
        <v>19</v>
      </c>
      <c r="F863" s="399"/>
      <c r="G863" s="399"/>
      <c r="H863" s="399"/>
      <c r="I863" s="399"/>
      <c r="J863" s="398"/>
      <c r="K863" s="399"/>
      <c r="L863" s="398"/>
      <c r="M863" s="399"/>
      <c r="N863" s="399"/>
      <c r="O863" s="399"/>
      <c r="P863" s="399"/>
      <c r="Q863" s="399"/>
      <c r="R863" s="399"/>
      <c r="S863" s="399"/>
      <c r="T863" s="399"/>
      <c r="U863" s="399"/>
      <c r="V863" s="399"/>
      <c r="W863" s="399"/>
      <c r="X863" s="399"/>
      <c r="Y863" s="399"/>
      <c r="Z863" s="399"/>
      <c r="AA863" s="399"/>
      <c r="AB863" s="399"/>
      <c r="AC863" s="399"/>
      <c r="AD863" s="399"/>
      <c r="AE863" s="399"/>
      <c r="AF863" s="399"/>
      <c r="AG863" s="399"/>
      <c r="AH863" s="399"/>
      <c r="AI863" s="399"/>
      <c r="AJ863" s="399"/>
      <c r="AK863" s="400">
        <f t="shared" ref="AK863:AK910" si="138">SUM(F863:AJ863)</f>
        <v>0</v>
      </c>
      <c r="AL863" s="401"/>
      <c r="AM863" s="399">
        <f>AK863</f>
        <v>0</v>
      </c>
      <c r="AN863" s="590"/>
    </row>
    <row r="864" spans="3:40" ht="12.75" x14ac:dyDescent="0.2">
      <c r="C864" s="580"/>
      <c r="D864" s="643" t="s">
        <v>37</v>
      </c>
      <c r="E864" s="393" t="s">
        <v>18</v>
      </c>
      <c r="F864" s="393"/>
      <c r="G864" s="393"/>
      <c r="H864" s="394"/>
      <c r="I864" s="393"/>
      <c r="J864" s="394"/>
      <c r="K864" s="394"/>
      <c r="L864" s="394"/>
      <c r="M864" s="394"/>
      <c r="N864" s="393">
        <v>5</v>
      </c>
      <c r="O864" s="393"/>
      <c r="P864" s="394"/>
      <c r="Q864" s="393"/>
      <c r="R864" s="393"/>
      <c r="S864" s="393"/>
      <c r="T864" s="393"/>
      <c r="U864" s="394"/>
      <c r="V864" s="393"/>
      <c r="W864" s="393"/>
      <c r="X864" s="393"/>
      <c r="Y864" s="393">
        <f>14.2+12</f>
        <v>26.2</v>
      </c>
      <c r="Z864" s="393"/>
      <c r="AA864" s="394"/>
      <c r="AB864" s="394"/>
      <c r="AC864" s="394"/>
      <c r="AD864" s="393"/>
      <c r="AE864" s="394"/>
      <c r="AF864" s="393"/>
      <c r="AG864" s="394"/>
      <c r="AH864" s="393">
        <v>16.600000000000001</v>
      </c>
      <c r="AI864" s="393">
        <v>11.44</v>
      </c>
      <c r="AJ864" s="394"/>
      <c r="AK864" s="395">
        <f t="shared" si="138"/>
        <v>59.239999999999995</v>
      </c>
      <c r="AL864" s="403">
        <f>AK864</f>
        <v>59.239999999999995</v>
      </c>
      <c r="AM864" s="396"/>
      <c r="AN864" s="634">
        <f>SUM(AL864:AM865)</f>
        <v>59.239999999999995</v>
      </c>
    </row>
    <row r="865" spans="3:40" ht="12.75" x14ac:dyDescent="0.2">
      <c r="C865" s="580"/>
      <c r="D865" s="577"/>
      <c r="E865" s="404" t="s">
        <v>19</v>
      </c>
      <c r="F865" s="396"/>
      <c r="G865" s="396"/>
      <c r="H865" s="404"/>
      <c r="I865" s="396"/>
      <c r="J865" s="396"/>
      <c r="K865" s="396"/>
      <c r="L865" s="404"/>
      <c r="M865" s="396"/>
      <c r="N865" s="404"/>
      <c r="O865" s="396"/>
      <c r="P865" s="396"/>
      <c r="Q865" s="396"/>
      <c r="R865" s="396"/>
      <c r="S865" s="396"/>
      <c r="T865" s="404"/>
      <c r="U865" s="404"/>
      <c r="V865" s="404"/>
      <c r="W865" s="404"/>
      <c r="X865" s="404"/>
      <c r="Y865" s="396"/>
      <c r="Z865" s="396"/>
      <c r="AA865" s="404"/>
      <c r="AB865" s="404"/>
      <c r="AC865" s="404"/>
      <c r="AD865" s="404"/>
      <c r="AE865" s="404"/>
      <c r="AF865" s="396"/>
      <c r="AG865" s="396"/>
      <c r="AH865" s="396"/>
      <c r="AI865" s="396"/>
      <c r="AJ865" s="396"/>
      <c r="AK865" s="405">
        <f t="shared" si="138"/>
        <v>0</v>
      </c>
      <c r="AL865" s="406"/>
      <c r="AM865" s="407">
        <f>AK865</f>
        <v>0</v>
      </c>
      <c r="AN865" s="583"/>
    </row>
    <row r="866" spans="3:40" ht="12.75" x14ac:dyDescent="0.2">
      <c r="C866" s="580"/>
      <c r="D866" s="402" t="s">
        <v>38</v>
      </c>
      <c r="E866" s="393" t="s">
        <v>18</v>
      </c>
      <c r="F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394"/>
      <c r="R866" s="394"/>
      <c r="S866" s="394"/>
      <c r="T866" s="394"/>
      <c r="U866" s="394"/>
      <c r="V866" s="394"/>
      <c r="W866" s="394"/>
      <c r="X866" s="394"/>
      <c r="Y866" s="394"/>
      <c r="Z866" s="393"/>
      <c r="AA866" s="393"/>
      <c r="AB866" s="393"/>
      <c r="AC866" s="393"/>
      <c r="AD866" s="394"/>
      <c r="AE866" s="394"/>
      <c r="AF866" s="394"/>
      <c r="AG866" s="394"/>
      <c r="AH866" s="394"/>
      <c r="AI866" s="394"/>
      <c r="AJ866" s="394"/>
      <c r="AK866" s="395">
        <f t="shared" si="138"/>
        <v>0</v>
      </c>
      <c r="AL866" s="394">
        <f t="shared" ref="AL866:AL868" si="139">AK866</f>
        <v>0</v>
      </c>
      <c r="AM866" s="396"/>
      <c r="AN866" s="374">
        <f t="shared" ref="AN866:AN867" si="140">AL866</f>
        <v>0</v>
      </c>
    </row>
    <row r="867" spans="3:40" ht="12.75" x14ac:dyDescent="0.2">
      <c r="C867" s="580"/>
      <c r="D867" s="402" t="s">
        <v>39</v>
      </c>
      <c r="E867" s="393" t="s">
        <v>18</v>
      </c>
      <c r="F867" s="394"/>
      <c r="G867" s="394"/>
      <c r="H867" s="394"/>
      <c r="I867" s="394"/>
      <c r="J867" s="394"/>
      <c r="K867" s="394"/>
      <c r="L867" s="394"/>
      <c r="M867" s="393"/>
      <c r="N867" s="394"/>
      <c r="O867" s="394"/>
      <c r="P867" s="394"/>
      <c r="Q867" s="394"/>
      <c r="R867" s="394"/>
      <c r="S867" s="394"/>
      <c r="T867" s="394"/>
      <c r="U867" s="394"/>
      <c r="V867" s="394"/>
      <c r="W867" s="394"/>
      <c r="X867" s="394"/>
      <c r="Y867" s="394"/>
      <c r="Z867" s="394"/>
      <c r="AA867" s="394"/>
      <c r="AB867" s="394"/>
      <c r="AC867" s="394"/>
      <c r="AD867" s="394"/>
      <c r="AE867" s="394"/>
      <c r="AF867" s="394"/>
      <c r="AG867" s="394"/>
      <c r="AH867" s="394"/>
      <c r="AI867" s="394"/>
      <c r="AJ867" s="394"/>
      <c r="AK867" s="395">
        <f t="shared" si="138"/>
        <v>0</v>
      </c>
      <c r="AL867" s="394">
        <f t="shared" si="139"/>
        <v>0</v>
      </c>
      <c r="AM867" s="396"/>
      <c r="AN867" s="374">
        <f t="shared" si="140"/>
        <v>0</v>
      </c>
    </row>
    <row r="868" spans="3:40" ht="12.75" x14ac:dyDescent="0.2">
      <c r="C868" s="580"/>
      <c r="D868" s="643" t="s">
        <v>40</v>
      </c>
      <c r="E868" s="393" t="s">
        <v>18</v>
      </c>
      <c r="F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394"/>
      <c r="R868" s="394"/>
      <c r="S868" s="394"/>
      <c r="T868" s="394"/>
      <c r="U868" s="394"/>
      <c r="V868" s="394"/>
      <c r="W868" s="394"/>
      <c r="X868" s="394"/>
      <c r="Y868" s="394"/>
      <c r="Z868" s="394"/>
      <c r="AA868" s="394"/>
      <c r="AB868" s="394"/>
      <c r="AC868" s="394"/>
      <c r="AD868" s="394"/>
      <c r="AE868" s="394"/>
      <c r="AF868" s="394"/>
      <c r="AG868" s="394"/>
      <c r="AH868" s="394"/>
      <c r="AI868" s="394"/>
      <c r="AJ868" s="394"/>
      <c r="AK868" s="395">
        <f t="shared" si="138"/>
        <v>0</v>
      </c>
      <c r="AL868" s="408">
        <f t="shared" si="139"/>
        <v>0</v>
      </c>
      <c r="AM868" s="409"/>
      <c r="AN868" s="633">
        <f>SUM(AL868:AM869)</f>
        <v>0</v>
      </c>
    </row>
    <row r="869" spans="3:40" ht="12.75" x14ac:dyDescent="0.2">
      <c r="C869" s="580"/>
      <c r="D869" s="577"/>
      <c r="E869" s="404" t="s">
        <v>19</v>
      </c>
      <c r="F869" s="396"/>
      <c r="G869" s="396"/>
      <c r="H869" s="396"/>
      <c r="I869" s="396"/>
      <c r="J869" s="396"/>
      <c r="K869" s="396"/>
      <c r="L869" s="396"/>
      <c r="M869" s="396"/>
      <c r="N869" s="396"/>
      <c r="O869" s="396"/>
      <c r="P869" s="396"/>
      <c r="Q869" s="396"/>
      <c r="R869" s="396"/>
      <c r="S869" s="396"/>
      <c r="T869" s="396"/>
      <c r="U869" s="396"/>
      <c r="V869" s="396"/>
      <c r="W869" s="396"/>
      <c r="X869" s="396"/>
      <c r="Y869" s="396"/>
      <c r="Z869" s="396"/>
      <c r="AA869" s="396"/>
      <c r="AB869" s="396"/>
      <c r="AC869" s="396"/>
      <c r="AD869" s="396"/>
      <c r="AE869" s="396"/>
      <c r="AF869" s="396"/>
      <c r="AG869" s="396"/>
      <c r="AH869" s="396"/>
      <c r="AI869" s="396"/>
      <c r="AJ869" s="396"/>
      <c r="AK869" s="405">
        <f t="shared" si="138"/>
        <v>0</v>
      </c>
      <c r="AL869" s="406"/>
      <c r="AM869" s="407">
        <f>AK869</f>
        <v>0</v>
      </c>
      <c r="AN869" s="583"/>
    </row>
    <row r="870" spans="3:40" ht="12.75" x14ac:dyDescent="0.2">
      <c r="C870" s="580"/>
      <c r="D870" s="643" t="s">
        <v>41</v>
      </c>
      <c r="E870" s="393" t="s">
        <v>18</v>
      </c>
      <c r="F870" s="393"/>
      <c r="G870" s="393"/>
      <c r="H870" s="394"/>
      <c r="I870" s="393"/>
      <c r="J870" s="394"/>
      <c r="K870" s="394"/>
      <c r="L870" s="393"/>
      <c r="M870" s="394"/>
      <c r="N870" s="394"/>
      <c r="O870" s="394"/>
      <c r="P870" s="394"/>
      <c r="Q870" s="394"/>
      <c r="R870" s="394"/>
      <c r="S870" s="393"/>
      <c r="T870" s="394"/>
      <c r="U870" s="394"/>
      <c r="V870" s="394"/>
      <c r="W870" s="394"/>
      <c r="X870" s="394"/>
      <c r="Y870" s="394"/>
      <c r="Z870" s="394"/>
      <c r="AA870" s="393"/>
      <c r="AB870" s="394"/>
      <c r="AC870" s="394"/>
      <c r="AD870" s="394"/>
      <c r="AE870" s="394"/>
      <c r="AF870" s="394"/>
      <c r="AG870" s="394"/>
      <c r="AH870" s="394"/>
      <c r="AI870" s="394"/>
      <c r="AJ870" s="394"/>
      <c r="AK870" s="395">
        <f t="shared" si="138"/>
        <v>0</v>
      </c>
      <c r="AL870" s="408">
        <f>AK870</f>
        <v>0</v>
      </c>
      <c r="AM870" s="409"/>
      <c r="AN870" s="633">
        <f>SUM(AL870:AM871)</f>
        <v>0</v>
      </c>
    </row>
    <row r="871" spans="3:40" ht="12.75" x14ac:dyDescent="0.2">
      <c r="C871" s="580"/>
      <c r="D871" s="577"/>
      <c r="E871" s="404" t="s">
        <v>19</v>
      </c>
      <c r="F871" s="396"/>
      <c r="G871" s="396"/>
      <c r="H871" s="396"/>
      <c r="I871" s="396"/>
      <c r="J871" s="404"/>
      <c r="K871" s="396"/>
      <c r="L871" s="404"/>
      <c r="M871" s="404"/>
      <c r="N871" s="396"/>
      <c r="O871" s="396"/>
      <c r="P871" s="396"/>
      <c r="Q871" s="404"/>
      <c r="R871" s="404"/>
      <c r="S871" s="404"/>
      <c r="T871" s="396"/>
      <c r="U871" s="404"/>
      <c r="V871" s="396"/>
      <c r="W871" s="396"/>
      <c r="X871" s="396"/>
      <c r="Y871" s="396"/>
      <c r="Z871" s="396"/>
      <c r="AA871" s="396"/>
      <c r="AB871" s="396"/>
      <c r="AC871" s="396"/>
      <c r="AD871" s="396"/>
      <c r="AE871" s="404"/>
      <c r="AF871" s="396"/>
      <c r="AG871" s="396"/>
      <c r="AH871" s="396"/>
      <c r="AI871" s="396"/>
      <c r="AJ871" s="396"/>
      <c r="AK871" s="405">
        <f t="shared" si="138"/>
        <v>0</v>
      </c>
      <c r="AL871" s="406"/>
      <c r="AM871" s="407">
        <f>AK871</f>
        <v>0</v>
      </c>
      <c r="AN871" s="583"/>
    </row>
    <row r="872" spans="3:40" ht="12.75" x14ac:dyDescent="0.2">
      <c r="C872" s="580"/>
      <c r="D872" s="402" t="s">
        <v>42</v>
      </c>
      <c r="E872" s="393" t="s">
        <v>18</v>
      </c>
      <c r="F872" s="394"/>
      <c r="G872" s="394"/>
      <c r="H872" s="394"/>
      <c r="I872" s="393"/>
      <c r="J872" s="393"/>
      <c r="K872" s="393"/>
      <c r="L872" s="393"/>
      <c r="M872" s="393"/>
      <c r="N872" s="394"/>
      <c r="O872" s="393"/>
      <c r="P872" s="394"/>
      <c r="Q872" s="393"/>
      <c r="R872" s="393"/>
      <c r="S872" s="394"/>
      <c r="T872" s="394"/>
      <c r="U872" s="394"/>
      <c r="V872" s="394"/>
      <c r="W872" s="394"/>
      <c r="X872" s="394"/>
      <c r="Y872" s="394"/>
      <c r="Z872" s="394"/>
      <c r="AA872" s="394"/>
      <c r="AB872" s="394"/>
      <c r="AC872" s="394"/>
      <c r="AD872" s="394"/>
      <c r="AE872" s="394"/>
      <c r="AF872" s="394"/>
      <c r="AG872" s="394"/>
      <c r="AH872" s="394"/>
      <c r="AI872" s="393"/>
      <c r="AJ872" s="394"/>
      <c r="AK872" s="395">
        <f t="shared" si="138"/>
        <v>0</v>
      </c>
      <c r="AL872" s="394">
        <f>AK872</f>
        <v>0</v>
      </c>
      <c r="AM872" s="396"/>
      <c r="AN872" s="374">
        <f>AL872</f>
        <v>0</v>
      </c>
    </row>
    <row r="873" spans="3:40" ht="12.75" x14ac:dyDescent="0.2">
      <c r="C873" s="580"/>
      <c r="D873" s="402" t="s">
        <v>43</v>
      </c>
      <c r="E873" s="404" t="s">
        <v>19</v>
      </c>
      <c r="F873" s="396"/>
      <c r="G873" s="396"/>
      <c r="H873" s="396"/>
      <c r="I873" s="396"/>
      <c r="J873" s="396"/>
      <c r="K873" s="396"/>
      <c r="L873" s="396"/>
      <c r="M873" s="396"/>
      <c r="N873" s="396"/>
      <c r="O873" s="396"/>
      <c r="P873" s="396"/>
      <c r="Q873" s="396"/>
      <c r="R873" s="396"/>
      <c r="S873" s="396"/>
      <c r="T873" s="396"/>
      <c r="U873" s="396"/>
      <c r="V873" s="396"/>
      <c r="W873" s="396"/>
      <c r="X873" s="396"/>
      <c r="Y873" s="396"/>
      <c r="Z873" s="396"/>
      <c r="AA873" s="396"/>
      <c r="AB873" s="396"/>
      <c r="AC873" s="396"/>
      <c r="AD873" s="396"/>
      <c r="AE873" s="396"/>
      <c r="AF873" s="396"/>
      <c r="AG873" s="396"/>
      <c r="AH873" s="396"/>
      <c r="AI873" s="396"/>
      <c r="AJ873" s="396"/>
      <c r="AK873" s="405">
        <f t="shared" si="138"/>
        <v>0</v>
      </c>
      <c r="AL873" s="394"/>
      <c r="AM873" s="396">
        <f>AK873</f>
        <v>0</v>
      </c>
      <c r="AN873" s="374">
        <f>AM873</f>
        <v>0</v>
      </c>
    </row>
    <row r="874" spans="3:40" ht="12.75" x14ac:dyDescent="0.2">
      <c r="C874" s="580"/>
      <c r="D874" s="643" t="s">
        <v>44</v>
      </c>
      <c r="E874" s="393" t="s">
        <v>18</v>
      </c>
      <c r="F874" s="393"/>
      <c r="G874" s="394"/>
      <c r="H874" s="394"/>
      <c r="I874" s="394"/>
      <c r="J874" s="394"/>
      <c r="K874" s="394"/>
      <c r="L874" s="394"/>
      <c r="M874" s="393"/>
      <c r="N874" s="394"/>
      <c r="O874" s="394"/>
      <c r="P874" s="394"/>
      <c r="Q874" s="394"/>
      <c r="R874" s="394"/>
      <c r="S874" s="394"/>
      <c r="T874" s="393"/>
      <c r="U874" s="394"/>
      <c r="V874" s="394"/>
      <c r="W874" s="394"/>
      <c r="X874" s="394"/>
      <c r="Y874" s="394"/>
      <c r="Z874" s="394"/>
      <c r="AA874" s="394"/>
      <c r="AB874" s="394"/>
      <c r="AC874" s="394"/>
      <c r="AD874" s="393"/>
      <c r="AE874" s="394"/>
      <c r="AF874" s="394"/>
      <c r="AG874" s="394"/>
      <c r="AH874" s="394"/>
      <c r="AI874" s="394"/>
      <c r="AJ874" s="394"/>
      <c r="AK874" s="395">
        <f t="shared" si="138"/>
        <v>0</v>
      </c>
      <c r="AL874" s="408">
        <f>AK874</f>
        <v>0</v>
      </c>
      <c r="AM874" s="409"/>
      <c r="AN874" s="633">
        <f>SUM(AL874:AM875)</f>
        <v>0</v>
      </c>
    </row>
    <row r="875" spans="3:40" ht="12.75" x14ac:dyDescent="0.2">
      <c r="C875" s="581"/>
      <c r="D875" s="585"/>
      <c r="E875" s="404" t="s">
        <v>19</v>
      </c>
      <c r="F875" s="407"/>
      <c r="G875" s="407"/>
      <c r="H875" s="407"/>
      <c r="I875" s="407"/>
      <c r="J875" s="407"/>
      <c r="K875" s="407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10"/>
      <c r="AA875" s="407"/>
      <c r="AB875" s="407"/>
      <c r="AC875" s="407"/>
      <c r="AD875" s="407"/>
      <c r="AE875" s="407"/>
      <c r="AF875" s="407"/>
      <c r="AG875" s="407"/>
      <c r="AH875" s="407"/>
      <c r="AI875" s="407"/>
      <c r="AJ875" s="407"/>
      <c r="AK875" s="405">
        <f t="shared" si="138"/>
        <v>0</v>
      </c>
      <c r="AL875" s="406"/>
      <c r="AM875" s="407">
        <f>AK875</f>
        <v>0</v>
      </c>
      <c r="AN875" s="583"/>
    </row>
    <row r="876" spans="3:40" ht="12.75" x14ac:dyDescent="0.2">
      <c r="C876" s="629" t="s">
        <v>45</v>
      </c>
      <c r="D876" s="652" t="s">
        <v>46</v>
      </c>
      <c r="E876" s="411" t="s">
        <v>18</v>
      </c>
      <c r="F876" s="411"/>
      <c r="G876" s="411">
        <f>1.5+2.4+4.57+6.83+1.68</f>
        <v>16.98</v>
      </c>
      <c r="H876" s="412"/>
      <c r="I876" s="411">
        <f>36.97+4.49+4.29+1.59+4.71</f>
        <v>52.050000000000004</v>
      </c>
      <c r="J876" s="411"/>
      <c r="K876" s="411">
        <f>(1.37*2)+3.16</f>
        <v>5.9</v>
      </c>
      <c r="L876" s="411">
        <f>7.29+5.29+1.49</f>
        <v>14.07</v>
      </c>
      <c r="M876" s="411">
        <f>0.84+0.39</f>
        <v>1.23</v>
      </c>
      <c r="N876" s="411"/>
      <c r="O876" s="411"/>
      <c r="P876" s="411"/>
      <c r="Q876" s="411">
        <f>1.27+3.49+11.34</f>
        <v>16.100000000000001</v>
      </c>
      <c r="R876" s="411"/>
      <c r="S876" s="411">
        <v>3.66</v>
      </c>
      <c r="T876" s="411">
        <f>2.16</f>
        <v>2.16</v>
      </c>
      <c r="U876" s="411"/>
      <c r="V876" s="411">
        <f>1.79+3.08+1.49+1.99</f>
        <v>8.35</v>
      </c>
      <c r="W876" s="411">
        <v>11.52</v>
      </c>
      <c r="X876" s="411"/>
      <c r="Y876" s="412"/>
      <c r="Z876" s="412">
        <f>33.99+1.73+3.59+3.51+3.79+1.17</f>
        <v>47.78</v>
      </c>
      <c r="AA876" s="411">
        <f>21.89+4.31</f>
        <v>26.2</v>
      </c>
      <c r="AB876" s="411"/>
      <c r="AC876" s="411">
        <f>6.59+3.09+4.34+9.99</f>
        <v>24.009999999999998</v>
      </c>
      <c r="AD876" s="411"/>
      <c r="AE876" s="411">
        <v>3.37</v>
      </c>
      <c r="AF876" s="411"/>
      <c r="AG876" s="412"/>
      <c r="AH876" s="412"/>
      <c r="AI876" s="412"/>
      <c r="AJ876" s="411">
        <f>39+1.49</f>
        <v>40.49</v>
      </c>
      <c r="AK876" s="395">
        <f t="shared" si="138"/>
        <v>273.87</v>
      </c>
      <c r="AL876" s="408">
        <f>AK876</f>
        <v>273.87</v>
      </c>
      <c r="AM876" s="409"/>
      <c r="AN876" s="633">
        <f>SUM(AL876:AM877)</f>
        <v>273.87</v>
      </c>
    </row>
    <row r="877" spans="3:40" ht="12.75" x14ac:dyDescent="0.2">
      <c r="C877" s="580"/>
      <c r="D877" s="577"/>
      <c r="E877" s="404" t="s">
        <v>19</v>
      </c>
      <c r="F877" s="404"/>
      <c r="G877" s="404"/>
      <c r="H877" s="404"/>
      <c r="I877" s="396"/>
      <c r="J877" s="396"/>
      <c r="K877" s="396"/>
      <c r="L877" s="404"/>
      <c r="M877" s="396"/>
      <c r="N877" s="396"/>
      <c r="O877" s="396"/>
      <c r="P877" s="396"/>
      <c r="Q877" s="396"/>
      <c r="R877" s="396"/>
      <c r="S877" s="404"/>
      <c r="T877" s="404"/>
      <c r="U877" s="396"/>
      <c r="V877" s="404"/>
      <c r="W877" s="396"/>
      <c r="X877" s="404"/>
      <c r="Y877" s="396"/>
      <c r="Z877" s="404"/>
      <c r="AA877" s="396"/>
      <c r="AB877" s="404"/>
      <c r="AC877" s="404"/>
      <c r="AD877" s="404"/>
      <c r="AE877" s="396"/>
      <c r="AF877" s="396"/>
      <c r="AG877" s="396"/>
      <c r="AH877" s="396"/>
      <c r="AI877" s="396"/>
      <c r="AJ877" s="396"/>
      <c r="AK877" s="405">
        <f t="shared" si="138"/>
        <v>0</v>
      </c>
      <c r="AL877" s="406"/>
      <c r="AM877" s="407">
        <f>AK877</f>
        <v>0</v>
      </c>
      <c r="AN877" s="583"/>
    </row>
    <row r="878" spans="3:40" ht="12.75" x14ac:dyDescent="0.2">
      <c r="C878" s="580"/>
      <c r="D878" s="646" t="s">
        <v>47</v>
      </c>
      <c r="E878" s="393" t="s">
        <v>18</v>
      </c>
      <c r="F878" s="394">
        <f>8+9.9</f>
        <v>17.899999999999999</v>
      </c>
      <c r="G878" s="393">
        <f>2.01+1.56</f>
        <v>3.57</v>
      </c>
      <c r="H878" s="393">
        <v>4.87</v>
      </c>
      <c r="I878" s="393">
        <f>(3.43+0.78)-0.33</f>
        <v>3.88</v>
      </c>
      <c r="J878" s="393">
        <f>0.14+4.7+1.94+0.78+0.78-1.18</f>
        <v>7.16</v>
      </c>
      <c r="K878" s="393">
        <f>1.59+2.69+(0.78*2)</f>
        <v>5.84</v>
      </c>
      <c r="L878" s="393">
        <f>2.59+1.79+(0.78*2)</f>
        <v>5.9399999999999995</v>
      </c>
      <c r="M878" s="393">
        <f>(0.78*2)</f>
        <v>1.56</v>
      </c>
      <c r="N878" s="393">
        <f>31.5</f>
        <v>31.5</v>
      </c>
      <c r="O878" s="393"/>
      <c r="P878" s="393"/>
      <c r="Q878" s="393">
        <f>9.98+1.46+3.99+1.51</f>
        <v>16.940000000000001</v>
      </c>
      <c r="R878" s="393">
        <f>4.35+0.72+0.72</f>
        <v>5.7899999999999991</v>
      </c>
      <c r="S878" s="393">
        <f>1.79+2.52+0.78+0.78</f>
        <v>5.870000000000001</v>
      </c>
      <c r="T878" s="393">
        <f>1.7+1.51</f>
        <v>3.21</v>
      </c>
      <c r="U878" s="393">
        <v>7.28</v>
      </c>
      <c r="V878" s="393">
        <v>1.49</v>
      </c>
      <c r="W878" s="394">
        <f>1.49+0.85+0.85</f>
        <v>3.19</v>
      </c>
      <c r="X878" s="393"/>
      <c r="Y878" s="393"/>
      <c r="Z878" s="393">
        <f>1.51+0.95+0.95+0.96+0.96+14.49</f>
        <v>19.82</v>
      </c>
      <c r="AA878" s="393">
        <f>3.59+0.82+0.82</f>
        <v>5.23</v>
      </c>
      <c r="AB878" s="393">
        <f>0.85*2</f>
        <v>1.7</v>
      </c>
      <c r="AC878" s="393">
        <f>3.59+5.26+0.85+0.85</f>
        <v>10.549999999999999</v>
      </c>
      <c r="AD878" s="393">
        <v>6.95</v>
      </c>
      <c r="AE878" s="393">
        <f>4.98+4.89+1.49</f>
        <v>11.360000000000001</v>
      </c>
      <c r="AF878" s="393">
        <v>11.4</v>
      </c>
      <c r="AG878" s="393">
        <f>7.8+5.9</f>
        <v>13.7</v>
      </c>
      <c r="AH878" s="393">
        <v>6.78</v>
      </c>
      <c r="AI878" s="394">
        <f>14.08</f>
        <v>14.08</v>
      </c>
      <c r="AJ878" s="394">
        <f>0.85*2</f>
        <v>1.7</v>
      </c>
      <c r="AK878" s="395">
        <f t="shared" si="138"/>
        <v>229.25999999999996</v>
      </c>
      <c r="AL878" s="408">
        <f>AK878</f>
        <v>229.25999999999996</v>
      </c>
      <c r="AM878" s="409"/>
      <c r="AN878" s="633">
        <f>SUM(AL878:AM879)</f>
        <v>229.25999999999996</v>
      </c>
    </row>
    <row r="879" spans="3:40" ht="12.75" x14ac:dyDescent="0.2">
      <c r="C879" s="580"/>
      <c r="D879" s="577"/>
      <c r="E879" s="404" t="s">
        <v>19</v>
      </c>
      <c r="F879" s="396"/>
      <c r="G879" s="396"/>
      <c r="H879" s="404"/>
      <c r="I879" s="404"/>
      <c r="J879" s="404"/>
      <c r="K879" s="396"/>
      <c r="L879" s="396"/>
      <c r="M879" s="396"/>
      <c r="N879" s="396"/>
      <c r="O879" s="396"/>
      <c r="P879" s="404"/>
      <c r="Q879" s="404"/>
      <c r="R879" s="404"/>
      <c r="S879" s="404"/>
      <c r="T879" s="404"/>
      <c r="U879" s="404"/>
      <c r="V879" s="404"/>
      <c r="W879" s="404"/>
      <c r="X879" s="404"/>
      <c r="Y879" s="396"/>
      <c r="Z879" s="404"/>
      <c r="AA879" s="396"/>
      <c r="AB879" s="404"/>
      <c r="AC879" s="396"/>
      <c r="AD879" s="396"/>
      <c r="AE879" s="396"/>
      <c r="AF879" s="396"/>
      <c r="AG879" s="396"/>
      <c r="AH879" s="396"/>
      <c r="AI879" s="396"/>
      <c r="AJ879" s="396"/>
      <c r="AK879" s="405">
        <f t="shared" si="138"/>
        <v>0</v>
      </c>
      <c r="AL879" s="406"/>
      <c r="AM879" s="407">
        <f>AK879</f>
        <v>0</v>
      </c>
      <c r="AN879" s="583"/>
    </row>
    <row r="880" spans="3:40" ht="12.75" x14ac:dyDescent="0.2">
      <c r="C880" s="580"/>
      <c r="D880" s="646" t="s">
        <v>48</v>
      </c>
      <c r="E880" s="393" t="s">
        <v>18</v>
      </c>
      <c r="F880" s="393"/>
      <c r="G880" s="393"/>
      <c r="H880" s="393"/>
      <c r="I880" s="393">
        <v>2.0499999999999998</v>
      </c>
      <c r="J880" s="393">
        <v>2.0499999999999998</v>
      </c>
      <c r="K880" s="393"/>
      <c r="L880" s="393"/>
      <c r="M880" s="393"/>
      <c r="N880" s="394"/>
      <c r="O880" s="393"/>
      <c r="P880" s="393"/>
      <c r="Q880" s="393"/>
      <c r="R880" s="393"/>
      <c r="S880" s="393"/>
      <c r="T880" s="393"/>
      <c r="U880" s="393"/>
      <c r="V880" s="393">
        <v>2.0499999999999998</v>
      </c>
      <c r="W880" s="393"/>
      <c r="X880" s="393"/>
      <c r="Y880" s="393"/>
      <c r="Z880" s="393"/>
      <c r="AA880" s="394"/>
      <c r="AB880" s="393"/>
      <c r="AC880" s="393"/>
      <c r="AD880" s="393"/>
      <c r="AE880" s="393"/>
      <c r="AF880" s="393">
        <v>5.23</v>
      </c>
      <c r="AG880" s="394"/>
      <c r="AH880" s="394"/>
      <c r="AI880" s="394"/>
      <c r="AJ880" s="394"/>
      <c r="AK880" s="395">
        <f t="shared" si="138"/>
        <v>11.379999999999999</v>
      </c>
      <c r="AL880" s="408">
        <f>AK880</f>
        <v>11.379999999999999</v>
      </c>
      <c r="AM880" s="409"/>
      <c r="AN880" s="633">
        <f>SUM(AL880:AM881)</f>
        <v>11.379999999999999</v>
      </c>
    </row>
    <row r="881" spans="3:40" ht="12.75" x14ac:dyDescent="0.2">
      <c r="C881" s="580"/>
      <c r="D881" s="577"/>
      <c r="E881" s="404" t="s">
        <v>19</v>
      </c>
      <c r="F881" s="396"/>
      <c r="G881" s="404"/>
      <c r="H881" s="404"/>
      <c r="I881" s="404"/>
      <c r="J881" s="396"/>
      <c r="K881" s="404"/>
      <c r="L881" s="404"/>
      <c r="M881" s="404"/>
      <c r="N881" s="396"/>
      <c r="O881" s="396"/>
      <c r="P881" s="396"/>
      <c r="Q881" s="404"/>
      <c r="R881" s="404"/>
      <c r="S881" s="404"/>
      <c r="T881" s="404"/>
      <c r="U881" s="404"/>
      <c r="V881" s="404"/>
      <c r="W881" s="404"/>
      <c r="X881" s="404"/>
      <c r="Y881" s="396"/>
      <c r="Z881" s="396"/>
      <c r="AA881" s="404"/>
      <c r="AB881" s="404"/>
      <c r="AC881" s="404"/>
      <c r="AD881" s="404"/>
      <c r="AE881" s="404"/>
      <c r="AF881" s="396"/>
      <c r="AG881" s="396"/>
      <c r="AH881" s="396"/>
      <c r="AI881" s="396"/>
      <c r="AJ881" s="396"/>
      <c r="AK881" s="405">
        <f t="shared" si="138"/>
        <v>0</v>
      </c>
      <c r="AL881" s="406"/>
      <c r="AM881" s="407">
        <f>AK881</f>
        <v>0</v>
      </c>
      <c r="AN881" s="583"/>
    </row>
    <row r="882" spans="3:40" ht="12.75" x14ac:dyDescent="0.2">
      <c r="C882" s="580"/>
      <c r="D882" s="646" t="s">
        <v>49</v>
      </c>
      <c r="E882" s="393" t="s">
        <v>18</v>
      </c>
      <c r="F882" s="393"/>
      <c r="G882" s="393"/>
      <c r="H882" s="394"/>
      <c r="I882" s="393"/>
      <c r="J882" s="393"/>
      <c r="K882" s="394"/>
      <c r="L882" s="393">
        <v>3.5</v>
      </c>
      <c r="M882" s="393"/>
      <c r="N882" s="394">
        <f>14+7.58</f>
        <v>21.58</v>
      </c>
      <c r="O882" s="393"/>
      <c r="P882" s="393">
        <v>10</v>
      </c>
      <c r="Q882" s="393"/>
      <c r="R882" s="393"/>
      <c r="S882" s="393"/>
      <c r="T882" s="393"/>
      <c r="U882" s="393"/>
      <c r="V882" s="393"/>
      <c r="W882" s="393"/>
      <c r="X882" s="393"/>
      <c r="Y882" s="394"/>
      <c r="Z882" s="393">
        <f>5+8</f>
        <v>13</v>
      </c>
      <c r="AA882" s="393"/>
      <c r="AB882" s="393"/>
      <c r="AC882" s="393"/>
      <c r="AD882" s="394"/>
      <c r="AE882" s="393"/>
      <c r="AF882" s="394"/>
      <c r="AG882" s="394"/>
      <c r="AH882" s="393">
        <v>3.5</v>
      </c>
      <c r="AI882" s="393">
        <v>6.8</v>
      </c>
      <c r="AJ882" s="394"/>
      <c r="AK882" s="395">
        <f t="shared" si="138"/>
        <v>58.379999999999995</v>
      </c>
      <c r="AL882" s="408">
        <f>AK882</f>
        <v>58.379999999999995</v>
      </c>
      <c r="AM882" s="409"/>
      <c r="AN882" s="633">
        <f>SUM(AL882:AM883)</f>
        <v>58.379999999999995</v>
      </c>
    </row>
    <row r="883" spans="3:40" ht="12.75" x14ac:dyDescent="0.2">
      <c r="C883" s="580"/>
      <c r="D883" s="577"/>
      <c r="E883" s="404" t="s">
        <v>19</v>
      </c>
      <c r="F883" s="396"/>
      <c r="G883" s="396"/>
      <c r="H883" s="404"/>
      <c r="I883" s="404"/>
      <c r="J883" s="404"/>
      <c r="K883" s="404"/>
      <c r="L883" s="404"/>
      <c r="M883" s="404"/>
      <c r="N883" s="404"/>
      <c r="O883" s="404"/>
      <c r="P883" s="404"/>
      <c r="Q883" s="404"/>
      <c r="R883" s="404"/>
      <c r="S883" s="404"/>
      <c r="T883" s="404"/>
      <c r="U883" s="404"/>
      <c r="V883" s="404"/>
      <c r="W883" s="404"/>
      <c r="X883" s="404"/>
      <c r="Y883" s="404"/>
      <c r="Z883" s="404"/>
      <c r="AA883" s="396"/>
      <c r="AB883" s="396"/>
      <c r="AC883" s="396"/>
      <c r="AD883" s="396"/>
      <c r="AE883" s="404"/>
      <c r="AF883" s="396"/>
      <c r="AG883" s="396"/>
      <c r="AH883" s="396"/>
      <c r="AI883" s="396"/>
      <c r="AJ883" s="396"/>
      <c r="AK883" s="405">
        <f t="shared" si="138"/>
        <v>0</v>
      </c>
      <c r="AL883" s="406"/>
      <c r="AM883" s="407">
        <f>AK883</f>
        <v>0</v>
      </c>
      <c r="AN883" s="583"/>
    </row>
    <row r="884" spans="3:40" ht="12.75" x14ac:dyDescent="0.2">
      <c r="C884" s="580"/>
      <c r="D884" s="653" t="s">
        <v>50</v>
      </c>
      <c r="E884" s="393" t="s">
        <v>18</v>
      </c>
      <c r="F884" s="393"/>
      <c r="G884" s="393">
        <v>6</v>
      </c>
      <c r="H884" s="393">
        <v>6</v>
      </c>
      <c r="I884" s="393">
        <v>6</v>
      </c>
      <c r="J884" s="393">
        <v>6</v>
      </c>
      <c r="K884" s="393">
        <v>6</v>
      </c>
      <c r="L884" s="393">
        <v>6</v>
      </c>
      <c r="M884" s="393">
        <v>6</v>
      </c>
      <c r="N884" s="393">
        <v>6</v>
      </c>
      <c r="O884" s="393">
        <v>6</v>
      </c>
      <c r="P884" s="393">
        <v>6</v>
      </c>
      <c r="Q884" s="393">
        <v>6</v>
      </c>
      <c r="R884" s="393">
        <v>6</v>
      </c>
      <c r="S884" s="393">
        <v>6</v>
      </c>
      <c r="T884" s="393">
        <v>6</v>
      </c>
      <c r="U884" s="393">
        <v>6</v>
      </c>
      <c r="V884" s="393">
        <v>6</v>
      </c>
      <c r="W884" s="393">
        <v>6</v>
      </c>
      <c r="X884" s="393"/>
      <c r="Y884" s="393">
        <v>6</v>
      </c>
      <c r="Z884" s="393">
        <v>6</v>
      </c>
      <c r="AA884" s="393">
        <v>6</v>
      </c>
      <c r="AB884" s="393">
        <v>6</v>
      </c>
      <c r="AC884" s="393">
        <v>6</v>
      </c>
      <c r="AD884" s="393">
        <v>6</v>
      </c>
      <c r="AE884" s="393">
        <v>6</v>
      </c>
      <c r="AF884" s="393">
        <v>6</v>
      </c>
      <c r="AG884" s="393">
        <v>6</v>
      </c>
      <c r="AH884" s="393">
        <v>6</v>
      </c>
      <c r="AI884" s="393">
        <f>6+6</f>
        <v>12</v>
      </c>
      <c r="AJ884" s="393">
        <v>6</v>
      </c>
      <c r="AK884" s="395">
        <f t="shared" si="138"/>
        <v>180</v>
      </c>
      <c r="AL884" s="408">
        <f>AK884</f>
        <v>180</v>
      </c>
      <c r="AM884" s="409"/>
      <c r="AN884" s="633">
        <f>SUM(AL884:AM885)</f>
        <v>180</v>
      </c>
    </row>
    <row r="885" spans="3:40" ht="12.75" x14ac:dyDescent="0.2">
      <c r="C885" s="580"/>
      <c r="D885" s="577"/>
      <c r="E885" s="404" t="s">
        <v>19</v>
      </c>
      <c r="F885" s="404"/>
      <c r="G885" s="404"/>
      <c r="H885" s="404"/>
      <c r="I885" s="404"/>
      <c r="J885" s="404"/>
      <c r="K885" s="404"/>
      <c r="L885" s="404"/>
      <c r="M885" s="404"/>
      <c r="N885" s="404"/>
      <c r="O885" s="404"/>
      <c r="P885" s="404"/>
      <c r="Q885" s="404"/>
      <c r="R885" s="404"/>
      <c r="S885" s="404"/>
      <c r="T885" s="404"/>
      <c r="U885" s="404"/>
      <c r="V885" s="404"/>
      <c r="W885" s="404"/>
      <c r="X885" s="404"/>
      <c r="Y885" s="404"/>
      <c r="Z885" s="404"/>
      <c r="AA885" s="404"/>
      <c r="AB885" s="404"/>
      <c r="AC885" s="404"/>
      <c r="AD885" s="396"/>
      <c r="AE885" s="396"/>
      <c r="AF885" s="396"/>
      <c r="AG885" s="396"/>
      <c r="AH885" s="396"/>
      <c r="AI885" s="396"/>
      <c r="AJ885" s="396"/>
      <c r="AK885" s="405">
        <f t="shared" si="138"/>
        <v>0</v>
      </c>
      <c r="AL885" s="406"/>
      <c r="AM885" s="407">
        <f>AK885</f>
        <v>0</v>
      </c>
      <c r="AN885" s="583"/>
    </row>
    <row r="886" spans="3:40" ht="12.75" x14ac:dyDescent="0.2">
      <c r="C886" s="580"/>
      <c r="D886" s="653" t="s">
        <v>1</v>
      </c>
      <c r="E886" s="393" t="s">
        <v>18</v>
      </c>
      <c r="F886" s="394"/>
      <c r="G886" s="394"/>
      <c r="H886" s="394"/>
      <c r="I886" s="393"/>
      <c r="J886" s="393">
        <v>2.89</v>
      </c>
      <c r="K886" s="393"/>
      <c r="L886" s="393"/>
      <c r="M886" s="394"/>
      <c r="N886" s="394"/>
      <c r="O886" s="394"/>
      <c r="P886" s="394"/>
      <c r="Q886" s="393"/>
      <c r="R886" s="393"/>
      <c r="S886" s="393"/>
      <c r="T886" s="394"/>
      <c r="U886" s="393"/>
      <c r="V886" s="393"/>
      <c r="W886" s="393"/>
      <c r="X886" s="393"/>
      <c r="Y886" s="393"/>
      <c r="Z886" s="393"/>
      <c r="AA886" s="393"/>
      <c r="AB886" s="393"/>
      <c r="AC886" s="393"/>
      <c r="AD886" s="393"/>
      <c r="AE886" s="394"/>
      <c r="AF886" s="394"/>
      <c r="AG886" s="394"/>
      <c r="AH886" s="394"/>
      <c r="AI886" s="394"/>
      <c r="AJ886" s="394"/>
      <c r="AK886" s="395">
        <f t="shared" si="138"/>
        <v>2.89</v>
      </c>
      <c r="AL886" s="403">
        <f>AK886</f>
        <v>2.89</v>
      </c>
      <c r="AM886" s="396"/>
      <c r="AN886" s="633">
        <f>SUM(AL886:AM887)</f>
        <v>2.89</v>
      </c>
    </row>
    <row r="887" spans="3:40" ht="12.75" x14ac:dyDescent="0.2">
      <c r="C887" s="580"/>
      <c r="D887" s="577"/>
      <c r="E887" s="404" t="s">
        <v>19</v>
      </c>
      <c r="F887" s="396"/>
      <c r="G887" s="396"/>
      <c r="H887" s="404"/>
      <c r="I887" s="404"/>
      <c r="J887" s="396"/>
      <c r="K887" s="396"/>
      <c r="L887" s="396"/>
      <c r="M887" s="396"/>
      <c r="N887" s="396"/>
      <c r="O887" s="396"/>
      <c r="P887" s="396"/>
      <c r="Q887" s="404"/>
      <c r="R887" s="404"/>
      <c r="S887" s="404"/>
      <c r="T887" s="396"/>
      <c r="U887" s="404"/>
      <c r="V887" s="404"/>
      <c r="W887" s="396"/>
      <c r="X887" s="404"/>
      <c r="Y887" s="404"/>
      <c r="Z887" s="404"/>
      <c r="AA887" s="404"/>
      <c r="AB887" s="404"/>
      <c r="AC887" s="404"/>
      <c r="AD887" s="396"/>
      <c r="AE887" s="396"/>
      <c r="AF887" s="396"/>
      <c r="AG887" s="396"/>
      <c r="AH887" s="396"/>
      <c r="AI887" s="396"/>
      <c r="AJ887" s="396"/>
      <c r="AK887" s="405">
        <f t="shared" si="138"/>
        <v>0</v>
      </c>
      <c r="AL887" s="403"/>
      <c r="AM887" s="396">
        <f>AK887</f>
        <v>0</v>
      </c>
      <c r="AN887" s="583"/>
    </row>
    <row r="888" spans="3:40" ht="12.75" x14ac:dyDescent="0.2">
      <c r="C888" s="580"/>
      <c r="D888" s="645" t="s">
        <v>78</v>
      </c>
      <c r="E888" s="393" t="s">
        <v>18</v>
      </c>
      <c r="F888" s="394"/>
      <c r="G888" s="394"/>
      <c r="H888" s="394"/>
      <c r="I888" s="394"/>
      <c r="J888" s="394"/>
      <c r="K888" s="393"/>
      <c r="L888" s="393"/>
      <c r="M888" s="393"/>
      <c r="N888" s="393"/>
      <c r="O888" s="393"/>
      <c r="P888" s="393"/>
      <c r="Q888" s="394"/>
      <c r="R888" s="394"/>
      <c r="S888" s="394"/>
      <c r="T888" s="394"/>
      <c r="U888" s="394"/>
      <c r="V888" s="394"/>
      <c r="W888" s="393"/>
      <c r="X888" s="393"/>
      <c r="Y888" s="393"/>
      <c r="Z888" s="393"/>
      <c r="AA888" s="394"/>
      <c r="AB888" s="394"/>
      <c r="AC888" s="394"/>
      <c r="AD888" s="394"/>
      <c r="AE888" s="394"/>
      <c r="AF888" s="394"/>
      <c r="AG888" s="394"/>
      <c r="AH888" s="394"/>
      <c r="AI888" s="394"/>
      <c r="AJ888" s="394"/>
      <c r="AK888" s="395">
        <f t="shared" si="138"/>
        <v>0</v>
      </c>
      <c r="AL888" s="408">
        <f>AK888</f>
        <v>0</v>
      </c>
      <c r="AM888" s="409"/>
      <c r="AN888" s="634">
        <f>SUM(AL888:AM889)</f>
        <v>0</v>
      </c>
    </row>
    <row r="889" spans="3:40" ht="12.75" x14ac:dyDescent="0.2">
      <c r="C889" s="580"/>
      <c r="D889" s="577"/>
      <c r="E889" s="404" t="s">
        <v>19</v>
      </c>
      <c r="F889" s="396"/>
      <c r="G889" s="396"/>
      <c r="H889" s="396"/>
      <c r="I889" s="396"/>
      <c r="J889" s="396"/>
      <c r="K889" s="396"/>
      <c r="L889" s="396"/>
      <c r="M889" s="396"/>
      <c r="N889" s="396"/>
      <c r="O889" s="396"/>
      <c r="P889" s="396"/>
      <c r="Q889" s="396"/>
      <c r="R889" s="396"/>
      <c r="S889" s="396"/>
      <c r="T889" s="396"/>
      <c r="U889" s="396"/>
      <c r="V889" s="396"/>
      <c r="W889" s="396"/>
      <c r="X889" s="396"/>
      <c r="Y889" s="396"/>
      <c r="Z889" s="396"/>
      <c r="AA889" s="396"/>
      <c r="AB889" s="396"/>
      <c r="AC889" s="396"/>
      <c r="AD889" s="396"/>
      <c r="AE889" s="396"/>
      <c r="AF889" s="396"/>
      <c r="AG889" s="396"/>
      <c r="AH889" s="396"/>
      <c r="AI889" s="396"/>
      <c r="AJ889" s="396"/>
      <c r="AK889" s="405">
        <f t="shared" si="138"/>
        <v>0</v>
      </c>
      <c r="AL889" s="406"/>
      <c r="AM889" s="407">
        <f>AK889</f>
        <v>0</v>
      </c>
      <c r="AN889" s="583"/>
    </row>
    <row r="890" spans="3:40" ht="12.75" x14ac:dyDescent="0.2">
      <c r="C890" s="580"/>
      <c r="D890" s="645" t="s">
        <v>52</v>
      </c>
      <c r="E890" s="393" t="s">
        <v>18</v>
      </c>
      <c r="F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394"/>
      <c r="R890" s="394"/>
      <c r="S890" s="394"/>
      <c r="T890" s="394"/>
      <c r="U890" s="394"/>
      <c r="V890" s="394"/>
      <c r="W890" s="394"/>
      <c r="X890" s="394"/>
      <c r="Y890" s="393"/>
      <c r="Z890" s="393"/>
      <c r="AA890" s="394"/>
      <c r="AB890" s="394"/>
      <c r="AC890" s="394"/>
      <c r="AD890" s="394"/>
      <c r="AE890" s="394"/>
      <c r="AF890" s="394"/>
      <c r="AG890" s="394"/>
      <c r="AH890" s="394"/>
      <c r="AI890" s="394"/>
      <c r="AJ890" s="414"/>
      <c r="AK890" s="395">
        <f t="shared" si="138"/>
        <v>0</v>
      </c>
      <c r="AL890" s="408">
        <f>AK890</f>
        <v>0</v>
      </c>
      <c r="AM890" s="409"/>
      <c r="AN890" s="633">
        <f>SUM(AL890:AM891)</f>
        <v>0</v>
      </c>
    </row>
    <row r="891" spans="3:40" ht="12.75" x14ac:dyDescent="0.2">
      <c r="C891" s="581"/>
      <c r="D891" s="585"/>
      <c r="E891" s="404" t="s">
        <v>19</v>
      </c>
      <c r="F891" s="396"/>
      <c r="G891" s="396"/>
      <c r="H891" s="396"/>
      <c r="I891" s="396"/>
      <c r="J891" s="396"/>
      <c r="K891" s="396"/>
      <c r="L891" s="396"/>
      <c r="M891" s="396"/>
      <c r="N891" s="396"/>
      <c r="O891" s="396"/>
      <c r="P891" s="396"/>
      <c r="Q891" s="396"/>
      <c r="R891" s="396"/>
      <c r="S891" s="396"/>
      <c r="T891" s="396"/>
      <c r="U891" s="396"/>
      <c r="V891" s="396"/>
      <c r="W891" s="396"/>
      <c r="X891" s="396"/>
      <c r="Y891" s="404"/>
      <c r="Z891" s="404"/>
      <c r="AA891" s="396"/>
      <c r="AB891" s="396"/>
      <c r="AC891" s="396"/>
      <c r="AD891" s="396"/>
      <c r="AE891" s="396"/>
      <c r="AF891" s="396"/>
      <c r="AG891" s="396"/>
      <c r="AH891" s="396"/>
      <c r="AI891" s="396"/>
      <c r="AJ891" s="415"/>
      <c r="AK891" s="405">
        <f t="shared" si="138"/>
        <v>0</v>
      </c>
      <c r="AL891" s="406"/>
      <c r="AM891" s="407">
        <f>AK891</f>
        <v>0</v>
      </c>
      <c r="AN891" s="583"/>
    </row>
    <row r="892" spans="3:40" ht="12.75" x14ac:dyDescent="0.2">
      <c r="C892" s="629" t="s">
        <v>53</v>
      </c>
      <c r="D892" s="416" t="s">
        <v>54</v>
      </c>
      <c r="E892" s="411" t="s">
        <v>18</v>
      </c>
      <c r="F892" s="412"/>
      <c r="G892" s="411"/>
      <c r="H892" s="412"/>
      <c r="I892" s="412"/>
      <c r="J892" s="412"/>
      <c r="K892" s="411"/>
      <c r="L892" s="412"/>
      <c r="M892" s="412"/>
      <c r="N892" s="412"/>
      <c r="O892" s="412"/>
      <c r="P892" s="412"/>
      <c r="Q892" s="412"/>
      <c r="R892" s="412"/>
      <c r="S892" s="412"/>
      <c r="T892" s="412"/>
      <c r="U892" s="412"/>
      <c r="V892" s="412"/>
      <c r="W892" s="412"/>
      <c r="X892" s="412"/>
      <c r="Y892" s="412"/>
      <c r="Z892" s="412"/>
      <c r="AA892" s="412"/>
      <c r="AB892" s="412"/>
      <c r="AC892" s="412"/>
      <c r="AD892" s="411"/>
      <c r="AE892" s="412"/>
      <c r="AF892" s="412"/>
      <c r="AG892" s="412"/>
      <c r="AH892" s="412"/>
      <c r="AI892" s="412"/>
      <c r="AJ892" s="417"/>
      <c r="AK892" s="395">
        <f t="shared" si="138"/>
        <v>0</v>
      </c>
      <c r="AL892" s="394">
        <f t="shared" ref="AL892:AL893" si="141">AK892</f>
        <v>0</v>
      </c>
      <c r="AM892" s="396"/>
      <c r="AN892" s="374">
        <f>AL892</f>
        <v>0</v>
      </c>
    </row>
    <row r="893" spans="3:40" ht="12.75" x14ac:dyDescent="0.2">
      <c r="C893" s="580"/>
      <c r="D893" s="643" t="s">
        <v>55</v>
      </c>
      <c r="E893" s="393" t="s">
        <v>18</v>
      </c>
      <c r="F893" s="394"/>
      <c r="G893" s="394"/>
      <c r="H893" s="393"/>
      <c r="I893" s="393"/>
      <c r="J893" s="394"/>
      <c r="K893" s="393"/>
      <c r="L893" s="393">
        <v>56.87</v>
      </c>
      <c r="M893" s="393"/>
      <c r="N893" s="393"/>
      <c r="O893" s="394"/>
      <c r="P893" s="393"/>
      <c r="Q893" s="394"/>
      <c r="R893" s="393"/>
      <c r="S893" s="393"/>
      <c r="T893" s="394"/>
      <c r="U893" s="393"/>
      <c r="V893" s="393"/>
      <c r="W893" s="393"/>
      <c r="X893" s="393"/>
      <c r="Y893" s="393"/>
      <c r="Z893" s="394"/>
      <c r="AA893" s="394"/>
      <c r="AB893" s="393"/>
      <c r="AC893" s="393"/>
      <c r="AD893" s="393"/>
      <c r="AE893" s="393"/>
      <c r="AF893" s="394"/>
      <c r="AG893" s="394"/>
      <c r="AH893" s="394"/>
      <c r="AI893" s="394"/>
      <c r="AJ893" s="414"/>
      <c r="AK893" s="395">
        <f t="shared" si="138"/>
        <v>56.87</v>
      </c>
      <c r="AL893" s="408">
        <f t="shared" si="141"/>
        <v>56.87</v>
      </c>
      <c r="AM893" s="409"/>
      <c r="AN893" s="633">
        <f>SUM(AL893:AM894)</f>
        <v>56.87</v>
      </c>
    </row>
    <row r="894" spans="3:40" ht="12.75" x14ac:dyDescent="0.2">
      <c r="C894" s="580"/>
      <c r="D894" s="577"/>
      <c r="E894" s="404" t="s">
        <v>19</v>
      </c>
      <c r="F894" s="396"/>
      <c r="G894" s="396"/>
      <c r="H894" s="404"/>
      <c r="I894" s="404"/>
      <c r="J894" s="396"/>
      <c r="K894" s="396"/>
      <c r="L894" s="404"/>
      <c r="M894" s="396"/>
      <c r="N894" s="396"/>
      <c r="O894" s="396"/>
      <c r="P894" s="396"/>
      <c r="Q894" s="396"/>
      <c r="R894" s="396"/>
      <c r="S894" s="396"/>
      <c r="T894" s="396"/>
      <c r="U894" s="404"/>
      <c r="V894" s="404"/>
      <c r="W894" s="396"/>
      <c r="X894" s="396"/>
      <c r="Y894" s="396"/>
      <c r="Z894" s="396"/>
      <c r="AA894" s="396"/>
      <c r="AB894" s="396"/>
      <c r="AC894" s="404"/>
      <c r="AD894" s="396"/>
      <c r="AE894" s="396"/>
      <c r="AF894" s="396"/>
      <c r="AG894" s="396"/>
      <c r="AH894" s="396"/>
      <c r="AI894" s="396"/>
      <c r="AJ894" s="415"/>
      <c r="AK894" s="405">
        <f t="shared" si="138"/>
        <v>0</v>
      </c>
      <c r="AL894" s="406"/>
      <c r="AM894" s="407">
        <f>AK894</f>
        <v>0</v>
      </c>
      <c r="AN894" s="583"/>
    </row>
    <row r="895" spans="3:40" ht="12.75" x14ac:dyDescent="0.2">
      <c r="C895" s="580"/>
      <c r="D895" s="643" t="s">
        <v>56</v>
      </c>
      <c r="E895" s="393" t="s">
        <v>18</v>
      </c>
      <c r="F895" s="394"/>
      <c r="G895" s="394"/>
      <c r="H895" s="393"/>
      <c r="I895" s="393"/>
      <c r="J895" s="394"/>
      <c r="K895" s="394"/>
      <c r="L895" s="394"/>
      <c r="M895" s="394"/>
      <c r="N895" s="393"/>
      <c r="O895" s="394"/>
      <c r="P895" s="394"/>
      <c r="Q895" s="394"/>
      <c r="R895" s="394"/>
      <c r="S895" s="394"/>
      <c r="T895" s="393"/>
      <c r="U895" s="393"/>
      <c r="V895" s="394"/>
      <c r="W895" s="394"/>
      <c r="X895" s="394"/>
      <c r="Y895" s="394"/>
      <c r="Z895" s="394"/>
      <c r="AA895" s="394"/>
      <c r="AB895" s="394"/>
      <c r="AC895" s="394"/>
      <c r="AD895" s="394"/>
      <c r="AE895" s="394"/>
      <c r="AF895" s="394"/>
      <c r="AG895" s="394"/>
      <c r="AH895" s="394"/>
      <c r="AI895" s="394"/>
      <c r="AJ895" s="414"/>
      <c r="AK895" s="395">
        <f t="shared" si="138"/>
        <v>0</v>
      </c>
      <c r="AL895" s="408">
        <f>AK895</f>
        <v>0</v>
      </c>
      <c r="AM895" s="409"/>
      <c r="AN895" s="633">
        <f>SUM(AL895:AM896)</f>
        <v>0</v>
      </c>
    </row>
    <row r="896" spans="3:40" ht="12.75" x14ac:dyDescent="0.2">
      <c r="C896" s="580"/>
      <c r="D896" s="577"/>
      <c r="E896" s="404" t="s">
        <v>19</v>
      </c>
      <c r="F896" s="396"/>
      <c r="G896" s="396"/>
      <c r="H896" s="396"/>
      <c r="I896" s="396"/>
      <c r="J896" s="396"/>
      <c r="K896" s="396"/>
      <c r="L896" s="396"/>
      <c r="M896" s="396"/>
      <c r="N896" s="396"/>
      <c r="O896" s="396"/>
      <c r="P896" s="396"/>
      <c r="Q896" s="396"/>
      <c r="R896" s="396"/>
      <c r="S896" s="396"/>
      <c r="T896" s="396"/>
      <c r="U896" s="396"/>
      <c r="V896" s="396"/>
      <c r="W896" s="396"/>
      <c r="X896" s="396"/>
      <c r="Y896" s="396"/>
      <c r="Z896" s="396"/>
      <c r="AA896" s="396"/>
      <c r="AB896" s="396"/>
      <c r="AC896" s="396"/>
      <c r="AD896" s="396"/>
      <c r="AE896" s="396"/>
      <c r="AF896" s="396"/>
      <c r="AG896" s="396"/>
      <c r="AH896" s="396"/>
      <c r="AI896" s="396"/>
      <c r="AJ896" s="415"/>
      <c r="AK896" s="405">
        <f t="shared" si="138"/>
        <v>0</v>
      </c>
      <c r="AL896" s="406"/>
      <c r="AM896" s="407">
        <f>AK896</f>
        <v>0</v>
      </c>
      <c r="AN896" s="583"/>
    </row>
    <row r="897" spans="3:40" ht="12.75" x14ac:dyDescent="0.2">
      <c r="C897" s="580"/>
      <c r="D897" s="643" t="s">
        <v>57</v>
      </c>
      <c r="E897" s="393" t="s">
        <v>18</v>
      </c>
      <c r="F897" s="394"/>
      <c r="G897" s="394"/>
      <c r="H897" s="394"/>
      <c r="I897" s="394"/>
      <c r="J897" s="394"/>
      <c r="K897" s="394"/>
      <c r="L897" s="394"/>
      <c r="M897" s="393"/>
      <c r="N897" s="394"/>
      <c r="O897" s="394"/>
      <c r="P897" s="394"/>
      <c r="Q897" s="394"/>
      <c r="R897" s="394"/>
      <c r="S897" s="394"/>
      <c r="T897" s="393"/>
      <c r="U897" s="394"/>
      <c r="V897" s="394"/>
      <c r="W897" s="394"/>
      <c r="X897" s="394"/>
      <c r="Y897" s="393"/>
      <c r="Z897" s="394"/>
      <c r="AA897" s="394"/>
      <c r="AB897" s="394"/>
      <c r="AC897" s="394"/>
      <c r="AD897" s="394"/>
      <c r="AE897" s="394"/>
      <c r="AF897" s="394"/>
      <c r="AG897" s="394"/>
      <c r="AH897" s="394"/>
      <c r="AI897" s="394"/>
      <c r="AJ897" s="414"/>
      <c r="AK897" s="395">
        <f t="shared" si="138"/>
        <v>0</v>
      </c>
      <c r="AL897" s="408">
        <f>AK897</f>
        <v>0</v>
      </c>
      <c r="AM897" s="409"/>
      <c r="AN897" s="633">
        <f>SUM(AL897:AM898)</f>
        <v>0</v>
      </c>
    </row>
    <row r="898" spans="3:40" ht="12.75" x14ac:dyDescent="0.2">
      <c r="C898" s="581"/>
      <c r="D898" s="585"/>
      <c r="E898" s="410" t="s">
        <v>19</v>
      </c>
      <c r="F898" s="407"/>
      <c r="G898" s="407"/>
      <c r="H898" s="407"/>
      <c r="I898" s="407"/>
      <c r="J898" s="407"/>
      <c r="K898" s="407"/>
      <c r="L898" s="407"/>
      <c r="M898" s="407"/>
      <c r="N898" s="407"/>
      <c r="O898" s="407"/>
      <c r="P898" s="407"/>
      <c r="Q898" s="407"/>
      <c r="R898" s="407"/>
      <c r="S898" s="407"/>
      <c r="T898" s="410"/>
      <c r="U898" s="407"/>
      <c r="V898" s="407"/>
      <c r="W898" s="407"/>
      <c r="X898" s="407"/>
      <c r="Y898" s="407"/>
      <c r="Z898" s="407"/>
      <c r="AA898" s="407"/>
      <c r="AB898" s="407"/>
      <c r="AC898" s="407"/>
      <c r="AD898" s="407"/>
      <c r="AE898" s="407"/>
      <c r="AF898" s="407"/>
      <c r="AG898" s="407"/>
      <c r="AH898" s="407"/>
      <c r="AI898" s="407"/>
      <c r="AJ898" s="418"/>
      <c r="AK898" s="405">
        <f t="shared" si="138"/>
        <v>0</v>
      </c>
      <c r="AL898" s="406"/>
      <c r="AM898" s="407">
        <f>AK898</f>
        <v>0</v>
      </c>
      <c r="AN898" s="583"/>
    </row>
    <row r="899" spans="3:40" ht="12.75" x14ac:dyDescent="0.2">
      <c r="C899" s="629" t="s">
        <v>58</v>
      </c>
      <c r="D899" s="644" t="s">
        <v>59</v>
      </c>
      <c r="E899" s="411" t="s">
        <v>18</v>
      </c>
      <c r="F899" s="412"/>
      <c r="G899" s="412"/>
      <c r="H899" s="411"/>
      <c r="I899" s="411"/>
      <c r="J899" s="412"/>
      <c r="K899" s="411"/>
      <c r="L899" s="411"/>
      <c r="M899" s="411">
        <f>14.99+127</f>
        <v>141.99</v>
      </c>
      <c r="N899" s="412">
        <f>7.83</f>
        <v>7.83</v>
      </c>
      <c r="O899" s="412"/>
      <c r="P899" s="411"/>
      <c r="Q899" s="412"/>
      <c r="R899" s="412"/>
      <c r="S899" s="411"/>
      <c r="T899" s="412"/>
      <c r="U899" s="411"/>
      <c r="V899" s="411"/>
      <c r="W899" s="411"/>
      <c r="X899" s="411">
        <v>25</v>
      </c>
      <c r="Y899" s="411">
        <f>111.14+5</f>
        <v>116.14</v>
      </c>
      <c r="Z899" s="411"/>
      <c r="AA899" s="412"/>
      <c r="AB899" s="412"/>
      <c r="AC899" s="412"/>
      <c r="AD899" s="412"/>
      <c r="AE899" s="412"/>
      <c r="AF899" s="412"/>
      <c r="AG899" s="411"/>
      <c r="AH899" s="412"/>
      <c r="AI899" s="412"/>
      <c r="AJ899" s="417"/>
      <c r="AK899" s="395">
        <f t="shared" si="138"/>
        <v>290.96000000000004</v>
      </c>
      <c r="AL899" s="408">
        <f>AK899</f>
        <v>290.96000000000004</v>
      </c>
      <c r="AM899" s="409"/>
      <c r="AN899" s="635">
        <f>SUM(AL899:AM900)</f>
        <v>340.96000000000004</v>
      </c>
    </row>
    <row r="900" spans="3:40" ht="12.75" x14ac:dyDescent="0.2">
      <c r="C900" s="580"/>
      <c r="D900" s="577"/>
      <c r="E900" s="404" t="s">
        <v>19</v>
      </c>
      <c r="F900" s="396"/>
      <c r="G900" s="396"/>
      <c r="H900" s="396"/>
      <c r="I900" s="396"/>
      <c r="J900" s="396"/>
      <c r="K900" s="404"/>
      <c r="L900" s="396"/>
      <c r="M900" s="404"/>
      <c r="N900" s="404"/>
      <c r="O900" s="404"/>
      <c r="P900" s="396"/>
      <c r="Q900" s="396"/>
      <c r="R900" s="396"/>
      <c r="S900" s="396"/>
      <c r="T900" s="396"/>
      <c r="U900" s="396"/>
      <c r="V900" s="404">
        <v>25</v>
      </c>
      <c r="W900" s="404">
        <v>25</v>
      </c>
      <c r="X900" s="396"/>
      <c r="Y900" s="396"/>
      <c r="Z900" s="396"/>
      <c r="AA900" s="396"/>
      <c r="AB900" s="396"/>
      <c r="AC900" s="396"/>
      <c r="AD900" s="396"/>
      <c r="AE900" s="396"/>
      <c r="AF900" s="396"/>
      <c r="AG900" s="396"/>
      <c r="AH900" s="396"/>
      <c r="AI900" s="396"/>
      <c r="AJ900" s="415"/>
      <c r="AK900" s="405">
        <f t="shared" si="138"/>
        <v>50</v>
      </c>
      <c r="AL900" s="406"/>
      <c r="AM900" s="407">
        <f>AK900</f>
        <v>50</v>
      </c>
      <c r="AN900" s="585"/>
    </row>
    <row r="901" spans="3:40" ht="12.75" x14ac:dyDescent="0.2">
      <c r="C901" s="580"/>
      <c r="D901" s="643" t="s">
        <v>60</v>
      </c>
      <c r="E901" s="393" t="s">
        <v>18</v>
      </c>
      <c r="F901" s="393">
        <v>31.14</v>
      </c>
      <c r="G901" s="394"/>
      <c r="H901" s="394"/>
      <c r="I901" s="394"/>
      <c r="J901" s="394"/>
      <c r="K901" s="393"/>
      <c r="L901" s="394"/>
      <c r="M901" s="393"/>
      <c r="N901" s="393"/>
      <c r="O901" s="394"/>
      <c r="P901" s="394"/>
      <c r="Q901" s="394"/>
      <c r="R901" s="394"/>
      <c r="S901" s="393"/>
      <c r="T901" s="394"/>
      <c r="U901" s="394"/>
      <c r="V901" s="394"/>
      <c r="W901" s="394"/>
      <c r="X901" s="394"/>
      <c r="Y901" s="394"/>
      <c r="Z901" s="394"/>
      <c r="AA901" s="394"/>
      <c r="AB901" s="394"/>
      <c r="AC901" s="394"/>
      <c r="AD901" s="394"/>
      <c r="AE901" s="394"/>
      <c r="AF901" s="394"/>
      <c r="AG901" s="394"/>
      <c r="AH901" s="394"/>
      <c r="AI901" s="394"/>
      <c r="AJ901" s="414"/>
      <c r="AK901" s="395">
        <f t="shared" si="138"/>
        <v>31.14</v>
      </c>
      <c r="AL901" s="403">
        <f>AK901</f>
        <v>31.14</v>
      </c>
      <c r="AM901" s="396"/>
      <c r="AN901" s="633">
        <f>SUM(AL901:AM902)</f>
        <v>31.14</v>
      </c>
    </row>
    <row r="902" spans="3:40" ht="12.75" x14ac:dyDescent="0.2">
      <c r="C902" s="580"/>
      <c r="D902" s="577"/>
      <c r="E902" s="404" t="s">
        <v>19</v>
      </c>
      <c r="F902" s="396"/>
      <c r="G902" s="396"/>
      <c r="H902" s="396"/>
      <c r="I902" s="396"/>
      <c r="J902" s="396"/>
      <c r="K902" s="404"/>
      <c r="L902" s="396"/>
      <c r="M902" s="396"/>
      <c r="N902" s="396"/>
      <c r="O902" s="396"/>
      <c r="P902" s="396"/>
      <c r="Q902" s="404"/>
      <c r="R902" s="396"/>
      <c r="S902" s="396"/>
      <c r="T902" s="396"/>
      <c r="U902" s="396"/>
      <c r="V902" s="396"/>
      <c r="W902" s="396"/>
      <c r="X902" s="396"/>
      <c r="Y902" s="396"/>
      <c r="Z902" s="396"/>
      <c r="AA902" s="396"/>
      <c r="AB902" s="396"/>
      <c r="AC902" s="396"/>
      <c r="AD902" s="396"/>
      <c r="AE902" s="396"/>
      <c r="AF902" s="396"/>
      <c r="AG902" s="396"/>
      <c r="AH902" s="396"/>
      <c r="AI902" s="396"/>
      <c r="AJ902" s="415"/>
      <c r="AK902" s="405">
        <f t="shared" si="138"/>
        <v>0</v>
      </c>
      <c r="AL902" s="403"/>
      <c r="AM902" s="396">
        <f>AK902</f>
        <v>0</v>
      </c>
      <c r="AN902" s="583"/>
    </row>
    <row r="903" spans="3:40" ht="12.75" x14ac:dyDescent="0.2">
      <c r="C903" s="580"/>
      <c r="D903" s="643" t="s">
        <v>61</v>
      </c>
      <c r="E903" s="393" t="s">
        <v>18</v>
      </c>
      <c r="F903" s="393"/>
      <c r="G903" s="394"/>
      <c r="H903" s="394"/>
      <c r="I903" s="394"/>
      <c r="J903" s="394"/>
      <c r="K903" s="394"/>
      <c r="L903" s="394"/>
      <c r="M903" s="394"/>
      <c r="N903" s="394"/>
      <c r="O903" s="393"/>
      <c r="P903" s="394"/>
      <c r="Q903" s="393"/>
      <c r="R903" s="394"/>
      <c r="S903" s="393"/>
      <c r="T903" s="394"/>
      <c r="U903" s="394"/>
      <c r="V903" s="394"/>
      <c r="W903" s="393"/>
      <c r="X903" s="394"/>
      <c r="Y903" s="394"/>
      <c r="Z903" s="394"/>
      <c r="AA903" s="394"/>
      <c r="AB903" s="394"/>
      <c r="AC903" s="393"/>
      <c r="AD903" s="394"/>
      <c r="AE903" s="394"/>
      <c r="AF903" s="393"/>
      <c r="AG903" s="394"/>
      <c r="AH903" s="394"/>
      <c r="AI903" s="394"/>
      <c r="AJ903" s="414"/>
      <c r="AK903" s="414">
        <f t="shared" si="138"/>
        <v>0</v>
      </c>
      <c r="AL903" s="408">
        <f>AK903</f>
        <v>0</v>
      </c>
      <c r="AM903" s="409"/>
      <c r="AN903" s="635">
        <f>SUM(AL903:AM904)</f>
        <v>0</v>
      </c>
    </row>
    <row r="904" spans="3:40" ht="12.75" x14ac:dyDescent="0.2">
      <c r="C904" s="580"/>
      <c r="D904" s="577"/>
      <c r="E904" s="404" t="s">
        <v>19</v>
      </c>
      <c r="F904" s="396"/>
      <c r="G904" s="396"/>
      <c r="H904" s="396"/>
      <c r="I904" s="396"/>
      <c r="J904" s="396"/>
      <c r="K904" s="396"/>
      <c r="L904" s="396"/>
      <c r="M904" s="396"/>
      <c r="N904" s="396"/>
      <c r="O904" s="396"/>
      <c r="P904" s="396"/>
      <c r="Q904" s="396"/>
      <c r="R904" s="396"/>
      <c r="S904" s="396"/>
      <c r="T904" s="396"/>
      <c r="U904" s="396"/>
      <c r="V904" s="396"/>
      <c r="W904" s="404"/>
      <c r="X904" s="396"/>
      <c r="Y904" s="404"/>
      <c r="Z904" s="396"/>
      <c r="AA904" s="396"/>
      <c r="AB904" s="396"/>
      <c r="AC904" s="396"/>
      <c r="AD904" s="396"/>
      <c r="AE904" s="396"/>
      <c r="AF904" s="396"/>
      <c r="AG904" s="396"/>
      <c r="AH904" s="396"/>
      <c r="AI904" s="396"/>
      <c r="AJ904" s="415"/>
      <c r="AK904" s="415">
        <f t="shared" si="138"/>
        <v>0</v>
      </c>
      <c r="AL904" s="406"/>
      <c r="AM904" s="407">
        <f>AK904</f>
        <v>0</v>
      </c>
      <c r="AN904" s="585"/>
    </row>
    <row r="905" spans="3:40" ht="12.75" x14ac:dyDescent="0.2">
      <c r="C905" s="580"/>
      <c r="D905" s="643" t="s">
        <v>62</v>
      </c>
      <c r="E905" s="393" t="s">
        <v>18</v>
      </c>
      <c r="F905" s="394"/>
      <c r="G905" s="394"/>
      <c r="H905" s="393"/>
      <c r="I905" s="393"/>
      <c r="J905" s="394"/>
      <c r="K905" s="394"/>
      <c r="L905" s="394"/>
      <c r="M905" s="394"/>
      <c r="N905" s="393"/>
      <c r="O905" s="394"/>
      <c r="P905" s="393"/>
      <c r="Q905" s="393"/>
      <c r="R905" s="394"/>
      <c r="S905" s="394"/>
      <c r="T905" s="394"/>
      <c r="U905" s="394"/>
      <c r="V905" s="393"/>
      <c r="W905" s="393"/>
      <c r="X905" s="393"/>
      <c r="Y905" s="393"/>
      <c r="Z905" s="393"/>
      <c r="AA905" s="394"/>
      <c r="AB905" s="394"/>
      <c r="AC905" s="394"/>
      <c r="AD905" s="394"/>
      <c r="AE905" s="394"/>
      <c r="AF905" s="394"/>
      <c r="AG905" s="394"/>
      <c r="AH905" s="394"/>
      <c r="AI905" s="394"/>
      <c r="AJ905" s="414"/>
      <c r="AK905" s="414">
        <f t="shared" si="138"/>
        <v>0</v>
      </c>
      <c r="AL905" s="408">
        <f>AK905</f>
        <v>0</v>
      </c>
      <c r="AM905" s="409"/>
      <c r="AN905" s="633">
        <f>SUM(AL905:AM906)</f>
        <v>0</v>
      </c>
    </row>
    <row r="906" spans="3:40" ht="12.75" x14ac:dyDescent="0.2">
      <c r="C906" s="581"/>
      <c r="D906" s="577"/>
      <c r="E906" s="404" t="s">
        <v>19</v>
      </c>
      <c r="F906" s="396"/>
      <c r="G906" s="396"/>
      <c r="H906" s="404"/>
      <c r="I906" s="396"/>
      <c r="J906" s="396"/>
      <c r="K906" s="396"/>
      <c r="L906" s="404"/>
      <c r="M906" s="396"/>
      <c r="N906" s="396"/>
      <c r="O906" s="396"/>
      <c r="P906" s="404"/>
      <c r="Q906" s="396"/>
      <c r="R906" s="396"/>
      <c r="S906" s="404"/>
      <c r="T906" s="396"/>
      <c r="U906" s="396"/>
      <c r="V906" s="404"/>
      <c r="W906" s="404"/>
      <c r="X906" s="396"/>
      <c r="Y906" s="404"/>
      <c r="Z906" s="396"/>
      <c r="AA906" s="396"/>
      <c r="AB906" s="396"/>
      <c r="AC906" s="396"/>
      <c r="AD906" s="396"/>
      <c r="AE906" s="396"/>
      <c r="AF906" s="396"/>
      <c r="AG906" s="396"/>
      <c r="AH906" s="396"/>
      <c r="AI906" s="396"/>
      <c r="AJ906" s="415"/>
      <c r="AK906" s="415">
        <f t="shared" si="138"/>
        <v>0</v>
      </c>
      <c r="AL906" s="406"/>
      <c r="AM906" s="407">
        <f>AK906</f>
        <v>0</v>
      </c>
      <c r="AN906" s="583"/>
    </row>
    <row r="907" spans="3:40" ht="12.75" x14ac:dyDescent="0.2">
      <c r="C907" s="629" t="s">
        <v>63</v>
      </c>
      <c r="D907" s="644" t="s">
        <v>75</v>
      </c>
      <c r="E907" s="411" t="s">
        <v>18</v>
      </c>
      <c r="F907" s="412"/>
      <c r="G907" s="412"/>
      <c r="H907" s="412"/>
      <c r="I907" s="412"/>
      <c r="J907" s="412"/>
      <c r="K907" s="412"/>
      <c r="L907" s="412"/>
      <c r="M907" s="412"/>
      <c r="N907" s="412"/>
      <c r="O907" s="412"/>
      <c r="P907" s="412"/>
      <c r="Q907" s="412"/>
      <c r="R907" s="412"/>
      <c r="S907" s="412"/>
      <c r="T907" s="412"/>
      <c r="U907" s="412"/>
      <c r="V907" s="412"/>
      <c r="W907" s="411"/>
      <c r="X907" s="412"/>
      <c r="Y907" s="411"/>
      <c r="Z907" s="412"/>
      <c r="AA907" s="412"/>
      <c r="AB907" s="412"/>
      <c r="AC907" s="412"/>
      <c r="AD907" s="412"/>
      <c r="AE907" s="412"/>
      <c r="AF907" s="412"/>
      <c r="AG907" s="412"/>
      <c r="AH907" s="412"/>
      <c r="AI907" s="412"/>
      <c r="AJ907" s="417"/>
      <c r="AK907" s="395">
        <f t="shared" si="138"/>
        <v>0</v>
      </c>
      <c r="AL907" s="412">
        <f>AK907</f>
        <v>0</v>
      </c>
      <c r="AM907" s="409"/>
      <c r="AN907" s="633">
        <f>SUM(AL907:AM908)</f>
        <v>0</v>
      </c>
    </row>
    <row r="908" spans="3:40" ht="12.75" x14ac:dyDescent="0.2">
      <c r="C908" s="580"/>
      <c r="D908" s="577"/>
      <c r="E908" s="404" t="s">
        <v>19</v>
      </c>
      <c r="F908" s="396"/>
      <c r="G908" s="396"/>
      <c r="H908" s="396"/>
      <c r="I908" s="396"/>
      <c r="J908" s="396"/>
      <c r="K908" s="396"/>
      <c r="L908" s="396"/>
      <c r="M908" s="396"/>
      <c r="N908" s="396"/>
      <c r="O908" s="396"/>
      <c r="P908" s="396"/>
      <c r="Q908" s="396"/>
      <c r="R908" s="396"/>
      <c r="S908" s="396"/>
      <c r="T908" s="396"/>
      <c r="U908" s="396"/>
      <c r="V908" s="396"/>
      <c r="W908" s="396"/>
      <c r="X908" s="404"/>
      <c r="Y908" s="396"/>
      <c r="Z908" s="396"/>
      <c r="AA908" s="396"/>
      <c r="AB908" s="396"/>
      <c r="AC908" s="396"/>
      <c r="AD908" s="396"/>
      <c r="AE908" s="396"/>
      <c r="AF908" s="396"/>
      <c r="AG908" s="396"/>
      <c r="AH908" s="396"/>
      <c r="AI908" s="396"/>
      <c r="AJ908" s="415"/>
      <c r="AK908" s="405">
        <f t="shared" si="138"/>
        <v>0</v>
      </c>
      <c r="AL908" s="406"/>
      <c r="AM908" s="407">
        <f>AK908</f>
        <v>0</v>
      </c>
      <c r="AN908" s="583"/>
    </row>
    <row r="909" spans="3:40" ht="12.75" x14ac:dyDescent="0.2">
      <c r="C909" s="580"/>
      <c r="D909" s="643" t="s">
        <v>65</v>
      </c>
      <c r="E909" s="393" t="s">
        <v>18</v>
      </c>
      <c r="F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394"/>
      <c r="R909" s="394"/>
      <c r="S909" s="394"/>
      <c r="T909" s="394"/>
      <c r="U909" s="394"/>
      <c r="V909" s="394"/>
      <c r="W909" s="394"/>
      <c r="X909" s="394"/>
      <c r="Y909" s="394"/>
      <c r="Z909" s="394"/>
      <c r="AA909" s="394"/>
      <c r="AB909" s="394"/>
      <c r="AC909" s="394"/>
      <c r="AD909" s="394"/>
      <c r="AE909" s="394"/>
      <c r="AF909" s="394"/>
      <c r="AG909" s="394"/>
      <c r="AH909" s="394"/>
      <c r="AI909" s="394"/>
      <c r="AJ909" s="414"/>
      <c r="AK909" s="395">
        <f t="shared" si="138"/>
        <v>0</v>
      </c>
      <c r="AL909" s="408">
        <f>AK909</f>
        <v>0</v>
      </c>
      <c r="AM909" s="409"/>
      <c r="AN909" s="633">
        <f>SUM(AL909:AM910)</f>
        <v>40</v>
      </c>
    </row>
    <row r="910" spans="3:40" ht="12.75" x14ac:dyDescent="0.2">
      <c r="C910" s="581"/>
      <c r="D910" s="585"/>
      <c r="E910" s="410" t="s">
        <v>19</v>
      </c>
      <c r="F910" s="407"/>
      <c r="G910" s="407"/>
      <c r="H910" s="407"/>
      <c r="I910" s="407"/>
      <c r="J910" s="410"/>
      <c r="K910" s="407"/>
      <c r="L910" s="407"/>
      <c r="M910" s="407"/>
      <c r="N910" s="407"/>
      <c r="O910" s="407"/>
      <c r="P910" s="407"/>
      <c r="Q910" s="407"/>
      <c r="R910" s="407"/>
      <c r="S910" s="407"/>
      <c r="T910" s="407"/>
      <c r="U910" s="410">
        <v>40</v>
      </c>
      <c r="V910" s="410"/>
      <c r="W910" s="407"/>
      <c r="X910" s="407"/>
      <c r="Y910" s="407"/>
      <c r="Z910" s="407"/>
      <c r="AA910" s="407"/>
      <c r="AB910" s="407"/>
      <c r="AC910" s="407"/>
      <c r="AD910" s="407"/>
      <c r="AE910" s="407"/>
      <c r="AF910" s="407"/>
      <c r="AG910" s="407"/>
      <c r="AH910" s="407"/>
      <c r="AI910" s="407"/>
      <c r="AJ910" s="418"/>
      <c r="AK910" s="419">
        <f t="shared" si="138"/>
        <v>40</v>
      </c>
      <c r="AL910" s="406"/>
      <c r="AM910" s="407">
        <f>AK910</f>
        <v>40</v>
      </c>
      <c r="AN910" s="583"/>
    </row>
    <row r="911" spans="3:40" ht="12.75" x14ac:dyDescent="0.2">
      <c r="C911" s="420" t="s">
        <v>32</v>
      </c>
      <c r="D911" s="396"/>
      <c r="E911" s="396"/>
      <c r="F911" s="396">
        <f t="shared" ref="F911:AM911" si="142">SUM(F860:F910)</f>
        <v>62.04</v>
      </c>
      <c r="G911" s="396">
        <f t="shared" si="142"/>
        <v>26.55</v>
      </c>
      <c r="H911" s="396">
        <f t="shared" si="142"/>
        <v>10.870000000000001</v>
      </c>
      <c r="I911" s="396">
        <f t="shared" si="142"/>
        <v>63.980000000000004</v>
      </c>
      <c r="J911" s="396">
        <f t="shared" si="142"/>
        <v>18.100000000000001</v>
      </c>
      <c r="K911" s="396">
        <f t="shared" si="142"/>
        <v>17.740000000000002</v>
      </c>
      <c r="L911" s="396">
        <f t="shared" si="142"/>
        <v>201.38</v>
      </c>
      <c r="M911" s="396">
        <f t="shared" si="142"/>
        <v>150.78</v>
      </c>
      <c r="N911" s="396">
        <f t="shared" si="142"/>
        <v>71.91</v>
      </c>
      <c r="O911" s="396">
        <f t="shared" si="142"/>
        <v>16</v>
      </c>
      <c r="P911" s="396">
        <f t="shared" si="142"/>
        <v>16</v>
      </c>
      <c r="Q911" s="396">
        <f t="shared" si="142"/>
        <v>39.040000000000006</v>
      </c>
      <c r="R911" s="396">
        <f t="shared" si="142"/>
        <v>11.79</v>
      </c>
      <c r="S911" s="396">
        <f t="shared" si="142"/>
        <v>15.530000000000001</v>
      </c>
      <c r="T911" s="396">
        <f t="shared" si="142"/>
        <v>11.370000000000001</v>
      </c>
      <c r="U911" s="396">
        <f t="shared" si="142"/>
        <v>53.28</v>
      </c>
      <c r="V911" s="396">
        <f t="shared" si="142"/>
        <v>42.89</v>
      </c>
      <c r="W911" s="396">
        <f t="shared" si="142"/>
        <v>45.71</v>
      </c>
      <c r="X911" s="396">
        <f t="shared" si="142"/>
        <v>25</v>
      </c>
      <c r="Y911" s="396">
        <f t="shared" si="142"/>
        <v>148.34</v>
      </c>
      <c r="Z911" s="396">
        <f t="shared" si="142"/>
        <v>86.6</v>
      </c>
      <c r="AA911" s="396">
        <f t="shared" si="142"/>
        <v>37.43</v>
      </c>
      <c r="AB911" s="396">
        <f t="shared" si="142"/>
        <v>7.7</v>
      </c>
      <c r="AC911" s="396">
        <f t="shared" si="142"/>
        <v>40.559999999999995</v>
      </c>
      <c r="AD911" s="396">
        <f t="shared" si="142"/>
        <v>12.95</v>
      </c>
      <c r="AE911" s="396">
        <f t="shared" si="142"/>
        <v>20.73</v>
      </c>
      <c r="AF911" s="396">
        <f t="shared" si="142"/>
        <v>22.630000000000003</v>
      </c>
      <c r="AG911" s="396">
        <f t="shared" si="142"/>
        <v>19.7</v>
      </c>
      <c r="AH911" s="396">
        <f t="shared" si="142"/>
        <v>32.880000000000003</v>
      </c>
      <c r="AI911" s="396">
        <f t="shared" si="142"/>
        <v>44.32</v>
      </c>
      <c r="AJ911" s="396">
        <f t="shared" si="142"/>
        <v>48.190000000000005</v>
      </c>
      <c r="AK911" s="421">
        <f t="shared" si="142"/>
        <v>1366.99</v>
      </c>
      <c r="AL911" s="394">
        <f t="shared" si="142"/>
        <v>1271.99</v>
      </c>
      <c r="AM911" s="396">
        <f t="shared" si="142"/>
        <v>150</v>
      </c>
    </row>
    <row r="914" spans="3:45" ht="12.75" x14ac:dyDescent="0.2">
      <c r="F914" s="642" t="s">
        <v>80</v>
      </c>
      <c r="G914" s="577"/>
      <c r="H914" s="577"/>
      <c r="I914" s="577"/>
      <c r="J914" s="577"/>
      <c r="K914" s="577"/>
      <c r="L914" s="577"/>
      <c r="M914" s="577"/>
      <c r="N914" s="577"/>
      <c r="O914" s="577"/>
      <c r="P914" s="577"/>
      <c r="Q914" s="577"/>
      <c r="R914" s="577"/>
      <c r="S914" s="577"/>
      <c r="T914" s="577"/>
      <c r="U914" s="577"/>
      <c r="V914" s="577"/>
      <c r="W914" s="577"/>
      <c r="X914" s="577"/>
      <c r="Y914" s="577"/>
      <c r="Z914" s="577"/>
      <c r="AA914" s="577"/>
      <c r="AB914" s="577"/>
      <c r="AC914" s="577"/>
      <c r="AD914" s="577"/>
      <c r="AE914" s="577"/>
      <c r="AF914" s="577"/>
      <c r="AG914" s="577"/>
      <c r="AH914" s="577"/>
      <c r="AI914" s="577"/>
      <c r="AJ914" s="577"/>
    </row>
    <row r="915" spans="3:45" ht="12.75" x14ac:dyDescent="0.2">
      <c r="E915" s="362" t="s">
        <v>9</v>
      </c>
      <c r="F915" s="362" t="s">
        <v>16</v>
      </c>
      <c r="G915" s="362" t="s">
        <v>10</v>
      </c>
      <c r="H915" s="362" t="s">
        <v>11</v>
      </c>
      <c r="I915" s="362" t="s">
        <v>12</v>
      </c>
      <c r="J915" s="362" t="s">
        <v>13</v>
      </c>
      <c r="K915" s="362" t="s">
        <v>14</v>
      </c>
      <c r="L915" s="362" t="s">
        <v>15</v>
      </c>
      <c r="M915" s="362" t="s">
        <v>16</v>
      </c>
      <c r="N915" s="362" t="s">
        <v>10</v>
      </c>
      <c r="O915" s="362" t="s">
        <v>11</v>
      </c>
      <c r="P915" s="362" t="s">
        <v>12</v>
      </c>
      <c r="Q915" s="362" t="s">
        <v>13</v>
      </c>
      <c r="R915" s="362" t="s">
        <v>14</v>
      </c>
      <c r="S915" s="362" t="s">
        <v>15</v>
      </c>
      <c r="T915" s="362" t="s">
        <v>16</v>
      </c>
      <c r="U915" s="362" t="s">
        <v>10</v>
      </c>
      <c r="V915" s="362" t="s">
        <v>11</v>
      </c>
      <c r="W915" s="362" t="s">
        <v>12</v>
      </c>
      <c r="X915" s="362" t="s">
        <v>13</v>
      </c>
      <c r="Y915" s="362" t="s">
        <v>14</v>
      </c>
      <c r="Z915" s="362" t="s">
        <v>15</v>
      </c>
      <c r="AA915" s="362" t="s">
        <v>16</v>
      </c>
      <c r="AB915" s="362" t="s">
        <v>10</v>
      </c>
      <c r="AC915" s="362" t="s">
        <v>11</v>
      </c>
      <c r="AD915" s="362" t="s">
        <v>12</v>
      </c>
      <c r="AE915" s="362" t="s">
        <v>13</v>
      </c>
      <c r="AF915" s="362" t="s">
        <v>14</v>
      </c>
      <c r="AG915" s="362" t="s">
        <v>15</v>
      </c>
      <c r="AH915" s="362"/>
      <c r="AI915" s="362"/>
      <c r="AJ915" s="362"/>
      <c r="AK915" s="362"/>
      <c r="AL915" s="363"/>
      <c r="AM915" s="364"/>
      <c r="AN915" s="365"/>
      <c r="AP915" s="366"/>
      <c r="AQ915" s="367" t="s">
        <v>17</v>
      </c>
      <c r="AR915" s="367" t="s">
        <v>18</v>
      </c>
      <c r="AS915" s="367" t="s">
        <v>19</v>
      </c>
    </row>
    <row r="916" spans="3:45" ht="12.75" x14ac:dyDescent="0.2">
      <c r="E916" s="362" t="s">
        <v>20</v>
      </c>
      <c r="F916" s="362">
        <v>1</v>
      </c>
      <c r="G916" s="362">
        <v>2</v>
      </c>
      <c r="H916" s="362">
        <v>3</v>
      </c>
      <c r="I916" s="362">
        <v>4</v>
      </c>
      <c r="J916" s="362">
        <v>5</v>
      </c>
      <c r="K916" s="362">
        <v>6</v>
      </c>
      <c r="L916" s="362">
        <v>7</v>
      </c>
      <c r="M916" s="362">
        <v>8</v>
      </c>
      <c r="N916" s="362">
        <v>9</v>
      </c>
      <c r="O916" s="362">
        <v>10</v>
      </c>
      <c r="P916" s="362">
        <v>11</v>
      </c>
      <c r="Q916" s="362">
        <v>12</v>
      </c>
      <c r="R916" s="362">
        <v>13</v>
      </c>
      <c r="S916" s="362">
        <v>14</v>
      </c>
      <c r="T916" s="362">
        <v>15</v>
      </c>
      <c r="U916" s="362">
        <v>16</v>
      </c>
      <c r="V916" s="362">
        <v>17</v>
      </c>
      <c r="W916" s="362">
        <v>18</v>
      </c>
      <c r="X916" s="362">
        <v>19</v>
      </c>
      <c r="Y916" s="362">
        <v>20</v>
      </c>
      <c r="Z916" s="362">
        <v>21</v>
      </c>
      <c r="AA916" s="362">
        <v>22</v>
      </c>
      <c r="AB916" s="362">
        <v>23</v>
      </c>
      <c r="AC916" s="362">
        <v>24</v>
      </c>
      <c r="AD916" s="362">
        <v>25</v>
      </c>
      <c r="AE916" s="362">
        <v>26</v>
      </c>
      <c r="AF916" s="362">
        <v>27</v>
      </c>
      <c r="AG916" s="362">
        <v>28</v>
      </c>
      <c r="AH916" s="362"/>
      <c r="AI916" s="362"/>
      <c r="AJ916" s="362"/>
      <c r="AK916" s="362" t="s">
        <v>21</v>
      </c>
      <c r="AL916" s="363" t="s">
        <v>18</v>
      </c>
      <c r="AM916" s="364" t="s">
        <v>19</v>
      </c>
      <c r="AN916" s="368" t="s">
        <v>22</v>
      </c>
      <c r="AP916" s="367" t="s">
        <v>23</v>
      </c>
      <c r="AQ916" s="369">
        <f>AK927-AK979</f>
        <v>-100.41000000000008</v>
      </c>
      <c r="AR916" s="369">
        <f t="shared" ref="AR916:AS916" si="143">(AL927-AL979)</f>
        <v>-73.410000000000082</v>
      </c>
      <c r="AS916" s="369">
        <f t="shared" si="143"/>
        <v>-27</v>
      </c>
    </row>
    <row r="917" spans="3:45" ht="12.75" x14ac:dyDescent="0.2">
      <c r="C917" s="628" t="s">
        <v>24</v>
      </c>
      <c r="D917" s="370" t="s">
        <v>25</v>
      </c>
      <c r="E917" s="371" t="s">
        <v>18</v>
      </c>
      <c r="F917" s="372"/>
      <c r="G917" s="372"/>
      <c r="H917" s="371"/>
      <c r="I917" s="371"/>
      <c r="J917" s="371">
        <v>980</v>
      </c>
      <c r="K917" s="372"/>
      <c r="L917" s="372"/>
      <c r="M917" s="372"/>
      <c r="N917" s="372"/>
      <c r="O917" s="372"/>
      <c r="P917" s="372"/>
      <c r="Q917" s="372"/>
      <c r="R917" s="372"/>
      <c r="S917" s="372"/>
      <c r="T917" s="371"/>
      <c r="U917" s="372"/>
      <c r="V917" s="372"/>
      <c r="W917" s="371"/>
      <c r="X917" s="371"/>
      <c r="Y917" s="371">
        <v>525</v>
      </c>
      <c r="Z917" s="372"/>
      <c r="AA917" s="372"/>
      <c r="AB917" s="372"/>
      <c r="AC917" s="372"/>
      <c r="AD917" s="372"/>
      <c r="AE917" s="372"/>
      <c r="AF917" s="372"/>
      <c r="AG917" s="372"/>
      <c r="AH917" s="372"/>
      <c r="AI917" s="372"/>
      <c r="AJ917" s="372"/>
      <c r="AK917" s="373">
        <f t="shared" ref="AK917:AK926" si="144">SUM(F917:AJ917)</f>
        <v>1505</v>
      </c>
      <c r="AL917" s="366">
        <f t="shared" ref="AL917:AL918" si="145">AK917</f>
        <v>1505</v>
      </c>
      <c r="AM917" s="369"/>
      <c r="AN917" s="374">
        <f>AL917</f>
        <v>1505</v>
      </c>
    </row>
    <row r="918" spans="3:45" ht="12.75" x14ac:dyDescent="0.2">
      <c r="C918" s="580"/>
      <c r="D918" s="645" t="s">
        <v>26</v>
      </c>
      <c r="E918" s="363" t="s">
        <v>18</v>
      </c>
      <c r="F918" s="366"/>
      <c r="G918" s="366"/>
      <c r="H918" s="366"/>
      <c r="I918" s="366"/>
      <c r="J918" s="366"/>
      <c r="K918" s="366"/>
      <c r="L918" s="366"/>
      <c r="M918" s="366"/>
      <c r="N918" s="366"/>
      <c r="O918" s="366"/>
      <c r="P918" s="366"/>
      <c r="Q918" s="366"/>
      <c r="R918" s="366"/>
      <c r="S918" s="366"/>
      <c r="T918" s="366"/>
      <c r="U918" s="366"/>
      <c r="V918" s="366"/>
      <c r="W918" s="366"/>
      <c r="X918" s="363"/>
      <c r="Y918" s="366"/>
      <c r="Z918" s="366"/>
      <c r="AA918" s="366"/>
      <c r="AB918" s="366"/>
      <c r="AC918" s="366"/>
      <c r="AD918" s="366"/>
      <c r="AE918" s="366"/>
      <c r="AF918" s="366"/>
      <c r="AG918" s="366"/>
      <c r="AH918" s="366"/>
      <c r="AI918" s="366"/>
      <c r="AJ918" s="366"/>
      <c r="AK918" s="376">
        <f t="shared" si="144"/>
        <v>0</v>
      </c>
      <c r="AL918" s="377">
        <f t="shared" si="145"/>
        <v>0</v>
      </c>
      <c r="AM918" s="378"/>
      <c r="AN918" s="633">
        <f>SUM(AL918:AM919)</f>
        <v>0</v>
      </c>
    </row>
    <row r="919" spans="3:45" ht="12.75" x14ac:dyDescent="0.2">
      <c r="C919" s="580"/>
      <c r="D919" s="577"/>
      <c r="E919" s="364" t="s">
        <v>19</v>
      </c>
      <c r="F919" s="369"/>
      <c r="G919" s="369"/>
      <c r="H919" s="369"/>
      <c r="I919" s="369"/>
      <c r="J919" s="369"/>
      <c r="K919" s="369"/>
      <c r="L919" s="369"/>
      <c r="M919" s="369"/>
      <c r="N919" s="369"/>
      <c r="O919" s="369"/>
      <c r="P919" s="369"/>
      <c r="Q919" s="369"/>
      <c r="R919" s="369"/>
      <c r="S919" s="369"/>
      <c r="T919" s="369"/>
      <c r="U919" s="369"/>
      <c r="V919" s="369"/>
      <c r="W919" s="369"/>
      <c r="X919" s="369"/>
      <c r="Y919" s="369"/>
      <c r="Z919" s="369"/>
      <c r="AA919" s="369"/>
      <c r="AB919" s="369"/>
      <c r="AC919" s="369"/>
      <c r="AD919" s="369"/>
      <c r="AE919" s="369"/>
      <c r="AF919" s="369"/>
      <c r="AG919" s="369"/>
      <c r="AH919" s="369"/>
      <c r="AI919" s="369"/>
      <c r="AJ919" s="369"/>
      <c r="AK919" s="379">
        <f t="shared" si="144"/>
        <v>0</v>
      </c>
      <c r="AL919" s="380"/>
      <c r="AM919" s="381">
        <f t="shared" ref="AM919:AM920" si="146">AK919</f>
        <v>0</v>
      </c>
      <c r="AN919" s="583"/>
    </row>
    <row r="920" spans="3:45" ht="12.75" x14ac:dyDescent="0.2">
      <c r="C920" s="580"/>
      <c r="D920" s="375" t="s">
        <v>27</v>
      </c>
      <c r="E920" s="364" t="s">
        <v>19</v>
      </c>
      <c r="F920" s="369"/>
      <c r="G920" s="369"/>
      <c r="H920" s="369"/>
      <c r="I920" s="369"/>
      <c r="J920" s="369"/>
      <c r="K920" s="369"/>
      <c r="L920" s="369"/>
      <c r="M920" s="369"/>
      <c r="N920" s="369"/>
      <c r="O920" s="369"/>
      <c r="P920" s="369"/>
      <c r="Q920" s="369"/>
      <c r="R920" s="369"/>
      <c r="S920" s="369"/>
      <c r="T920" s="369"/>
      <c r="U920" s="369"/>
      <c r="V920" s="369"/>
      <c r="W920" s="369"/>
      <c r="X920" s="369"/>
      <c r="Y920" s="369"/>
      <c r="Z920" s="369"/>
      <c r="AA920" s="369"/>
      <c r="AB920" s="369"/>
      <c r="AC920" s="369"/>
      <c r="AD920" s="369"/>
      <c r="AE920" s="369"/>
      <c r="AF920" s="369"/>
      <c r="AG920" s="369"/>
      <c r="AH920" s="369"/>
      <c r="AI920" s="369"/>
      <c r="AJ920" s="369"/>
      <c r="AK920" s="379">
        <f t="shared" si="144"/>
        <v>0</v>
      </c>
      <c r="AL920" s="366"/>
      <c r="AM920" s="369">
        <f t="shared" si="146"/>
        <v>0</v>
      </c>
      <c r="AN920" s="374">
        <f>AM920</f>
        <v>0</v>
      </c>
    </row>
    <row r="921" spans="3:45" ht="12.75" x14ac:dyDescent="0.2">
      <c r="C921" s="580"/>
      <c r="D921" s="645" t="s">
        <v>28</v>
      </c>
      <c r="E921" s="363" t="s">
        <v>18</v>
      </c>
      <c r="F921" s="363"/>
      <c r="G921" s="366"/>
      <c r="H921" s="366"/>
      <c r="I921" s="366"/>
      <c r="J921" s="366"/>
      <c r="K921" s="363"/>
      <c r="L921" s="366"/>
      <c r="M921" s="366"/>
      <c r="N921" s="366"/>
      <c r="O921" s="366"/>
      <c r="P921" s="366"/>
      <c r="Q921" s="363">
        <v>14</v>
      </c>
      <c r="R921" s="366"/>
      <c r="S921" s="366"/>
      <c r="T921" s="366"/>
      <c r="U921" s="366"/>
      <c r="V921" s="366"/>
      <c r="W921" s="366"/>
      <c r="X921" s="366"/>
      <c r="Y921" s="366"/>
      <c r="Z921" s="363"/>
      <c r="AA921" s="366"/>
      <c r="AB921" s="366"/>
      <c r="AC921" s="366"/>
      <c r="AD921" s="366"/>
      <c r="AE921" s="366"/>
      <c r="AF921" s="366"/>
      <c r="AG921" s="366"/>
      <c r="AH921" s="366"/>
      <c r="AI921" s="366"/>
      <c r="AJ921" s="366"/>
      <c r="AK921" s="376">
        <f t="shared" si="144"/>
        <v>14</v>
      </c>
      <c r="AL921" s="377">
        <f>AK921</f>
        <v>14</v>
      </c>
      <c r="AM921" s="378"/>
      <c r="AN921" s="633">
        <f>SUM(AL921:AM922)</f>
        <v>14</v>
      </c>
    </row>
    <row r="922" spans="3:45" ht="12.75" x14ac:dyDescent="0.2">
      <c r="C922" s="580"/>
      <c r="D922" s="577"/>
      <c r="E922" s="364" t="s">
        <v>19</v>
      </c>
      <c r="F922" s="364"/>
      <c r="G922" s="364"/>
      <c r="H922" s="364"/>
      <c r="I922" s="369"/>
      <c r="J922" s="364"/>
      <c r="K922" s="364"/>
      <c r="L922" s="364"/>
      <c r="M922" s="369"/>
      <c r="N922" s="369"/>
      <c r="O922" s="369"/>
      <c r="P922" s="369"/>
      <c r="Q922" s="364"/>
      <c r="R922" s="369"/>
      <c r="S922" s="364"/>
      <c r="T922" s="369"/>
      <c r="U922" s="369"/>
      <c r="V922" s="369"/>
      <c r="W922" s="364"/>
      <c r="X922" s="364"/>
      <c r="Y922" s="369"/>
      <c r="Z922" s="369"/>
      <c r="AA922" s="369"/>
      <c r="AB922" s="369"/>
      <c r="AC922" s="369"/>
      <c r="AD922" s="369"/>
      <c r="AE922" s="369"/>
      <c r="AF922" s="369"/>
      <c r="AG922" s="369"/>
      <c r="AH922" s="369"/>
      <c r="AI922" s="364"/>
      <c r="AJ922" s="369"/>
      <c r="AK922" s="379">
        <f t="shared" si="144"/>
        <v>0</v>
      </c>
      <c r="AL922" s="380"/>
      <c r="AM922" s="381">
        <f>AK922</f>
        <v>0</v>
      </c>
      <c r="AN922" s="583"/>
    </row>
    <row r="923" spans="3:45" ht="12.75" x14ac:dyDescent="0.2">
      <c r="C923" s="580"/>
      <c r="D923" s="645" t="s">
        <v>29</v>
      </c>
      <c r="E923" s="363" t="s">
        <v>18</v>
      </c>
      <c r="F923" s="366"/>
      <c r="G923" s="366"/>
      <c r="H923" s="366"/>
      <c r="I923" s="366"/>
      <c r="J923" s="366"/>
      <c r="K923" s="366"/>
      <c r="L923" s="366"/>
      <c r="M923" s="363"/>
      <c r="N923" s="363"/>
      <c r="O923" s="366"/>
      <c r="P923" s="366"/>
      <c r="Q923" s="366"/>
      <c r="R923" s="366"/>
      <c r="S923" s="366"/>
      <c r="T923" s="366"/>
      <c r="U923" s="366"/>
      <c r="V923" s="366"/>
      <c r="W923" s="366"/>
      <c r="X923" s="366"/>
      <c r="Y923" s="366"/>
      <c r="Z923" s="366"/>
      <c r="AA923" s="366"/>
      <c r="AB923" s="363"/>
      <c r="AC923" s="366"/>
      <c r="AD923" s="363"/>
      <c r="AE923" s="366"/>
      <c r="AF923" s="366"/>
      <c r="AG923" s="366"/>
      <c r="AH923" s="366"/>
      <c r="AI923" s="366"/>
      <c r="AJ923" s="366"/>
      <c r="AK923" s="376">
        <f t="shared" si="144"/>
        <v>0</v>
      </c>
      <c r="AL923" s="377">
        <f>AK923</f>
        <v>0</v>
      </c>
      <c r="AM923" s="378"/>
      <c r="AN923" s="633">
        <f>SUM(AL923:AM924)</f>
        <v>0</v>
      </c>
    </row>
    <row r="924" spans="3:45" ht="12.75" x14ac:dyDescent="0.2">
      <c r="C924" s="580"/>
      <c r="D924" s="577"/>
      <c r="E924" s="364" t="s">
        <v>19</v>
      </c>
      <c r="F924" s="369"/>
      <c r="G924" s="369"/>
      <c r="H924" s="369"/>
      <c r="I924" s="369"/>
      <c r="J924" s="369"/>
      <c r="K924" s="369"/>
      <c r="L924" s="369"/>
      <c r="M924" s="369"/>
      <c r="N924" s="369"/>
      <c r="O924" s="369"/>
      <c r="P924" s="369"/>
      <c r="Q924" s="369"/>
      <c r="R924" s="369"/>
      <c r="S924" s="369"/>
      <c r="T924" s="369"/>
      <c r="U924" s="369"/>
      <c r="V924" s="369"/>
      <c r="W924" s="369"/>
      <c r="X924" s="369"/>
      <c r="Y924" s="369"/>
      <c r="Z924" s="369"/>
      <c r="AA924" s="369"/>
      <c r="AB924" s="364"/>
      <c r="AC924" s="369"/>
      <c r="AD924" s="369"/>
      <c r="AE924" s="369"/>
      <c r="AF924" s="369"/>
      <c r="AG924" s="369"/>
      <c r="AH924" s="369"/>
      <c r="AI924" s="369"/>
      <c r="AJ924" s="369"/>
      <c r="AK924" s="379">
        <f t="shared" si="144"/>
        <v>0</v>
      </c>
      <c r="AL924" s="380"/>
      <c r="AM924" s="381">
        <f>AK924</f>
        <v>0</v>
      </c>
      <c r="AN924" s="583"/>
    </row>
    <row r="925" spans="3:45" ht="12.75" x14ac:dyDescent="0.2">
      <c r="C925" s="580"/>
      <c r="D925" s="645" t="s">
        <v>31</v>
      </c>
      <c r="E925" s="363" t="s">
        <v>18</v>
      </c>
      <c r="F925" s="366"/>
      <c r="G925" s="366"/>
      <c r="H925" s="366"/>
      <c r="I925" s="366"/>
      <c r="J925" s="366"/>
      <c r="K925" s="366"/>
      <c r="L925" s="366"/>
      <c r="M925" s="366"/>
      <c r="N925" s="366"/>
      <c r="O925" s="366"/>
      <c r="P925" s="366"/>
      <c r="Q925" s="366"/>
      <c r="R925" s="366"/>
      <c r="S925" s="366"/>
      <c r="T925" s="366"/>
      <c r="U925" s="366"/>
      <c r="V925" s="366"/>
      <c r="W925" s="366"/>
      <c r="X925" s="366"/>
      <c r="Y925" s="366"/>
      <c r="Z925" s="366"/>
      <c r="AA925" s="366"/>
      <c r="AB925" s="366"/>
      <c r="AC925" s="366"/>
      <c r="AD925" s="366"/>
      <c r="AE925" s="366"/>
      <c r="AF925" s="366"/>
      <c r="AG925" s="366"/>
      <c r="AH925" s="366"/>
      <c r="AI925" s="366"/>
      <c r="AJ925" s="366"/>
      <c r="AK925" s="376">
        <f t="shared" si="144"/>
        <v>0</v>
      </c>
      <c r="AL925" s="377">
        <f>AK925</f>
        <v>0</v>
      </c>
      <c r="AM925" s="378"/>
      <c r="AN925" s="633">
        <f>SUM(AL925:AM926)</f>
        <v>50</v>
      </c>
    </row>
    <row r="926" spans="3:45" ht="12.75" x14ac:dyDescent="0.2">
      <c r="C926" s="581"/>
      <c r="D926" s="585"/>
      <c r="E926" s="382" t="s">
        <v>19</v>
      </c>
      <c r="F926" s="381"/>
      <c r="G926" s="381"/>
      <c r="H926" s="381"/>
      <c r="I926" s="381"/>
      <c r="J926" s="381"/>
      <c r="K926" s="382"/>
      <c r="L926" s="381"/>
      <c r="M926" s="382"/>
      <c r="N926" s="382"/>
      <c r="O926" s="382"/>
      <c r="P926" s="381"/>
      <c r="Q926" s="381"/>
      <c r="R926" s="381"/>
      <c r="S926" s="381"/>
      <c r="T926" s="381"/>
      <c r="U926" s="381"/>
      <c r="V926" s="381"/>
      <c r="W926" s="381"/>
      <c r="X926" s="382"/>
      <c r="Y926" s="381"/>
      <c r="Z926" s="382"/>
      <c r="AA926" s="382">
        <v>50</v>
      </c>
      <c r="AB926" s="381"/>
      <c r="AC926" s="381"/>
      <c r="AD926" s="381"/>
      <c r="AE926" s="381"/>
      <c r="AF926" s="381"/>
      <c r="AG926" s="381"/>
      <c r="AH926" s="381"/>
      <c r="AI926" s="381"/>
      <c r="AJ926" s="381"/>
      <c r="AK926" s="383">
        <f t="shared" si="144"/>
        <v>50</v>
      </c>
      <c r="AL926" s="380"/>
      <c r="AM926" s="381">
        <f>AK926</f>
        <v>50</v>
      </c>
      <c r="AN926" s="583"/>
    </row>
    <row r="927" spans="3:45" ht="12.75" x14ac:dyDescent="0.2">
      <c r="C927" s="362" t="s">
        <v>32</v>
      </c>
      <c r="D927" s="384"/>
      <c r="E927" s="369"/>
      <c r="F927" s="369"/>
      <c r="G927" s="369"/>
      <c r="H927" s="369"/>
      <c r="I927" s="369"/>
      <c r="J927" s="369"/>
      <c r="K927" s="369"/>
      <c r="L927" s="369"/>
      <c r="M927" s="369"/>
      <c r="N927" s="369"/>
      <c r="O927" s="369"/>
      <c r="P927" s="369"/>
      <c r="Q927" s="369"/>
      <c r="R927" s="369"/>
      <c r="S927" s="369"/>
      <c r="T927" s="369"/>
      <c r="U927" s="369"/>
      <c r="V927" s="369"/>
      <c r="W927" s="369"/>
      <c r="X927" s="369"/>
      <c r="Y927" s="369"/>
      <c r="Z927" s="369"/>
      <c r="AA927" s="369"/>
      <c r="AB927" s="369"/>
      <c r="AC927" s="369"/>
      <c r="AD927" s="369"/>
      <c r="AE927" s="369"/>
      <c r="AF927" s="369"/>
      <c r="AG927" s="369"/>
      <c r="AH927" s="369"/>
      <c r="AI927" s="369"/>
      <c r="AJ927" s="369"/>
      <c r="AK927" s="385">
        <f t="shared" ref="AK927:AM927" si="147">SUM(AK917:AK926)</f>
        <v>1569</v>
      </c>
      <c r="AL927" s="366">
        <f t="shared" si="147"/>
        <v>1519</v>
      </c>
      <c r="AM927" s="369">
        <f t="shared" si="147"/>
        <v>50</v>
      </c>
      <c r="AN927" s="374"/>
    </row>
    <row r="928" spans="3:45" ht="12.75" x14ac:dyDescent="0.2">
      <c r="C928" s="629" t="s">
        <v>33</v>
      </c>
      <c r="D928" s="386" t="s">
        <v>34</v>
      </c>
      <c r="E928" s="387" t="s">
        <v>19</v>
      </c>
      <c r="F928" s="388"/>
      <c r="G928" s="388"/>
      <c r="H928" s="388"/>
      <c r="I928" s="388"/>
      <c r="J928" s="387">
        <v>50</v>
      </c>
      <c r="K928" s="387"/>
      <c r="L928" s="388"/>
      <c r="M928" s="388"/>
      <c r="N928" s="388"/>
      <c r="O928" s="388"/>
      <c r="P928" s="388"/>
      <c r="Q928" s="388"/>
      <c r="R928" s="388"/>
      <c r="S928" s="388"/>
      <c r="T928" s="388"/>
      <c r="U928" s="388"/>
      <c r="V928" s="388"/>
      <c r="W928" s="388"/>
      <c r="X928" s="388"/>
      <c r="Y928" s="388"/>
      <c r="Z928" s="388"/>
      <c r="AA928" s="388"/>
      <c r="AB928" s="388"/>
      <c r="AC928" s="388"/>
      <c r="AD928" s="388"/>
      <c r="AE928" s="388"/>
      <c r="AF928" s="388"/>
      <c r="AG928" s="388"/>
      <c r="AH928" s="388"/>
      <c r="AI928" s="388"/>
      <c r="AJ928" s="388"/>
      <c r="AK928" s="389">
        <f t="shared" ref="AK928:AK929" si="148">SUM(F928:AJ928)</f>
        <v>50</v>
      </c>
      <c r="AL928" s="390"/>
      <c r="AM928" s="388">
        <f>AK928</f>
        <v>50</v>
      </c>
      <c r="AN928" s="391">
        <f>AM928</f>
        <v>50</v>
      </c>
    </row>
    <row r="929" spans="3:40" ht="12.75" x14ac:dyDescent="0.2">
      <c r="C929" s="580"/>
      <c r="D929" s="392" t="s">
        <v>35</v>
      </c>
      <c r="E929" s="393" t="s">
        <v>18</v>
      </c>
      <c r="F929" s="394"/>
      <c r="G929" s="394"/>
      <c r="H929" s="394"/>
      <c r="I929" s="393"/>
      <c r="J929" s="393">
        <v>10</v>
      </c>
      <c r="K929" s="394"/>
      <c r="L929" s="394"/>
      <c r="M929" s="394"/>
      <c r="N929" s="394"/>
      <c r="O929" s="394"/>
      <c r="P929" s="394"/>
      <c r="Q929" s="394"/>
      <c r="R929" s="394"/>
      <c r="S929" s="394"/>
      <c r="T929" s="394"/>
      <c r="U929" s="394"/>
      <c r="V929" s="394"/>
      <c r="W929" s="394"/>
      <c r="X929" s="394"/>
      <c r="Y929" s="393"/>
      <c r="Z929" s="394"/>
      <c r="AA929" s="394"/>
      <c r="AB929" s="394"/>
      <c r="AC929" s="394"/>
      <c r="AD929" s="394"/>
      <c r="AE929" s="394"/>
      <c r="AF929" s="394"/>
      <c r="AG929" s="394"/>
      <c r="AH929" s="394"/>
      <c r="AI929" s="394"/>
      <c r="AJ929" s="394"/>
      <c r="AK929" s="395">
        <f t="shared" si="148"/>
        <v>10</v>
      </c>
      <c r="AL929" s="394">
        <f>AK929</f>
        <v>10</v>
      </c>
      <c r="AM929" s="396"/>
      <c r="AN929" s="397">
        <f>AL929</f>
        <v>10</v>
      </c>
    </row>
    <row r="930" spans="3:40" ht="12.75" x14ac:dyDescent="0.2">
      <c r="C930" s="580"/>
      <c r="D930" s="651" t="s">
        <v>36</v>
      </c>
      <c r="E930" s="393" t="s">
        <v>18</v>
      </c>
      <c r="F930" s="394"/>
      <c r="G930" s="394"/>
      <c r="H930" s="394"/>
      <c r="I930" s="394"/>
      <c r="J930" s="393"/>
      <c r="K930" s="394"/>
      <c r="L930" s="393"/>
      <c r="M930" s="394"/>
      <c r="N930" s="394"/>
      <c r="O930" s="394"/>
      <c r="P930" s="394"/>
      <c r="Q930" s="394"/>
      <c r="R930" s="394"/>
      <c r="S930" s="394"/>
      <c r="T930" s="394"/>
      <c r="U930" s="394"/>
      <c r="V930" s="394"/>
      <c r="W930" s="394"/>
      <c r="X930" s="394"/>
      <c r="Y930" s="394"/>
      <c r="Z930" s="394"/>
      <c r="AA930" s="394"/>
      <c r="AB930" s="394"/>
      <c r="AC930" s="394"/>
      <c r="AD930" s="394"/>
      <c r="AE930" s="394"/>
      <c r="AF930" s="394"/>
      <c r="AG930" s="394"/>
      <c r="AH930" s="394"/>
      <c r="AI930" s="394"/>
      <c r="AJ930" s="394"/>
      <c r="AK930" s="395"/>
      <c r="AL930" s="394">
        <f>SUM(F930:AJ930)</f>
        <v>0</v>
      </c>
      <c r="AM930" s="396"/>
      <c r="AN930" s="636">
        <f>SUM(AL930:AM931)</f>
        <v>27</v>
      </c>
    </row>
    <row r="931" spans="3:40" ht="12.75" x14ac:dyDescent="0.2">
      <c r="C931" s="580"/>
      <c r="D931" s="650"/>
      <c r="E931" s="398" t="s">
        <v>19</v>
      </c>
      <c r="F931" s="399"/>
      <c r="G931" s="399"/>
      <c r="H931" s="399"/>
      <c r="I931" s="399"/>
      <c r="J931" s="398">
        <v>27</v>
      </c>
      <c r="K931" s="399"/>
      <c r="L931" s="398"/>
      <c r="M931" s="399"/>
      <c r="N931" s="399"/>
      <c r="O931" s="399"/>
      <c r="P931" s="399"/>
      <c r="Q931" s="399"/>
      <c r="R931" s="399"/>
      <c r="S931" s="399"/>
      <c r="T931" s="399"/>
      <c r="U931" s="399"/>
      <c r="V931" s="399"/>
      <c r="W931" s="399"/>
      <c r="X931" s="399"/>
      <c r="Y931" s="399"/>
      <c r="Z931" s="399"/>
      <c r="AA931" s="399"/>
      <c r="AB931" s="399"/>
      <c r="AC931" s="399"/>
      <c r="AD931" s="399"/>
      <c r="AE931" s="399"/>
      <c r="AF931" s="399"/>
      <c r="AG931" s="399"/>
      <c r="AH931" s="399"/>
      <c r="AI931" s="399"/>
      <c r="AJ931" s="399"/>
      <c r="AK931" s="400">
        <f t="shared" ref="AK931:AK978" si="149">SUM(F931:AJ931)</f>
        <v>27</v>
      </c>
      <c r="AL931" s="401"/>
      <c r="AM931" s="399">
        <f>AK931</f>
        <v>27</v>
      </c>
      <c r="AN931" s="590"/>
    </row>
    <row r="932" spans="3:40" ht="12.75" x14ac:dyDescent="0.2">
      <c r="C932" s="580"/>
      <c r="D932" s="643" t="s">
        <v>37</v>
      </c>
      <c r="E932" s="393" t="s">
        <v>18</v>
      </c>
      <c r="F932" s="393"/>
      <c r="G932" s="393"/>
      <c r="H932" s="394"/>
      <c r="I932" s="393"/>
      <c r="J932" s="394"/>
      <c r="K932" s="394"/>
      <c r="L932" s="394"/>
      <c r="M932" s="394"/>
      <c r="N932" s="393"/>
      <c r="O932" s="393"/>
      <c r="P932" s="394"/>
      <c r="Q932" s="393"/>
      <c r="R932" s="393"/>
      <c r="S932" s="393"/>
      <c r="T932" s="393"/>
      <c r="U932" s="394"/>
      <c r="V932" s="393"/>
      <c r="W932" s="393"/>
      <c r="X932" s="393"/>
      <c r="Y932" s="393"/>
      <c r="Z932" s="393"/>
      <c r="AA932" s="394">
        <f>16.1+17.5+26.9</f>
        <v>60.5</v>
      </c>
      <c r="AB932" s="394"/>
      <c r="AC932" s="394"/>
      <c r="AD932" s="393"/>
      <c r="AE932" s="393">
        <v>9.9</v>
      </c>
      <c r="AF932" s="393"/>
      <c r="AG932" s="394"/>
      <c r="AH932" s="394"/>
      <c r="AI932" s="394"/>
      <c r="AJ932" s="394"/>
      <c r="AK932" s="395">
        <f t="shared" si="149"/>
        <v>70.400000000000006</v>
      </c>
      <c r="AL932" s="403">
        <f>AK932</f>
        <v>70.400000000000006</v>
      </c>
      <c r="AM932" s="396"/>
      <c r="AN932" s="634">
        <f>SUM(AL932:AM933)</f>
        <v>70.400000000000006</v>
      </c>
    </row>
    <row r="933" spans="3:40" ht="12.75" x14ac:dyDescent="0.2">
      <c r="C933" s="580"/>
      <c r="D933" s="577"/>
      <c r="E933" s="404" t="s">
        <v>19</v>
      </c>
      <c r="F933" s="396"/>
      <c r="G933" s="396"/>
      <c r="H933" s="404"/>
      <c r="I933" s="396"/>
      <c r="J933" s="396"/>
      <c r="K933" s="396"/>
      <c r="L933" s="404"/>
      <c r="M933" s="396"/>
      <c r="N933" s="404"/>
      <c r="O933" s="396"/>
      <c r="P933" s="396"/>
      <c r="Q933" s="396"/>
      <c r="R933" s="396"/>
      <c r="S933" s="396"/>
      <c r="T933" s="404"/>
      <c r="U933" s="404"/>
      <c r="V933" s="404"/>
      <c r="W933" s="404"/>
      <c r="X933" s="404"/>
      <c r="Y933" s="396"/>
      <c r="Z933" s="396"/>
      <c r="AA933" s="404"/>
      <c r="AB933" s="404"/>
      <c r="AC933" s="404"/>
      <c r="AD933" s="404"/>
      <c r="AE933" s="404"/>
      <c r="AF933" s="396"/>
      <c r="AG933" s="396"/>
      <c r="AH933" s="396"/>
      <c r="AI933" s="396"/>
      <c r="AJ933" s="396"/>
      <c r="AK933" s="405">
        <f t="shared" si="149"/>
        <v>0</v>
      </c>
      <c r="AL933" s="406"/>
      <c r="AM933" s="407">
        <f>AK933</f>
        <v>0</v>
      </c>
      <c r="AN933" s="583"/>
    </row>
    <row r="934" spans="3:40" ht="12.75" x14ac:dyDescent="0.2">
      <c r="C934" s="580"/>
      <c r="D934" s="402" t="s">
        <v>38</v>
      </c>
      <c r="E934" s="393" t="s">
        <v>18</v>
      </c>
      <c r="F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394"/>
      <c r="R934" s="394"/>
      <c r="S934" s="394"/>
      <c r="T934" s="394"/>
      <c r="U934" s="394"/>
      <c r="V934" s="394"/>
      <c r="W934" s="394"/>
      <c r="X934" s="394"/>
      <c r="Y934" s="394"/>
      <c r="Z934" s="393"/>
      <c r="AA934" s="393"/>
      <c r="AB934" s="393"/>
      <c r="AC934" s="393"/>
      <c r="AD934" s="394"/>
      <c r="AE934" s="394"/>
      <c r="AF934" s="394"/>
      <c r="AG934" s="394"/>
      <c r="AH934" s="394"/>
      <c r="AI934" s="394"/>
      <c r="AJ934" s="394"/>
      <c r="AK934" s="395">
        <f t="shared" si="149"/>
        <v>0</v>
      </c>
      <c r="AL934" s="394">
        <f t="shared" ref="AL934:AL936" si="150">AK934</f>
        <v>0</v>
      </c>
      <c r="AM934" s="396"/>
      <c r="AN934" s="374">
        <f t="shared" ref="AN934:AN935" si="151">AL934</f>
        <v>0</v>
      </c>
    </row>
    <row r="935" spans="3:40" ht="12.75" x14ac:dyDescent="0.2">
      <c r="C935" s="580"/>
      <c r="D935" s="402" t="s">
        <v>39</v>
      </c>
      <c r="E935" s="393" t="s">
        <v>18</v>
      </c>
      <c r="F935" s="394"/>
      <c r="G935" s="394"/>
      <c r="H935" s="394"/>
      <c r="I935" s="394"/>
      <c r="J935" s="394"/>
      <c r="K935" s="394"/>
      <c r="L935" s="394"/>
      <c r="M935" s="393"/>
      <c r="N935" s="394"/>
      <c r="O935" s="394"/>
      <c r="P935" s="394"/>
      <c r="Q935" s="394"/>
      <c r="R935" s="394"/>
      <c r="S935" s="394"/>
      <c r="T935" s="394"/>
      <c r="U935" s="394"/>
      <c r="V935" s="394"/>
      <c r="W935" s="394"/>
      <c r="X935" s="394"/>
      <c r="Y935" s="394"/>
      <c r="Z935" s="394"/>
      <c r="AA935" s="394"/>
      <c r="AB935" s="394"/>
      <c r="AC935" s="394"/>
      <c r="AD935" s="394"/>
      <c r="AE935" s="394"/>
      <c r="AF935" s="394"/>
      <c r="AG935" s="394"/>
      <c r="AH935" s="394"/>
      <c r="AI935" s="394"/>
      <c r="AJ935" s="394"/>
      <c r="AK935" s="395">
        <f t="shared" si="149"/>
        <v>0</v>
      </c>
      <c r="AL935" s="394">
        <f t="shared" si="150"/>
        <v>0</v>
      </c>
      <c r="AM935" s="396"/>
      <c r="AN935" s="374">
        <f t="shared" si="151"/>
        <v>0</v>
      </c>
    </row>
    <row r="936" spans="3:40" ht="12.75" x14ac:dyDescent="0.2">
      <c r="C936" s="580"/>
      <c r="D936" s="643" t="s">
        <v>40</v>
      </c>
      <c r="E936" s="393" t="s">
        <v>18</v>
      </c>
      <c r="F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394"/>
      <c r="R936" s="394"/>
      <c r="S936" s="394"/>
      <c r="T936" s="394"/>
      <c r="U936" s="394"/>
      <c r="V936" s="394"/>
      <c r="W936" s="394"/>
      <c r="X936" s="394"/>
      <c r="Y936" s="394"/>
      <c r="Z936" s="394"/>
      <c r="AA936" s="394"/>
      <c r="AB936" s="394"/>
      <c r="AC936" s="394"/>
      <c r="AD936" s="394"/>
      <c r="AE936" s="394"/>
      <c r="AF936" s="394"/>
      <c r="AG936" s="394"/>
      <c r="AH936" s="394"/>
      <c r="AI936" s="394"/>
      <c r="AJ936" s="394"/>
      <c r="AK936" s="395">
        <f t="shared" si="149"/>
        <v>0</v>
      </c>
      <c r="AL936" s="408">
        <f t="shared" si="150"/>
        <v>0</v>
      </c>
      <c r="AM936" s="409"/>
      <c r="AN936" s="633">
        <f>SUM(AL936:AM937)</f>
        <v>0</v>
      </c>
    </row>
    <row r="937" spans="3:40" ht="12.75" x14ac:dyDescent="0.2">
      <c r="C937" s="580"/>
      <c r="D937" s="577"/>
      <c r="E937" s="404" t="s">
        <v>19</v>
      </c>
      <c r="F937" s="396"/>
      <c r="G937" s="396"/>
      <c r="H937" s="396"/>
      <c r="I937" s="396"/>
      <c r="J937" s="396"/>
      <c r="K937" s="396"/>
      <c r="L937" s="396"/>
      <c r="M937" s="396"/>
      <c r="N937" s="396"/>
      <c r="O937" s="396"/>
      <c r="P937" s="396"/>
      <c r="Q937" s="396"/>
      <c r="R937" s="396"/>
      <c r="S937" s="396"/>
      <c r="T937" s="396"/>
      <c r="U937" s="396"/>
      <c r="V937" s="396"/>
      <c r="W937" s="396"/>
      <c r="X937" s="396"/>
      <c r="Y937" s="396"/>
      <c r="Z937" s="396"/>
      <c r="AA937" s="396"/>
      <c r="AB937" s="396"/>
      <c r="AC937" s="396"/>
      <c r="AD937" s="396"/>
      <c r="AE937" s="396"/>
      <c r="AF937" s="396"/>
      <c r="AG937" s="396"/>
      <c r="AH937" s="396"/>
      <c r="AI937" s="396"/>
      <c r="AJ937" s="396"/>
      <c r="AK937" s="405">
        <f t="shared" si="149"/>
        <v>0</v>
      </c>
      <c r="AL937" s="406"/>
      <c r="AM937" s="407">
        <f>AK937</f>
        <v>0</v>
      </c>
      <c r="AN937" s="583"/>
    </row>
    <row r="938" spans="3:40" ht="12.75" x14ac:dyDescent="0.2">
      <c r="C938" s="580"/>
      <c r="D938" s="643" t="s">
        <v>41</v>
      </c>
      <c r="E938" s="393" t="s">
        <v>18</v>
      </c>
      <c r="F938" s="393"/>
      <c r="G938" s="393"/>
      <c r="H938" s="394"/>
      <c r="I938" s="393"/>
      <c r="J938" s="394"/>
      <c r="K938" s="394"/>
      <c r="L938" s="393"/>
      <c r="M938" s="394"/>
      <c r="N938" s="394"/>
      <c r="O938" s="394"/>
      <c r="P938" s="394"/>
      <c r="Q938" s="394"/>
      <c r="R938" s="394"/>
      <c r="S938" s="393"/>
      <c r="T938" s="394"/>
      <c r="U938" s="394"/>
      <c r="V938" s="394"/>
      <c r="W938" s="394"/>
      <c r="X938" s="394"/>
      <c r="Y938" s="394"/>
      <c r="Z938" s="394"/>
      <c r="AA938" s="393"/>
      <c r="AB938" s="394"/>
      <c r="AC938" s="394"/>
      <c r="AD938" s="394"/>
      <c r="AE938" s="394"/>
      <c r="AF938" s="393">
        <v>33.5</v>
      </c>
      <c r="AG938" s="394"/>
      <c r="AH938" s="394"/>
      <c r="AI938" s="394"/>
      <c r="AJ938" s="394"/>
      <c r="AK938" s="395">
        <f t="shared" si="149"/>
        <v>33.5</v>
      </c>
      <c r="AL938" s="408">
        <f>AK938</f>
        <v>33.5</v>
      </c>
      <c r="AM938" s="409"/>
      <c r="AN938" s="633">
        <f>SUM(AL938:AM939)</f>
        <v>33.5</v>
      </c>
    </row>
    <row r="939" spans="3:40" ht="12.75" x14ac:dyDescent="0.2">
      <c r="C939" s="580"/>
      <c r="D939" s="577"/>
      <c r="E939" s="404" t="s">
        <v>19</v>
      </c>
      <c r="F939" s="396"/>
      <c r="G939" s="396"/>
      <c r="H939" s="396"/>
      <c r="I939" s="396"/>
      <c r="J939" s="404"/>
      <c r="K939" s="396"/>
      <c r="L939" s="404"/>
      <c r="M939" s="404"/>
      <c r="N939" s="396"/>
      <c r="O939" s="396"/>
      <c r="P939" s="396"/>
      <c r="Q939" s="404"/>
      <c r="R939" s="404"/>
      <c r="S939" s="404"/>
      <c r="T939" s="396"/>
      <c r="U939" s="404"/>
      <c r="V939" s="396"/>
      <c r="W939" s="396"/>
      <c r="X939" s="396"/>
      <c r="Y939" s="396"/>
      <c r="Z939" s="396"/>
      <c r="AA939" s="396"/>
      <c r="AB939" s="396"/>
      <c r="AC939" s="396"/>
      <c r="AD939" s="396"/>
      <c r="AE939" s="404"/>
      <c r="AF939" s="396"/>
      <c r="AG939" s="396"/>
      <c r="AH939" s="396"/>
      <c r="AI939" s="396"/>
      <c r="AJ939" s="396"/>
      <c r="AK939" s="405">
        <f t="shared" si="149"/>
        <v>0</v>
      </c>
      <c r="AL939" s="406"/>
      <c r="AM939" s="407">
        <f>AK939</f>
        <v>0</v>
      </c>
      <c r="AN939" s="583"/>
    </row>
    <row r="940" spans="3:40" ht="12.75" x14ac:dyDescent="0.2">
      <c r="C940" s="580"/>
      <c r="D940" s="402" t="s">
        <v>42</v>
      </c>
      <c r="E940" s="393" t="s">
        <v>18</v>
      </c>
      <c r="F940" s="394"/>
      <c r="G940" s="394"/>
      <c r="H940" s="394"/>
      <c r="I940" s="393"/>
      <c r="J940" s="393"/>
      <c r="K940" s="393"/>
      <c r="L940" s="393"/>
      <c r="M940" s="393"/>
      <c r="N940" s="394"/>
      <c r="O940" s="393"/>
      <c r="P940" s="394"/>
      <c r="Q940" s="393"/>
      <c r="R940" s="393"/>
      <c r="S940" s="394"/>
      <c r="T940" s="394"/>
      <c r="U940" s="394"/>
      <c r="V940" s="394"/>
      <c r="W940" s="394"/>
      <c r="X940" s="394"/>
      <c r="Y940" s="394"/>
      <c r="Z940" s="394"/>
      <c r="AA940" s="394"/>
      <c r="AB940" s="394"/>
      <c r="AC940" s="394"/>
      <c r="AD940" s="394"/>
      <c r="AE940" s="394"/>
      <c r="AF940" s="394"/>
      <c r="AG940" s="394"/>
      <c r="AH940" s="394"/>
      <c r="AI940" s="393"/>
      <c r="AJ940" s="394"/>
      <c r="AK940" s="395">
        <f t="shared" si="149"/>
        <v>0</v>
      </c>
      <c r="AL940" s="394">
        <f>AK940</f>
        <v>0</v>
      </c>
      <c r="AM940" s="396"/>
      <c r="AN940" s="374">
        <f>AL940</f>
        <v>0</v>
      </c>
    </row>
    <row r="941" spans="3:40" ht="12.75" x14ac:dyDescent="0.2">
      <c r="C941" s="580"/>
      <c r="D941" s="402" t="s">
        <v>43</v>
      </c>
      <c r="E941" s="404" t="s">
        <v>19</v>
      </c>
      <c r="F941" s="396"/>
      <c r="G941" s="396"/>
      <c r="H941" s="396"/>
      <c r="I941" s="396"/>
      <c r="J941" s="396"/>
      <c r="K941" s="396"/>
      <c r="L941" s="396"/>
      <c r="M941" s="396"/>
      <c r="N941" s="396"/>
      <c r="O941" s="396"/>
      <c r="P941" s="396"/>
      <c r="Q941" s="396"/>
      <c r="R941" s="396"/>
      <c r="S941" s="396"/>
      <c r="T941" s="396"/>
      <c r="U941" s="396"/>
      <c r="V941" s="396"/>
      <c r="W941" s="396"/>
      <c r="X941" s="396"/>
      <c r="Y941" s="396"/>
      <c r="Z941" s="396"/>
      <c r="AA941" s="396"/>
      <c r="AB941" s="396"/>
      <c r="AC941" s="396"/>
      <c r="AD941" s="396"/>
      <c r="AE941" s="396"/>
      <c r="AF941" s="396"/>
      <c r="AG941" s="396"/>
      <c r="AH941" s="396"/>
      <c r="AI941" s="396"/>
      <c r="AJ941" s="396"/>
      <c r="AK941" s="405">
        <f t="shared" si="149"/>
        <v>0</v>
      </c>
      <c r="AL941" s="394"/>
      <c r="AM941" s="396">
        <f>AK941</f>
        <v>0</v>
      </c>
      <c r="AN941" s="374">
        <f>AM941</f>
        <v>0</v>
      </c>
    </row>
    <row r="942" spans="3:40" ht="12.75" x14ac:dyDescent="0.2">
      <c r="C942" s="580"/>
      <c r="D942" s="643" t="s">
        <v>44</v>
      </c>
      <c r="E942" s="393" t="s">
        <v>18</v>
      </c>
      <c r="F942" s="393"/>
      <c r="G942" s="394"/>
      <c r="H942" s="394"/>
      <c r="I942" s="394"/>
      <c r="J942" s="394"/>
      <c r="K942" s="394"/>
      <c r="L942" s="394"/>
      <c r="M942" s="393"/>
      <c r="N942" s="394"/>
      <c r="O942" s="394"/>
      <c r="P942" s="394"/>
      <c r="Q942" s="394"/>
      <c r="R942" s="394"/>
      <c r="S942" s="394"/>
      <c r="T942" s="393"/>
      <c r="U942" s="394"/>
      <c r="V942" s="394"/>
      <c r="W942" s="394"/>
      <c r="X942" s="394"/>
      <c r="Y942" s="394"/>
      <c r="Z942" s="394"/>
      <c r="AA942" s="394"/>
      <c r="AB942" s="394"/>
      <c r="AC942" s="394"/>
      <c r="AD942" s="393"/>
      <c r="AE942" s="394"/>
      <c r="AF942" s="394"/>
      <c r="AG942" s="394"/>
      <c r="AH942" s="394"/>
      <c r="AI942" s="394"/>
      <c r="AJ942" s="394"/>
      <c r="AK942" s="395">
        <f t="shared" si="149"/>
        <v>0</v>
      </c>
      <c r="AL942" s="408">
        <f>AK942</f>
        <v>0</v>
      </c>
      <c r="AM942" s="409"/>
      <c r="AN942" s="633">
        <f>SUM(AL942:AM943)</f>
        <v>0</v>
      </c>
    </row>
    <row r="943" spans="3:40" ht="12.75" x14ac:dyDescent="0.2">
      <c r="C943" s="581"/>
      <c r="D943" s="585"/>
      <c r="E943" s="404" t="s">
        <v>19</v>
      </c>
      <c r="F943" s="407"/>
      <c r="G943" s="407"/>
      <c r="H943" s="407"/>
      <c r="I943" s="407"/>
      <c r="J943" s="407"/>
      <c r="K943" s="407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10"/>
      <c r="AA943" s="407"/>
      <c r="AB943" s="407"/>
      <c r="AC943" s="407"/>
      <c r="AD943" s="407"/>
      <c r="AE943" s="407"/>
      <c r="AF943" s="407"/>
      <c r="AG943" s="407"/>
      <c r="AH943" s="407"/>
      <c r="AI943" s="407"/>
      <c r="AJ943" s="407"/>
      <c r="AK943" s="405">
        <f t="shared" si="149"/>
        <v>0</v>
      </c>
      <c r="AL943" s="406"/>
      <c r="AM943" s="407">
        <f>AK943</f>
        <v>0</v>
      </c>
      <c r="AN943" s="583"/>
    </row>
    <row r="944" spans="3:40" ht="12.75" x14ac:dyDescent="0.2">
      <c r="C944" s="629" t="s">
        <v>45</v>
      </c>
      <c r="D944" s="652" t="s">
        <v>46</v>
      </c>
      <c r="E944" s="411" t="s">
        <v>18</v>
      </c>
      <c r="F944" s="411">
        <f>3.25+3.44+0.89</f>
        <v>7.5799999999999992</v>
      </c>
      <c r="G944" s="411"/>
      <c r="H944" s="412">
        <f>0.53+1.6+1.85+2.79+5.08+3.63+1.96+1.96-0.96</f>
        <v>18.440000000000001</v>
      </c>
      <c r="I944" s="411"/>
      <c r="J944" s="411">
        <f>2.82+12.34</f>
        <v>15.16</v>
      </c>
      <c r="K944" s="411"/>
      <c r="L944" s="411"/>
      <c r="M944" s="411">
        <f>35.62-9.47</f>
        <v>26.15</v>
      </c>
      <c r="N944" s="411"/>
      <c r="O944" s="411">
        <v>2.11</v>
      </c>
      <c r="P944" s="411">
        <v>2.4900000000000002</v>
      </c>
      <c r="Q944" s="411">
        <v>44.52</v>
      </c>
      <c r="R944" s="411"/>
      <c r="S944" s="411">
        <f>2.85+2.69+7.82+3.49</f>
        <v>16.850000000000001</v>
      </c>
      <c r="T944" s="411">
        <f>1.07+4.97+3.08+6.49+1.85</f>
        <v>17.46</v>
      </c>
      <c r="U944" s="411">
        <f>2.59+6.81+0.89+2.17+3.43</f>
        <v>15.889999999999999</v>
      </c>
      <c r="V944" s="411"/>
      <c r="W944" s="411">
        <f>1.68+8.96</f>
        <v>10.64</v>
      </c>
      <c r="X944" s="411">
        <v>4.71</v>
      </c>
      <c r="Y944" s="412">
        <f>2.88+5.7</f>
        <v>8.58</v>
      </c>
      <c r="Z944" s="412"/>
      <c r="AA944" s="411">
        <v>13.29</v>
      </c>
      <c r="AB944" s="411">
        <f>6.69+0.59+7.82+1.44+3.19+2.09</f>
        <v>21.820000000000004</v>
      </c>
      <c r="AC944" s="411">
        <f>0.14+9.62</f>
        <v>9.76</v>
      </c>
      <c r="AD944" s="411">
        <v>35.89</v>
      </c>
      <c r="AE944" s="412"/>
      <c r="AF944" s="411"/>
      <c r="AG944" s="412"/>
      <c r="AH944" s="412"/>
      <c r="AI944" s="412"/>
      <c r="AJ944" s="412"/>
      <c r="AK944" s="395">
        <f t="shared" si="149"/>
        <v>271.33999999999997</v>
      </c>
      <c r="AL944" s="408">
        <f>AK944</f>
        <v>271.33999999999997</v>
      </c>
      <c r="AM944" s="409"/>
      <c r="AN944" s="633">
        <f>SUM(AL944:AM945)</f>
        <v>271.33999999999997</v>
      </c>
    </row>
    <row r="945" spans="3:40" ht="12.75" x14ac:dyDescent="0.2">
      <c r="C945" s="580"/>
      <c r="D945" s="577"/>
      <c r="E945" s="404" t="s">
        <v>19</v>
      </c>
      <c r="F945" s="404"/>
      <c r="G945" s="404"/>
      <c r="H945" s="404"/>
      <c r="I945" s="396"/>
      <c r="J945" s="396"/>
      <c r="K945" s="396"/>
      <c r="L945" s="404"/>
      <c r="M945" s="396"/>
      <c r="N945" s="396"/>
      <c r="O945" s="396"/>
      <c r="P945" s="396"/>
      <c r="Q945" s="396"/>
      <c r="R945" s="396"/>
      <c r="S945" s="404"/>
      <c r="T945" s="404"/>
      <c r="U945" s="396"/>
      <c r="V945" s="404"/>
      <c r="W945" s="396"/>
      <c r="X945" s="404"/>
      <c r="Y945" s="396"/>
      <c r="Z945" s="404"/>
      <c r="AA945" s="396"/>
      <c r="AB945" s="404"/>
      <c r="AC945" s="404"/>
      <c r="AD945" s="404"/>
      <c r="AE945" s="396"/>
      <c r="AF945" s="396"/>
      <c r="AG945" s="396"/>
      <c r="AH945" s="396"/>
      <c r="AI945" s="396"/>
      <c r="AJ945" s="396"/>
      <c r="AK945" s="405">
        <f t="shared" si="149"/>
        <v>0</v>
      </c>
      <c r="AL945" s="406"/>
      <c r="AM945" s="407">
        <f>AK945</f>
        <v>0</v>
      </c>
      <c r="AN945" s="583"/>
    </row>
    <row r="946" spans="3:40" ht="12.75" x14ac:dyDescent="0.2">
      <c r="C946" s="580"/>
      <c r="D946" s="646" t="s">
        <v>47</v>
      </c>
      <c r="E946" s="393" t="s">
        <v>18</v>
      </c>
      <c r="F946" s="394">
        <f>8.19+1.56</f>
        <v>9.75</v>
      </c>
      <c r="G946" s="393">
        <v>3.86</v>
      </c>
      <c r="H946" s="393">
        <f>(0.78*2)+3.05</f>
        <v>4.6099999999999994</v>
      </c>
      <c r="I946" s="393">
        <v>13.89</v>
      </c>
      <c r="J946" s="393">
        <f>(0.79*2)+1.89</f>
        <v>3.4699999999999998</v>
      </c>
      <c r="K946" s="393">
        <v>16.809999999999999</v>
      </c>
      <c r="L946" s="393"/>
      <c r="M946" s="393">
        <f>2.62+5.29+(0.78*2)</f>
        <v>9.4700000000000006</v>
      </c>
      <c r="N946" s="393"/>
      <c r="O946" s="393">
        <f>(0.78*2)+1.24</f>
        <v>2.8</v>
      </c>
      <c r="P946" s="393">
        <f>6.4+(0.78*2)</f>
        <v>7.9600000000000009</v>
      </c>
      <c r="Q946" s="393">
        <f>0.94</f>
        <v>0.94</v>
      </c>
      <c r="R946" s="393"/>
      <c r="S946" s="393">
        <f>1.59+1.59+0.78+0.78</f>
        <v>4.74</v>
      </c>
      <c r="T946" s="393">
        <f>1.68+1.03</f>
        <v>2.71</v>
      </c>
      <c r="U946" s="393">
        <f>(0.78*2)</f>
        <v>1.56</v>
      </c>
      <c r="V946" s="393">
        <v>1.56</v>
      </c>
      <c r="W946" s="394">
        <f>(0.88*2)+1.58</f>
        <v>3.34</v>
      </c>
      <c r="X946" s="393">
        <f>(0.78*2)</f>
        <v>1.56</v>
      </c>
      <c r="Y946" s="393">
        <f>(0.78*2)+0.65</f>
        <v>2.21</v>
      </c>
      <c r="Z946" s="393"/>
      <c r="AA946" s="393">
        <f>0.78+0.78+0.77+0.69</f>
        <v>3.02</v>
      </c>
      <c r="AB946" s="393">
        <f>1.57+1.48</f>
        <v>3.05</v>
      </c>
      <c r="AC946" s="393">
        <f t="shared" ref="AC946:AD946" si="152">(0.78*2)</f>
        <v>1.56</v>
      </c>
      <c r="AD946" s="393">
        <f t="shared" si="152"/>
        <v>1.56</v>
      </c>
      <c r="AE946" s="393"/>
      <c r="AF946" s="394"/>
      <c r="AG946" s="393">
        <f>0.14+6.7</f>
        <v>6.84</v>
      </c>
      <c r="AH946" s="394"/>
      <c r="AI946" s="394"/>
      <c r="AJ946" s="394"/>
      <c r="AK946" s="395">
        <f t="shared" si="149"/>
        <v>107.27</v>
      </c>
      <c r="AL946" s="408">
        <f>AK946</f>
        <v>107.27</v>
      </c>
      <c r="AM946" s="409"/>
      <c r="AN946" s="633">
        <f>SUM(AL946:AM947)</f>
        <v>107.27</v>
      </c>
    </row>
    <row r="947" spans="3:40" ht="12.75" x14ac:dyDescent="0.2">
      <c r="C947" s="580"/>
      <c r="D947" s="577"/>
      <c r="E947" s="404" t="s">
        <v>19</v>
      </c>
      <c r="F947" s="396"/>
      <c r="G947" s="396"/>
      <c r="H947" s="404"/>
      <c r="I947" s="404"/>
      <c r="J947" s="404"/>
      <c r="K947" s="396"/>
      <c r="L947" s="396"/>
      <c r="M947" s="396"/>
      <c r="N947" s="396"/>
      <c r="O947" s="396"/>
      <c r="P947" s="404"/>
      <c r="Q947" s="404"/>
      <c r="R947" s="404"/>
      <c r="S947" s="404"/>
      <c r="T947" s="404"/>
      <c r="U947" s="404"/>
      <c r="V947" s="404"/>
      <c r="W947" s="404"/>
      <c r="X947" s="404"/>
      <c r="Y947" s="396"/>
      <c r="Z947" s="404"/>
      <c r="AA947" s="396"/>
      <c r="AB947" s="404"/>
      <c r="AC947" s="404"/>
      <c r="AD947" s="396"/>
      <c r="AE947" s="396"/>
      <c r="AF947" s="396"/>
      <c r="AG947" s="396"/>
      <c r="AH947" s="396"/>
      <c r="AI947" s="396"/>
      <c r="AJ947" s="396"/>
      <c r="AK947" s="405">
        <f t="shared" si="149"/>
        <v>0</v>
      </c>
      <c r="AL947" s="406"/>
      <c r="AM947" s="407">
        <f>AK947</f>
        <v>0</v>
      </c>
      <c r="AN947" s="583"/>
    </row>
    <row r="948" spans="3:40" ht="12.75" x14ac:dyDescent="0.2">
      <c r="C948" s="580"/>
      <c r="D948" s="646" t="s">
        <v>48</v>
      </c>
      <c r="E948" s="393" t="s">
        <v>18</v>
      </c>
      <c r="F948" s="393"/>
      <c r="G948" s="393"/>
      <c r="H948" s="393">
        <v>2</v>
      </c>
      <c r="I948" s="393">
        <v>2</v>
      </c>
      <c r="J948" s="393">
        <v>2</v>
      </c>
      <c r="K948" s="393">
        <v>1.71</v>
      </c>
      <c r="L948" s="393"/>
      <c r="M948" s="393"/>
      <c r="N948" s="394"/>
      <c r="O948" s="393">
        <v>2</v>
      </c>
      <c r="P948" s="393">
        <v>2</v>
      </c>
      <c r="Q948" s="393">
        <v>2</v>
      </c>
      <c r="R948" s="393">
        <f>11.58-6</f>
        <v>5.58</v>
      </c>
      <c r="S948" s="393">
        <v>3.58</v>
      </c>
      <c r="T948" s="393"/>
      <c r="U948" s="393"/>
      <c r="V948" s="393">
        <v>2.35</v>
      </c>
      <c r="W948" s="393">
        <v>2</v>
      </c>
      <c r="X948" s="393">
        <v>5.81</v>
      </c>
      <c r="Y948" s="393">
        <v>2</v>
      </c>
      <c r="Z948" s="393">
        <v>2</v>
      </c>
      <c r="AA948" s="394"/>
      <c r="AB948" s="393"/>
      <c r="AC948" s="393">
        <v>2.0499999999999998</v>
      </c>
      <c r="AD948" s="393">
        <v>3.18</v>
      </c>
      <c r="AE948" s="393">
        <v>2.0499999999999998</v>
      </c>
      <c r="AF948" s="394"/>
      <c r="AG948" s="394"/>
      <c r="AH948" s="394"/>
      <c r="AI948" s="394"/>
      <c r="AJ948" s="394"/>
      <c r="AK948" s="395">
        <f t="shared" si="149"/>
        <v>44.309999999999995</v>
      </c>
      <c r="AL948" s="408">
        <f>AK948</f>
        <v>44.309999999999995</v>
      </c>
      <c r="AM948" s="409"/>
      <c r="AN948" s="633">
        <f>SUM(AL948:AM949)</f>
        <v>44.309999999999995</v>
      </c>
    </row>
    <row r="949" spans="3:40" ht="12.75" x14ac:dyDescent="0.2">
      <c r="C949" s="580"/>
      <c r="D949" s="577"/>
      <c r="E949" s="404" t="s">
        <v>19</v>
      </c>
      <c r="F949" s="396"/>
      <c r="G949" s="404"/>
      <c r="H949" s="404"/>
      <c r="I949" s="404"/>
      <c r="J949" s="396"/>
      <c r="K949" s="404"/>
      <c r="L949" s="404"/>
      <c r="M949" s="404"/>
      <c r="N949" s="396"/>
      <c r="O949" s="396"/>
      <c r="P949" s="396"/>
      <c r="Q949" s="404"/>
      <c r="R949" s="404"/>
      <c r="S949" s="404"/>
      <c r="T949" s="404"/>
      <c r="U949" s="404"/>
      <c r="V949" s="404"/>
      <c r="W949" s="404"/>
      <c r="X949" s="404"/>
      <c r="Y949" s="396"/>
      <c r="Z949" s="396"/>
      <c r="AA949" s="404"/>
      <c r="AB949" s="404"/>
      <c r="AC949" s="404"/>
      <c r="AD949" s="404"/>
      <c r="AE949" s="404"/>
      <c r="AF949" s="396"/>
      <c r="AG949" s="396"/>
      <c r="AH949" s="396"/>
      <c r="AI949" s="396"/>
      <c r="AJ949" s="396"/>
      <c r="AK949" s="405">
        <f t="shared" si="149"/>
        <v>0</v>
      </c>
      <c r="AL949" s="406"/>
      <c r="AM949" s="407">
        <f>AK949</f>
        <v>0</v>
      </c>
      <c r="AN949" s="583"/>
    </row>
    <row r="950" spans="3:40" ht="12.75" x14ac:dyDescent="0.2">
      <c r="C950" s="580"/>
      <c r="D950" s="646" t="s">
        <v>49</v>
      </c>
      <c r="E950" s="393" t="s">
        <v>18</v>
      </c>
      <c r="F950" s="393"/>
      <c r="G950" s="393">
        <v>6</v>
      </c>
      <c r="H950" s="394"/>
      <c r="I950" s="393">
        <v>2.19</v>
      </c>
      <c r="J950" s="393"/>
      <c r="K950" s="394"/>
      <c r="L950" s="393">
        <v>3</v>
      </c>
      <c r="M950" s="393">
        <v>3</v>
      </c>
      <c r="N950" s="394"/>
      <c r="O950" s="393">
        <v>4.5</v>
      </c>
      <c r="P950" s="393"/>
      <c r="Q950" s="393"/>
      <c r="R950" s="393"/>
      <c r="S950" s="393">
        <v>2.19</v>
      </c>
      <c r="T950" s="393"/>
      <c r="U950" s="393"/>
      <c r="V950" s="393"/>
      <c r="W950" s="393"/>
      <c r="X950" s="393">
        <v>6</v>
      </c>
      <c r="Y950" s="394"/>
      <c r="Z950" s="393"/>
      <c r="AA950" s="393"/>
      <c r="AB950" s="393"/>
      <c r="AC950" s="393"/>
      <c r="AD950" s="394"/>
      <c r="AE950" s="393"/>
      <c r="AF950" s="394"/>
      <c r="AG950" s="394"/>
      <c r="AH950" s="394"/>
      <c r="AI950" s="394"/>
      <c r="AJ950" s="394"/>
      <c r="AK950" s="395">
        <f t="shared" si="149"/>
        <v>26.88</v>
      </c>
      <c r="AL950" s="408">
        <f>AK950</f>
        <v>26.88</v>
      </c>
      <c r="AM950" s="409"/>
      <c r="AN950" s="633">
        <f>SUM(AL950:AM951)</f>
        <v>26.88</v>
      </c>
    </row>
    <row r="951" spans="3:40" ht="12.75" x14ac:dyDescent="0.2">
      <c r="C951" s="580"/>
      <c r="D951" s="577"/>
      <c r="E951" s="404" t="s">
        <v>19</v>
      </c>
      <c r="F951" s="396"/>
      <c r="G951" s="396"/>
      <c r="H951" s="404"/>
      <c r="I951" s="404"/>
      <c r="J951" s="404"/>
      <c r="K951" s="404"/>
      <c r="L951" s="404"/>
      <c r="M951" s="404"/>
      <c r="N951" s="404"/>
      <c r="O951" s="404"/>
      <c r="P951" s="404"/>
      <c r="Q951" s="404"/>
      <c r="R951" s="404"/>
      <c r="S951" s="404"/>
      <c r="T951" s="404"/>
      <c r="U951" s="404"/>
      <c r="V951" s="404"/>
      <c r="W951" s="404"/>
      <c r="X951" s="404"/>
      <c r="Y951" s="404"/>
      <c r="Z951" s="404"/>
      <c r="AA951" s="396"/>
      <c r="AB951" s="396"/>
      <c r="AC951" s="396"/>
      <c r="AD951" s="396"/>
      <c r="AE951" s="404"/>
      <c r="AF951" s="396"/>
      <c r="AG951" s="396"/>
      <c r="AH951" s="396"/>
      <c r="AI951" s="396"/>
      <c r="AJ951" s="396"/>
      <c r="AK951" s="405">
        <f t="shared" si="149"/>
        <v>0</v>
      </c>
      <c r="AL951" s="406"/>
      <c r="AM951" s="407">
        <f>AK951</f>
        <v>0</v>
      </c>
      <c r="AN951" s="583"/>
    </row>
    <row r="952" spans="3:40" ht="12.75" x14ac:dyDescent="0.2">
      <c r="C952" s="580"/>
      <c r="D952" s="653" t="s">
        <v>50</v>
      </c>
      <c r="E952" s="393" t="s">
        <v>18</v>
      </c>
      <c r="F952" s="393">
        <v>6</v>
      </c>
      <c r="G952" s="393">
        <v>6</v>
      </c>
      <c r="H952" s="393"/>
      <c r="I952" s="393">
        <v>6</v>
      </c>
      <c r="J952" s="393">
        <v>6</v>
      </c>
      <c r="K952" s="393">
        <v>6</v>
      </c>
      <c r="L952" s="393">
        <v>12</v>
      </c>
      <c r="M952" s="393"/>
      <c r="N952" s="393"/>
      <c r="O952" s="393">
        <v>6</v>
      </c>
      <c r="P952" s="393">
        <v>6</v>
      </c>
      <c r="Q952" s="393">
        <v>6</v>
      </c>
      <c r="R952" s="393">
        <f>6+6</f>
        <v>12</v>
      </c>
      <c r="S952" s="393"/>
      <c r="T952" s="393">
        <v>6</v>
      </c>
      <c r="U952" s="393">
        <v>6</v>
      </c>
      <c r="V952" s="393">
        <v>6</v>
      </c>
      <c r="W952" s="393">
        <v>6</v>
      </c>
      <c r="X952" s="393">
        <v>6</v>
      </c>
      <c r="Y952" s="393">
        <v>6</v>
      </c>
      <c r="Z952" s="393">
        <v>6</v>
      </c>
      <c r="AA952" s="393">
        <v>6</v>
      </c>
      <c r="AB952" s="393">
        <v>6</v>
      </c>
      <c r="AC952" s="393">
        <v>6</v>
      </c>
      <c r="AD952" s="393">
        <v>6</v>
      </c>
      <c r="AE952" s="393">
        <v>6</v>
      </c>
      <c r="AF952" s="393">
        <v>6</v>
      </c>
      <c r="AG952" s="393">
        <v>6</v>
      </c>
      <c r="AH952" s="393"/>
      <c r="AI952" s="394"/>
      <c r="AJ952" s="394"/>
      <c r="AK952" s="395">
        <f t="shared" si="149"/>
        <v>156</v>
      </c>
      <c r="AL952" s="408">
        <f>AK952</f>
        <v>156</v>
      </c>
      <c r="AM952" s="409"/>
      <c r="AN952" s="633">
        <f>SUM(AL952:AM953)</f>
        <v>156</v>
      </c>
    </row>
    <row r="953" spans="3:40" ht="12.75" x14ac:dyDescent="0.2">
      <c r="C953" s="580"/>
      <c r="D953" s="577"/>
      <c r="E953" s="404" t="s">
        <v>19</v>
      </c>
      <c r="F953" s="404"/>
      <c r="G953" s="404"/>
      <c r="H953" s="404"/>
      <c r="I953" s="404"/>
      <c r="J953" s="404"/>
      <c r="K953" s="404"/>
      <c r="L953" s="404"/>
      <c r="M953" s="404"/>
      <c r="N953" s="404"/>
      <c r="O953" s="404"/>
      <c r="P953" s="404"/>
      <c r="Q953" s="404"/>
      <c r="R953" s="404"/>
      <c r="S953" s="404"/>
      <c r="T953" s="404"/>
      <c r="U953" s="404"/>
      <c r="V953" s="404"/>
      <c r="W953" s="404"/>
      <c r="X953" s="404"/>
      <c r="Y953" s="404"/>
      <c r="Z953" s="404"/>
      <c r="AA953" s="404"/>
      <c r="AB953" s="404"/>
      <c r="AC953" s="404"/>
      <c r="AD953" s="396"/>
      <c r="AE953" s="396"/>
      <c r="AF953" s="396"/>
      <c r="AG953" s="396"/>
      <c r="AH953" s="396"/>
      <c r="AI953" s="396"/>
      <c r="AJ953" s="396"/>
      <c r="AK953" s="405">
        <f t="shared" si="149"/>
        <v>0</v>
      </c>
      <c r="AL953" s="406"/>
      <c r="AM953" s="407">
        <f>AK953</f>
        <v>0</v>
      </c>
      <c r="AN953" s="583"/>
    </row>
    <row r="954" spans="3:40" ht="12.75" x14ac:dyDescent="0.2">
      <c r="C954" s="580"/>
      <c r="D954" s="653" t="s">
        <v>1</v>
      </c>
      <c r="E954" s="393" t="s">
        <v>18</v>
      </c>
      <c r="F954" s="394"/>
      <c r="G954" s="394"/>
      <c r="H954" s="394"/>
      <c r="I954" s="393"/>
      <c r="J954" s="393"/>
      <c r="K954" s="393"/>
      <c r="L954" s="393"/>
      <c r="M954" s="394"/>
      <c r="N954" s="394"/>
      <c r="O954" s="394"/>
      <c r="P954" s="394"/>
      <c r="Q954" s="393"/>
      <c r="R954" s="393"/>
      <c r="S954" s="393">
        <f>3.49*2</f>
        <v>6.98</v>
      </c>
      <c r="T954" s="394"/>
      <c r="U954" s="393"/>
      <c r="V954" s="393"/>
      <c r="W954" s="393"/>
      <c r="X954" s="393"/>
      <c r="Y954" s="393"/>
      <c r="Z954" s="393">
        <v>6</v>
      </c>
      <c r="AA954" s="393"/>
      <c r="AB954" s="393"/>
      <c r="AC954" s="393"/>
      <c r="AD954" s="393"/>
      <c r="AE954" s="394"/>
      <c r="AF954" s="394"/>
      <c r="AG954" s="393">
        <v>2.69</v>
      </c>
      <c r="AH954" s="394"/>
      <c r="AI954" s="394"/>
      <c r="AJ954" s="394"/>
      <c r="AK954" s="395">
        <f t="shared" si="149"/>
        <v>15.67</v>
      </c>
      <c r="AL954" s="403">
        <f>AK954</f>
        <v>15.67</v>
      </c>
      <c r="AM954" s="396"/>
      <c r="AN954" s="633">
        <f>SUM(AL954:AM955)</f>
        <v>15.67</v>
      </c>
    </row>
    <row r="955" spans="3:40" ht="12.75" x14ac:dyDescent="0.2">
      <c r="C955" s="580"/>
      <c r="D955" s="577"/>
      <c r="E955" s="404" t="s">
        <v>19</v>
      </c>
      <c r="F955" s="396"/>
      <c r="G955" s="396"/>
      <c r="H955" s="404"/>
      <c r="I955" s="404"/>
      <c r="J955" s="396"/>
      <c r="K955" s="396"/>
      <c r="L955" s="396"/>
      <c r="M955" s="396"/>
      <c r="N955" s="396"/>
      <c r="O955" s="396"/>
      <c r="P955" s="396"/>
      <c r="Q955" s="404"/>
      <c r="R955" s="404"/>
      <c r="S955" s="404"/>
      <c r="T955" s="396"/>
      <c r="U955" s="404"/>
      <c r="V955" s="404"/>
      <c r="W955" s="396"/>
      <c r="X955" s="404"/>
      <c r="Y955" s="404"/>
      <c r="Z955" s="404"/>
      <c r="AA955" s="404"/>
      <c r="AB955" s="404"/>
      <c r="AC955" s="404"/>
      <c r="AD955" s="396"/>
      <c r="AE955" s="396"/>
      <c r="AF955" s="396"/>
      <c r="AG955" s="396"/>
      <c r="AH955" s="396"/>
      <c r="AI955" s="396"/>
      <c r="AJ955" s="396"/>
      <c r="AK955" s="405">
        <f t="shared" si="149"/>
        <v>0</v>
      </c>
      <c r="AL955" s="403"/>
      <c r="AM955" s="396">
        <f>AK955</f>
        <v>0</v>
      </c>
      <c r="AN955" s="583"/>
    </row>
    <row r="956" spans="3:40" ht="12.75" x14ac:dyDescent="0.2">
      <c r="C956" s="580"/>
      <c r="D956" s="645" t="s">
        <v>78</v>
      </c>
      <c r="E956" s="393" t="s">
        <v>18</v>
      </c>
      <c r="F956" s="394"/>
      <c r="G956" s="394"/>
      <c r="H956" s="394"/>
      <c r="I956" s="394"/>
      <c r="J956" s="394"/>
      <c r="K956" s="393"/>
      <c r="L956" s="393"/>
      <c r="M956" s="393"/>
      <c r="N956" s="393"/>
      <c r="O956" s="393"/>
      <c r="P956" s="393"/>
      <c r="Q956" s="394"/>
      <c r="R956" s="394"/>
      <c r="S956" s="394"/>
      <c r="T956" s="394"/>
      <c r="U956" s="394"/>
      <c r="V956" s="394"/>
      <c r="W956" s="393"/>
      <c r="X956" s="393"/>
      <c r="Y956" s="393"/>
      <c r="Z956" s="393"/>
      <c r="AA956" s="394"/>
      <c r="AB956" s="394"/>
      <c r="AC956" s="394"/>
      <c r="AD956" s="394"/>
      <c r="AE956" s="394"/>
      <c r="AF956" s="394"/>
      <c r="AG956" s="394"/>
      <c r="AH956" s="394"/>
      <c r="AI956" s="394"/>
      <c r="AJ956" s="394"/>
      <c r="AK956" s="395">
        <f t="shared" si="149"/>
        <v>0</v>
      </c>
      <c r="AL956" s="408">
        <f>AK956</f>
        <v>0</v>
      </c>
      <c r="AM956" s="409"/>
      <c r="AN956" s="634">
        <f>SUM(AL956:AM957)</f>
        <v>0</v>
      </c>
    </row>
    <row r="957" spans="3:40" ht="12.75" x14ac:dyDescent="0.2">
      <c r="C957" s="580"/>
      <c r="D957" s="577"/>
      <c r="E957" s="404" t="s">
        <v>19</v>
      </c>
      <c r="F957" s="396"/>
      <c r="G957" s="396"/>
      <c r="H957" s="396"/>
      <c r="I957" s="396"/>
      <c r="J957" s="396"/>
      <c r="K957" s="396"/>
      <c r="L957" s="396"/>
      <c r="M957" s="396"/>
      <c r="N957" s="396"/>
      <c r="O957" s="396"/>
      <c r="P957" s="396"/>
      <c r="Q957" s="396"/>
      <c r="R957" s="396"/>
      <c r="S957" s="396"/>
      <c r="T957" s="396"/>
      <c r="U957" s="396"/>
      <c r="V957" s="396"/>
      <c r="W957" s="396"/>
      <c r="X957" s="396"/>
      <c r="Y957" s="396"/>
      <c r="Z957" s="396"/>
      <c r="AA957" s="396"/>
      <c r="AB957" s="396"/>
      <c r="AC957" s="396"/>
      <c r="AD957" s="396"/>
      <c r="AE957" s="396"/>
      <c r="AF957" s="396"/>
      <c r="AG957" s="396"/>
      <c r="AH957" s="396"/>
      <c r="AI957" s="396"/>
      <c r="AJ957" s="396"/>
      <c r="AK957" s="405">
        <f t="shared" si="149"/>
        <v>0</v>
      </c>
      <c r="AL957" s="406"/>
      <c r="AM957" s="407">
        <f>AK957</f>
        <v>0</v>
      </c>
      <c r="AN957" s="583"/>
    </row>
    <row r="958" spans="3:40" ht="12.75" x14ac:dyDescent="0.2">
      <c r="C958" s="580"/>
      <c r="D958" s="645" t="s">
        <v>52</v>
      </c>
      <c r="E958" s="393" t="s">
        <v>18</v>
      </c>
      <c r="F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394"/>
      <c r="R958" s="394"/>
      <c r="S958" s="394"/>
      <c r="T958" s="394"/>
      <c r="U958" s="394"/>
      <c r="V958" s="394"/>
      <c r="W958" s="394"/>
      <c r="X958" s="394"/>
      <c r="Y958" s="393"/>
      <c r="Z958" s="393"/>
      <c r="AA958" s="394"/>
      <c r="AB958" s="394"/>
      <c r="AC958" s="394"/>
      <c r="AD958" s="394"/>
      <c r="AE958" s="394"/>
      <c r="AF958" s="394"/>
      <c r="AG958" s="394"/>
      <c r="AH958" s="394"/>
      <c r="AI958" s="394"/>
      <c r="AJ958" s="414"/>
      <c r="AK958" s="395">
        <f t="shared" si="149"/>
        <v>0</v>
      </c>
      <c r="AL958" s="408">
        <f>AK958</f>
        <v>0</v>
      </c>
      <c r="AM958" s="409"/>
      <c r="AN958" s="633">
        <f>SUM(AL958:AM959)</f>
        <v>0</v>
      </c>
    </row>
    <row r="959" spans="3:40" ht="12.75" x14ac:dyDescent="0.2">
      <c r="C959" s="581"/>
      <c r="D959" s="585"/>
      <c r="E959" s="404" t="s">
        <v>19</v>
      </c>
      <c r="F959" s="396"/>
      <c r="G959" s="396"/>
      <c r="H959" s="396"/>
      <c r="I959" s="396"/>
      <c r="J959" s="396"/>
      <c r="K959" s="396"/>
      <c r="L959" s="396"/>
      <c r="M959" s="396"/>
      <c r="N959" s="396"/>
      <c r="O959" s="396"/>
      <c r="P959" s="396"/>
      <c r="Q959" s="396"/>
      <c r="R959" s="396"/>
      <c r="S959" s="396"/>
      <c r="T959" s="396"/>
      <c r="U959" s="396"/>
      <c r="V959" s="396"/>
      <c r="W959" s="396"/>
      <c r="X959" s="396"/>
      <c r="Y959" s="404"/>
      <c r="Z959" s="404"/>
      <c r="AA959" s="396"/>
      <c r="AB959" s="396"/>
      <c r="AC959" s="396"/>
      <c r="AD959" s="396"/>
      <c r="AE959" s="396"/>
      <c r="AF959" s="396"/>
      <c r="AG959" s="396"/>
      <c r="AH959" s="396"/>
      <c r="AI959" s="396"/>
      <c r="AJ959" s="415"/>
      <c r="AK959" s="405">
        <f t="shared" si="149"/>
        <v>0</v>
      </c>
      <c r="AL959" s="406"/>
      <c r="AM959" s="407">
        <f>AK959</f>
        <v>0</v>
      </c>
      <c r="AN959" s="583"/>
    </row>
    <row r="960" spans="3:40" ht="12.75" x14ac:dyDescent="0.2">
      <c r="C960" s="629" t="s">
        <v>53</v>
      </c>
      <c r="D960" s="416" t="s">
        <v>54</v>
      </c>
      <c r="E960" s="411" t="s">
        <v>18</v>
      </c>
      <c r="F960" s="412"/>
      <c r="G960" s="411"/>
      <c r="H960" s="412"/>
      <c r="I960" s="412"/>
      <c r="J960" s="412"/>
      <c r="K960" s="411"/>
      <c r="L960" s="412"/>
      <c r="M960" s="412"/>
      <c r="N960" s="412"/>
      <c r="O960" s="412"/>
      <c r="P960" s="412"/>
      <c r="Q960" s="412"/>
      <c r="R960" s="412"/>
      <c r="S960" s="412"/>
      <c r="T960" s="412"/>
      <c r="U960" s="412"/>
      <c r="V960" s="412"/>
      <c r="W960" s="412"/>
      <c r="X960" s="412"/>
      <c r="Y960" s="412"/>
      <c r="Z960" s="412"/>
      <c r="AA960" s="412"/>
      <c r="AB960" s="412"/>
      <c r="AC960" s="412"/>
      <c r="AD960" s="411"/>
      <c r="AE960" s="412"/>
      <c r="AF960" s="412"/>
      <c r="AG960" s="412"/>
      <c r="AH960" s="412"/>
      <c r="AI960" s="412"/>
      <c r="AJ960" s="417"/>
      <c r="AK960" s="395">
        <f t="shared" si="149"/>
        <v>0</v>
      </c>
      <c r="AL960" s="394">
        <f t="shared" ref="AL960:AL961" si="153">AK960</f>
        <v>0</v>
      </c>
      <c r="AM960" s="396"/>
      <c r="AN960" s="374">
        <f>AL960</f>
        <v>0</v>
      </c>
    </row>
    <row r="961" spans="3:40" ht="12.75" x14ac:dyDescent="0.2">
      <c r="C961" s="580"/>
      <c r="D961" s="643" t="s">
        <v>55</v>
      </c>
      <c r="E961" s="393" t="s">
        <v>18</v>
      </c>
      <c r="F961" s="394"/>
      <c r="G961" s="394"/>
      <c r="H961" s="393"/>
      <c r="I961" s="393">
        <v>125.28</v>
      </c>
      <c r="J961" s="394"/>
      <c r="K961" s="393">
        <v>415.11</v>
      </c>
      <c r="L961" s="393"/>
      <c r="M961" s="393">
        <v>12.95</v>
      </c>
      <c r="N961" s="393"/>
      <c r="O961" s="394"/>
      <c r="P961" s="393">
        <v>26.9</v>
      </c>
      <c r="Q961" s="394"/>
      <c r="R961" s="393">
        <v>15.86</v>
      </c>
      <c r="S961" s="393"/>
      <c r="T961" s="394"/>
      <c r="U961" s="393"/>
      <c r="V961" s="393"/>
      <c r="W961" s="393"/>
      <c r="X961" s="393"/>
      <c r="Y961" s="393"/>
      <c r="Z961" s="394"/>
      <c r="AA961" s="394"/>
      <c r="AB961" s="393">
        <v>83.56</v>
      </c>
      <c r="AC961" s="393"/>
      <c r="AD961" s="393">
        <v>37.39</v>
      </c>
      <c r="AE961" s="393"/>
      <c r="AF961" s="394"/>
      <c r="AG961" s="394"/>
      <c r="AH961" s="394"/>
      <c r="AI961" s="394"/>
      <c r="AJ961" s="414"/>
      <c r="AK961" s="395">
        <f t="shared" si="149"/>
        <v>717.05000000000007</v>
      </c>
      <c r="AL961" s="408">
        <f t="shared" si="153"/>
        <v>717.05000000000007</v>
      </c>
      <c r="AM961" s="409"/>
      <c r="AN961" s="633">
        <f>SUM(AL961:AM962)</f>
        <v>717.05000000000007</v>
      </c>
    </row>
    <row r="962" spans="3:40" ht="12.75" x14ac:dyDescent="0.2">
      <c r="C962" s="580"/>
      <c r="D962" s="577"/>
      <c r="E962" s="404" t="s">
        <v>19</v>
      </c>
      <c r="F962" s="396"/>
      <c r="G962" s="396"/>
      <c r="H962" s="404"/>
      <c r="I962" s="404"/>
      <c r="J962" s="396"/>
      <c r="K962" s="396"/>
      <c r="L962" s="404"/>
      <c r="M962" s="396"/>
      <c r="N962" s="396"/>
      <c r="O962" s="396"/>
      <c r="P962" s="396"/>
      <c r="Q962" s="396"/>
      <c r="R962" s="396"/>
      <c r="S962" s="396"/>
      <c r="T962" s="396"/>
      <c r="U962" s="404"/>
      <c r="V962" s="404"/>
      <c r="W962" s="396"/>
      <c r="X962" s="396"/>
      <c r="Y962" s="396"/>
      <c r="Z962" s="396"/>
      <c r="AA962" s="396"/>
      <c r="AB962" s="396"/>
      <c r="AC962" s="404"/>
      <c r="AD962" s="396"/>
      <c r="AE962" s="396"/>
      <c r="AF962" s="396"/>
      <c r="AG962" s="396"/>
      <c r="AH962" s="396"/>
      <c r="AI962" s="396"/>
      <c r="AJ962" s="415"/>
      <c r="AK962" s="405">
        <f t="shared" si="149"/>
        <v>0</v>
      </c>
      <c r="AL962" s="406"/>
      <c r="AM962" s="407">
        <f>AK962</f>
        <v>0</v>
      </c>
      <c r="AN962" s="583"/>
    </row>
    <row r="963" spans="3:40" ht="12.75" x14ac:dyDescent="0.2">
      <c r="C963" s="580"/>
      <c r="D963" s="643" t="s">
        <v>56</v>
      </c>
      <c r="E963" s="393" t="s">
        <v>18</v>
      </c>
      <c r="F963" s="394"/>
      <c r="G963" s="394"/>
      <c r="H963" s="393"/>
      <c r="I963" s="393">
        <v>55.99</v>
      </c>
      <c r="J963" s="394"/>
      <c r="K963" s="394"/>
      <c r="L963" s="394"/>
      <c r="M963" s="394"/>
      <c r="N963" s="393"/>
      <c r="O963" s="394"/>
      <c r="P963" s="394"/>
      <c r="Q963" s="394"/>
      <c r="R963" s="394"/>
      <c r="S963" s="394"/>
      <c r="T963" s="393"/>
      <c r="U963" s="393"/>
      <c r="V963" s="394"/>
      <c r="W963" s="394"/>
      <c r="X963" s="394"/>
      <c r="Y963" s="394"/>
      <c r="Z963" s="394"/>
      <c r="AA963" s="394"/>
      <c r="AB963" s="394"/>
      <c r="AC963" s="394"/>
      <c r="AD963" s="394"/>
      <c r="AE963" s="394"/>
      <c r="AF963" s="394"/>
      <c r="AG963" s="394"/>
      <c r="AH963" s="394"/>
      <c r="AI963" s="394"/>
      <c r="AJ963" s="414"/>
      <c r="AK963" s="395">
        <f t="shared" si="149"/>
        <v>55.99</v>
      </c>
      <c r="AL963" s="408">
        <f>AK963</f>
        <v>55.99</v>
      </c>
      <c r="AM963" s="409"/>
      <c r="AN963" s="633">
        <f>SUM(AL963:AM964)</f>
        <v>55.99</v>
      </c>
    </row>
    <row r="964" spans="3:40" ht="12.75" x14ac:dyDescent="0.2">
      <c r="C964" s="580"/>
      <c r="D964" s="577"/>
      <c r="E964" s="404" t="s">
        <v>19</v>
      </c>
      <c r="F964" s="396"/>
      <c r="G964" s="396"/>
      <c r="H964" s="396"/>
      <c r="I964" s="396"/>
      <c r="J964" s="396"/>
      <c r="K964" s="396"/>
      <c r="L964" s="396"/>
      <c r="M964" s="396"/>
      <c r="N964" s="396"/>
      <c r="O964" s="396"/>
      <c r="P964" s="396"/>
      <c r="Q964" s="396"/>
      <c r="R964" s="396"/>
      <c r="S964" s="396"/>
      <c r="T964" s="396"/>
      <c r="U964" s="396"/>
      <c r="V964" s="396"/>
      <c r="W964" s="396"/>
      <c r="X964" s="396"/>
      <c r="Y964" s="396"/>
      <c r="Z964" s="396"/>
      <c r="AA964" s="396"/>
      <c r="AB964" s="396"/>
      <c r="AC964" s="396"/>
      <c r="AD964" s="396"/>
      <c r="AE964" s="396"/>
      <c r="AF964" s="396"/>
      <c r="AG964" s="396"/>
      <c r="AH964" s="396"/>
      <c r="AI964" s="396"/>
      <c r="AJ964" s="415"/>
      <c r="AK964" s="405">
        <f t="shared" si="149"/>
        <v>0</v>
      </c>
      <c r="AL964" s="406"/>
      <c r="AM964" s="407">
        <f>AK964</f>
        <v>0</v>
      </c>
      <c r="AN964" s="583"/>
    </row>
    <row r="965" spans="3:40" ht="12.75" x14ac:dyDescent="0.2">
      <c r="C965" s="580"/>
      <c r="D965" s="643" t="s">
        <v>57</v>
      </c>
      <c r="E965" s="393" t="s">
        <v>18</v>
      </c>
      <c r="F965" s="394"/>
      <c r="G965" s="394"/>
      <c r="H965" s="394"/>
      <c r="I965" s="394"/>
      <c r="J965" s="394"/>
      <c r="K965" s="394"/>
      <c r="L965" s="394"/>
      <c r="M965" s="393"/>
      <c r="N965" s="394"/>
      <c r="O965" s="394"/>
      <c r="P965" s="394"/>
      <c r="Q965" s="394"/>
      <c r="R965" s="394"/>
      <c r="S965" s="394"/>
      <c r="T965" s="393"/>
      <c r="U965" s="394"/>
      <c r="V965" s="394"/>
      <c r="W965" s="394"/>
      <c r="X965" s="394"/>
      <c r="Y965" s="393"/>
      <c r="Z965" s="394"/>
      <c r="AA965" s="394"/>
      <c r="AB965" s="394"/>
      <c r="AC965" s="394"/>
      <c r="AD965" s="394"/>
      <c r="AE965" s="394"/>
      <c r="AF965" s="394"/>
      <c r="AG965" s="394"/>
      <c r="AH965" s="394"/>
      <c r="AI965" s="394"/>
      <c r="AJ965" s="414"/>
      <c r="AK965" s="395">
        <f t="shared" si="149"/>
        <v>0</v>
      </c>
      <c r="AL965" s="408">
        <f>AK965</f>
        <v>0</v>
      </c>
      <c r="AM965" s="409"/>
      <c r="AN965" s="633">
        <f>SUM(AL965:AM966)</f>
        <v>0</v>
      </c>
    </row>
    <row r="966" spans="3:40" ht="12.75" x14ac:dyDescent="0.2">
      <c r="C966" s="581"/>
      <c r="D966" s="585"/>
      <c r="E966" s="410" t="s">
        <v>19</v>
      </c>
      <c r="F966" s="407"/>
      <c r="G966" s="407"/>
      <c r="H966" s="407"/>
      <c r="I966" s="407"/>
      <c r="J966" s="407"/>
      <c r="K966" s="407"/>
      <c r="L966" s="407"/>
      <c r="M966" s="407"/>
      <c r="N966" s="407"/>
      <c r="O966" s="407"/>
      <c r="P966" s="407"/>
      <c r="Q966" s="407"/>
      <c r="R966" s="407"/>
      <c r="S966" s="407"/>
      <c r="T966" s="410"/>
      <c r="U966" s="407"/>
      <c r="V966" s="407"/>
      <c r="W966" s="407"/>
      <c r="X966" s="407"/>
      <c r="Y966" s="407"/>
      <c r="Z966" s="407"/>
      <c r="AA966" s="407"/>
      <c r="AB966" s="407"/>
      <c r="AC966" s="407"/>
      <c r="AD966" s="407"/>
      <c r="AE966" s="407"/>
      <c r="AF966" s="407"/>
      <c r="AG966" s="407"/>
      <c r="AH966" s="407"/>
      <c r="AI966" s="407"/>
      <c r="AJ966" s="418"/>
      <c r="AK966" s="405">
        <f t="shared" si="149"/>
        <v>0</v>
      </c>
      <c r="AL966" s="406"/>
      <c r="AM966" s="407">
        <f>AK966</f>
        <v>0</v>
      </c>
      <c r="AN966" s="583"/>
    </row>
    <row r="967" spans="3:40" ht="12.75" x14ac:dyDescent="0.2">
      <c r="C967" s="629" t="s">
        <v>58</v>
      </c>
      <c r="D967" s="644" t="s">
        <v>59</v>
      </c>
      <c r="E967" s="411" t="s">
        <v>18</v>
      </c>
      <c r="F967" s="412"/>
      <c r="G967" s="412"/>
      <c r="H967" s="411">
        <v>25</v>
      </c>
      <c r="I967" s="411"/>
      <c r="J967" s="412"/>
      <c r="K967" s="411"/>
      <c r="L967" s="411"/>
      <c r="M967" s="411"/>
      <c r="N967" s="412"/>
      <c r="O967" s="412"/>
      <c r="P967" s="411"/>
      <c r="Q967" s="412"/>
      <c r="R967" s="412"/>
      <c r="S967" s="411"/>
      <c r="T967" s="412"/>
      <c r="U967" s="412"/>
      <c r="V967" s="412"/>
      <c r="W967" s="412"/>
      <c r="X967" s="411"/>
      <c r="Y967" s="411"/>
      <c r="Z967" s="411"/>
      <c r="AA967" s="412"/>
      <c r="AB967" s="412"/>
      <c r="AC967" s="412"/>
      <c r="AD967" s="412"/>
      <c r="AE967" s="412"/>
      <c r="AF967" s="412"/>
      <c r="AG967" s="411"/>
      <c r="AH967" s="412"/>
      <c r="AI967" s="412"/>
      <c r="AJ967" s="417"/>
      <c r="AK967" s="395">
        <f t="shared" si="149"/>
        <v>25</v>
      </c>
      <c r="AL967" s="408">
        <f>AK967</f>
        <v>25</v>
      </c>
      <c r="AM967" s="409"/>
      <c r="AN967" s="635">
        <f>SUM(AL967:AM968)</f>
        <v>25</v>
      </c>
    </row>
    <row r="968" spans="3:40" ht="12.75" x14ac:dyDescent="0.2">
      <c r="C968" s="580"/>
      <c r="D968" s="577"/>
      <c r="E968" s="404" t="s">
        <v>19</v>
      </c>
      <c r="F968" s="396"/>
      <c r="G968" s="396"/>
      <c r="H968" s="396"/>
      <c r="I968" s="396"/>
      <c r="J968" s="396"/>
      <c r="K968" s="404"/>
      <c r="L968" s="396"/>
      <c r="M968" s="404"/>
      <c r="N968" s="404"/>
      <c r="O968" s="404"/>
      <c r="P968" s="396"/>
      <c r="Q968" s="396"/>
      <c r="R968" s="396"/>
      <c r="S968" s="396"/>
      <c r="T968" s="396"/>
      <c r="U968" s="396"/>
      <c r="V968" s="396"/>
      <c r="W968" s="404"/>
      <c r="X968" s="396"/>
      <c r="Y968" s="396"/>
      <c r="Z968" s="396"/>
      <c r="AA968" s="396"/>
      <c r="AB968" s="396"/>
      <c r="AC968" s="396"/>
      <c r="AD968" s="396"/>
      <c r="AE968" s="396"/>
      <c r="AF968" s="396"/>
      <c r="AG968" s="396"/>
      <c r="AH968" s="396"/>
      <c r="AI968" s="396"/>
      <c r="AJ968" s="415"/>
      <c r="AK968" s="405">
        <f t="shared" si="149"/>
        <v>0</v>
      </c>
      <c r="AL968" s="406"/>
      <c r="AM968" s="407">
        <f>AK968</f>
        <v>0</v>
      </c>
      <c r="AN968" s="585"/>
    </row>
    <row r="969" spans="3:40" ht="12.75" x14ac:dyDescent="0.2">
      <c r="C969" s="580"/>
      <c r="D969" s="643" t="s">
        <v>60</v>
      </c>
      <c r="E969" s="393" t="s">
        <v>18</v>
      </c>
      <c r="F969" s="394"/>
      <c r="G969" s="394"/>
      <c r="H969" s="394"/>
      <c r="I969" s="394"/>
      <c r="J969" s="394"/>
      <c r="K969" s="393"/>
      <c r="L969" s="394"/>
      <c r="M969" s="393"/>
      <c r="N969" s="393"/>
      <c r="O969" s="394"/>
      <c r="P969" s="394"/>
      <c r="Q969" s="394"/>
      <c r="R969" s="394"/>
      <c r="S969" s="393"/>
      <c r="T969" s="394"/>
      <c r="U969" s="394"/>
      <c r="V969" s="394"/>
      <c r="W969" s="394"/>
      <c r="X969" s="394"/>
      <c r="Y969" s="394"/>
      <c r="Z969" s="394"/>
      <c r="AA969" s="394"/>
      <c r="AB969" s="394"/>
      <c r="AC969" s="394"/>
      <c r="AD969" s="394"/>
      <c r="AE969" s="394"/>
      <c r="AF969" s="394"/>
      <c r="AG969" s="394"/>
      <c r="AH969" s="394"/>
      <c r="AI969" s="394"/>
      <c r="AJ969" s="414"/>
      <c r="AK969" s="395">
        <f t="shared" si="149"/>
        <v>0</v>
      </c>
      <c r="AL969" s="403">
        <f>AK969</f>
        <v>0</v>
      </c>
      <c r="AM969" s="396"/>
      <c r="AN969" s="633">
        <f>SUM(AL969:AM970)</f>
        <v>0</v>
      </c>
    </row>
    <row r="970" spans="3:40" ht="12.75" x14ac:dyDescent="0.2">
      <c r="C970" s="580"/>
      <c r="D970" s="577"/>
      <c r="E970" s="404" t="s">
        <v>19</v>
      </c>
      <c r="F970" s="396"/>
      <c r="G970" s="396"/>
      <c r="H970" s="396"/>
      <c r="I970" s="396"/>
      <c r="J970" s="396"/>
      <c r="K970" s="404"/>
      <c r="L970" s="396"/>
      <c r="M970" s="396"/>
      <c r="N970" s="396"/>
      <c r="O970" s="396"/>
      <c r="P970" s="396"/>
      <c r="Q970" s="404"/>
      <c r="R970" s="396"/>
      <c r="S970" s="396"/>
      <c r="T970" s="396"/>
      <c r="U970" s="396"/>
      <c r="V970" s="396"/>
      <c r="W970" s="396"/>
      <c r="X970" s="396"/>
      <c r="Y970" s="396"/>
      <c r="Z970" s="396"/>
      <c r="AA970" s="396"/>
      <c r="AB970" s="396"/>
      <c r="AC970" s="396"/>
      <c r="AD970" s="396"/>
      <c r="AE970" s="396"/>
      <c r="AF970" s="396"/>
      <c r="AG970" s="396"/>
      <c r="AH970" s="396"/>
      <c r="AI970" s="396"/>
      <c r="AJ970" s="415"/>
      <c r="AK970" s="405">
        <f t="shared" si="149"/>
        <v>0</v>
      </c>
      <c r="AL970" s="403"/>
      <c r="AM970" s="396">
        <f>AK970</f>
        <v>0</v>
      </c>
      <c r="AN970" s="583"/>
    </row>
    <row r="971" spans="3:40" ht="12.75" x14ac:dyDescent="0.2">
      <c r="C971" s="580"/>
      <c r="D971" s="643" t="s">
        <v>61</v>
      </c>
      <c r="E971" s="393" t="s">
        <v>18</v>
      </c>
      <c r="F971" s="393"/>
      <c r="G971" s="394"/>
      <c r="H971" s="394"/>
      <c r="I971" s="394"/>
      <c r="J971" s="394"/>
      <c r="K971" s="394"/>
      <c r="L971" s="394"/>
      <c r="M971" s="394"/>
      <c r="N971" s="394"/>
      <c r="O971" s="393">
        <v>28</v>
      </c>
      <c r="P971" s="394"/>
      <c r="Q971" s="393">
        <v>21</v>
      </c>
      <c r="R971" s="394"/>
      <c r="S971" s="393"/>
      <c r="T971" s="394"/>
      <c r="U971" s="394"/>
      <c r="V971" s="394"/>
      <c r="W971" s="393"/>
      <c r="X971" s="394"/>
      <c r="Y971" s="394"/>
      <c r="Z971" s="394"/>
      <c r="AA971" s="394"/>
      <c r="AB971" s="394"/>
      <c r="AC971" s="393"/>
      <c r="AD971" s="394"/>
      <c r="AE971" s="394"/>
      <c r="AF971" s="393"/>
      <c r="AG971" s="394"/>
      <c r="AH971" s="394"/>
      <c r="AI971" s="394"/>
      <c r="AJ971" s="414"/>
      <c r="AK971" s="414">
        <f t="shared" si="149"/>
        <v>49</v>
      </c>
      <c r="AL971" s="408">
        <f>AK971</f>
        <v>49</v>
      </c>
      <c r="AM971" s="409"/>
      <c r="AN971" s="635">
        <f>SUM(AL971:AM972)</f>
        <v>49</v>
      </c>
    </row>
    <row r="972" spans="3:40" ht="12.75" x14ac:dyDescent="0.2">
      <c r="C972" s="580"/>
      <c r="D972" s="577"/>
      <c r="E972" s="404" t="s">
        <v>19</v>
      </c>
      <c r="F972" s="396"/>
      <c r="G972" s="396"/>
      <c r="H972" s="396"/>
      <c r="I972" s="396"/>
      <c r="J972" s="396"/>
      <c r="K972" s="396"/>
      <c r="L972" s="396"/>
      <c r="M972" s="396"/>
      <c r="N972" s="396"/>
      <c r="O972" s="396"/>
      <c r="P972" s="396"/>
      <c r="Q972" s="396"/>
      <c r="R972" s="396"/>
      <c r="S972" s="396"/>
      <c r="T972" s="396"/>
      <c r="U972" s="396"/>
      <c r="V972" s="396"/>
      <c r="W972" s="404"/>
      <c r="X972" s="396"/>
      <c r="Y972" s="404"/>
      <c r="Z972" s="396"/>
      <c r="AA972" s="396"/>
      <c r="AB972" s="396"/>
      <c r="AC972" s="396"/>
      <c r="AD972" s="396"/>
      <c r="AE972" s="396"/>
      <c r="AF972" s="396"/>
      <c r="AG972" s="396"/>
      <c r="AH972" s="396"/>
      <c r="AI972" s="396"/>
      <c r="AJ972" s="415"/>
      <c r="AK972" s="415">
        <f t="shared" si="149"/>
        <v>0</v>
      </c>
      <c r="AL972" s="406"/>
      <c r="AM972" s="407">
        <f>AK972</f>
        <v>0</v>
      </c>
      <c r="AN972" s="585"/>
    </row>
    <row r="973" spans="3:40" ht="12.75" x14ac:dyDescent="0.2">
      <c r="C973" s="580"/>
      <c r="D973" s="643" t="s">
        <v>62</v>
      </c>
      <c r="E973" s="393" t="s">
        <v>18</v>
      </c>
      <c r="F973" s="394"/>
      <c r="G973" s="394"/>
      <c r="H973" s="393">
        <v>10</v>
      </c>
      <c r="I973" s="393"/>
      <c r="J973" s="394"/>
      <c r="K973" s="394"/>
      <c r="L973" s="394"/>
      <c r="M973" s="394"/>
      <c r="N973" s="393"/>
      <c r="O973" s="394"/>
      <c r="P973" s="393"/>
      <c r="Q973" s="393"/>
      <c r="R973" s="394"/>
      <c r="S973" s="394"/>
      <c r="T973" s="394"/>
      <c r="U973" s="394"/>
      <c r="V973" s="393"/>
      <c r="W973" s="393"/>
      <c r="X973" s="393"/>
      <c r="Y973" s="393"/>
      <c r="Z973" s="393"/>
      <c r="AA973" s="394"/>
      <c r="AB973" s="394"/>
      <c r="AC973" s="394"/>
      <c r="AD973" s="394"/>
      <c r="AE973" s="394"/>
      <c r="AF973" s="394"/>
      <c r="AG973" s="394"/>
      <c r="AH973" s="394"/>
      <c r="AI973" s="394"/>
      <c r="AJ973" s="414"/>
      <c r="AK973" s="414">
        <f t="shared" si="149"/>
        <v>10</v>
      </c>
      <c r="AL973" s="408">
        <f>AK973</f>
        <v>10</v>
      </c>
      <c r="AM973" s="409"/>
      <c r="AN973" s="633">
        <f>SUM(AL973:AM974)</f>
        <v>10</v>
      </c>
    </row>
    <row r="974" spans="3:40" ht="12.75" x14ac:dyDescent="0.2">
      <c r="C974" s="581"/>
      <c r="D974" s="577"/>
      <c r="E974" s="404" t="s">
        <v>19</v>
      </c>
      <c r="F974" s="396"/>
      <c r="G974" s="396"/>
      <c r="H974" s="404"/>
      <c r="I974" s="396"/>
      <c r="J974" s="396"/>
      <c r="K974" s="396"/>
      <c r="L974" s="404"/>
      <c r="M974" s="396"/>
      <c r="N974" s="396"/>
      <c r="O974" s="396"/>
      <c r="P974" s="404"/>
      <c r="Q974" s="396"/>
      <c r="R974" s="396"/>
      <c r="S974" s="404"/>
      <c r="T974" s="396"/>
      <c r="U974" s="396"/>
      <c r="V974" s="404"/>
      <c r="W974" s="404"/>
      <c r="X974" s="396"/>
      <c r="Y974" s="404"/>
      <c r="Z974" s="396"/>
      <c r="AA974" s="396"/>
      <c r="AB974" s="396"/>
      <c r="AC974" s="396"/>
      <c r="AD974" s="396"/>
      <c r="AE974" s="396"/>
      <c r="AF974" s="396"/>
      <c r="AG974" s="396"/>
      <c r="AH974" s="396"/>
      <c r="AI974" s="396"/>
      <c r="AJ974" s="415"/>
      <c r="AK974" s="415">
        <f t="shared" si="149"/>
        <v>0</v>
      </c>
      <c r="AL974" s="406"/>
      <c r="AM974" s="407">
        <f>AK974</f>
        <v>0</v>
      </c>
      <c r="AN974" s="583"/>
    </row>
    <row r="975" spans="3:40" ht="12.75" x14ac:dyDescent="0.2">
      <c r="C975" s="629" t="s">
        <v>63</v>
      </c>
      <c r="D975" s="644" t="s">
        <v>75</v>
      </c>
      <c r="E975" s="411" t="s">
        <v>18</v>
      </c>
      <c r="F975" s="412"/>
      <c r="G975" s="412"/>
      <c r="H975" s="412"/>
      <c r="I975" s="412"/>
      <c r="J975" s="412"/>
      <c r="K975" s="412"/>
      <c r="L975" s="412"/>
      <c r="M975" s="412"/>
      <c r="N975" s="412"/>
      <c r="O975" s="412"/>
      <c r="P975" s="412"/>
      <c r="Q975" s="412"/>
      <c r="R975" s="412"/>
      <c r="S975" s="412"/>
      <c r="T975" s="412"/>
      <c r="U975" s="412"/>
      <c r="V975" s="412"/>
      <c r="W975" s="411"/>
      <c r="X975" s="412"/>
      <c r="Y975" s="411"/>
      <c r="Z975" s="412"/>
      <c r="AA975" s="412"/>
      <c r="AB975" s="412"/>
      <c r="AC975" s="412"/>
      <c r="AD975" s="412"/>
      <c r="AE975" s="412"/>
      <c r="AF975" s="412"/>
      <c r="AG975" s="412"/>
      <c r="AH975" s="412"/>
      <c r="AI975" s="412"/>
      <c r="AJ975" s="417"/>
      <c r="AK975" s="395">
        <f t="shared" si="149"/>
        <v>0</v>
      </c>
      <c r="AL975" s="412">
        <f>AK975</f>
        <v>0</v>
      </c>
      <c r="AM975" s="409"/>
      <c r="AN975" s="633">
        <f>SUM(AL975:AM976)</f>
        <v>0</v>
      </c>
    </row>
    <row r="976" spans="3:40" ht="12.75" x14ac:dyDescent="0.2">
      <c r="C976" s="580"/>
      <c r="D976" s="577"/>
      <c r="E976" s="404" t="s">
        <v>19</v>
      </c>
      <c r="F976" s="396"/>
      <c r="G976" s="396"/>
      <c r="H976" s="396"/>
      <c r="I976" s="396"/>
      <c r="J976" s="396"/>
      <c r="K976" s="396"/>
      <c r="L976" s="396"/>
      <c r="M976" s="396"/>
      <c r="N976" s="396"/>
      <c r="O976" s="396"/>
      <c r="P976" s="396"/>
      <c r="Q976" s="396"/>
      <c r="R976" s="396"/>
      <c r="S976" s="396"/>
      <c r="T976" s="396"/>
      <c r="U976" s="396"/>
      <c r="V976" s="396"/>
      <c r="W976" s="396"/>
      <c r="X976" s="404"/>
      <c r="Y976" s="396"/>
      <c r="Z976" s="396"/>
      <c r="AA976" s="396"/>
      <c r="AB976" s="396"/>
      <c r="AC976" s="396"/>
      <c r="AD976" s="396"/>
      <c r="AE976" s="396"/>
      <c r="AF976" s="396"/>
      <c r="AG976" s="396"/>
      <c r="AH976" s="396"/>
      <c r="AI976" s="396"/>
      <c r="AJ976" s="415"/>
      <c r="AK976" s="405">
        <f t="shared" si="149"/>
        <v>0</v>
      </c>
      <c r="AL976" s="406"/>
      <c r="AM976" s="407">
        <f>AK976</f>
        <v>0</v>
      </c>
      <c r="AN976" s="583"/>
    </row>
    <row r="977" spans="3:45" ht="12.75" x14ac:dyDescent="0.2">
      <c r="C977" s="580"/>
      <c r="D977" s="643" t="s">
        <v>65</v>
      </c>
      <c r="E977" s="393" t="s">
        <v>18</v>
      </c>
      <c r="F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394"/>
      <c r="R977" s="394"/>
      <c r="S977" s="394"/>
      <c r="T977" s="394"/>
      <c r="U977" s="394"/>
      <c r="V977" s="394"/>
      <c r="W977" s="394"/>
      <c r="X977" s="394"/>
      <c r="Y977" s="394"/>
      <c r="Z977" s="394"/>
      <c r="AA977" s="394"/>
      <c r="AB977" s="394"/>
      <c r="AC977" s="394"/>
      <c r="AD977" s="394"/>
      <c r="AE977" s="394"/>
      <c r="AF977" s="394"/>
      <c r="AG977" s="394"/>
      <c r="AH977" s="394"/>
      <c r="AI977" s="394"/>
      <c r="AJ977" s="414"/>
      <c r="AK977" s="395">
        <f t="shared" si="149"/>
        <v>0</v>
      </c>
      <c r="AL977" s="408">
        <f>AK977</f>
        <v>0</v>
      </c>
      <c r="AM977" s="409"/>
      <c r="AN977" s="633">
        <f>SUM(AL977:AM978)</f>
        <v>0</v>
      </c>
    </row>
    <row r="978" spans="3:45" ht="12.75" x14ac:dyDescent="0.2">
      <c r="C978" s="581"/>
      <c r="D978" s="585"/>
      <c r="E978" s="410" t="s">
        <v>19</v>
      </c>
      <c r="F978" s="407"/>
      <c r="G978" s="407"/>
      <c r="H978" s="407"/>
      <c r="I978" s="407"/>
      <c r="J978" s="410"/>
      <c r="K978" s="407"/>
      <c r="L978" s="407"/>
      <c r="M978" s="407"/>
      <c r="N978" s="407"/>
      <c r="O978" s="407"/>
      <c r="P978" s="407"/>
      <c r="Q978" s="407"/>
      <c r="R978" s="407"/>
      <c r="S978" s="407"/>
      <c r="T978" s="407"/>
      <c r="U978" s="410"/>
      <c r="V978" s="410"/>
      <c r="W978" s="407"/>
      <c r="X978" s="407"/>
      <c r="Y978" s="407"/>
      <c r="Z978" s="407"/>
      <c r="AA978" s="407"/>
      <c r="AB978" s="407"/>
      <c r="AC978" s="407"/>
      <c r="AD978" s="407"/>
      <c r="AE978" s="407"/>
      <c r="AF978" s="407"/>
      <c r="AG978" s="407"/>
      <c r="AH978" s="407"/>
      <c r="AI978" s="407"/>
      <c r="AJ978" s="418"/>
      <c r="AK978" s="419">
        <f t="shared" si="149"/>
        <v>0</v>
      </c>
      <c r="AL978" s="406"/>
      <c r="AM978" s="407">
        <f>AK978</f>
        <v>0</v>
      </c>
      <c r="AN978" s="583"/>
    </row>
    <row r="979" spans="3:45" ht="12.75" x14ac:dyDescent="0.2">
      <c r="C979" s="420" t="s">
        <v>32</v>
      </c>
      <c r="D979" s="396"/>
      <c r="E979" s="396"/>
      <c r="F979" s="396">
        <f t="shared" ref="F979:AM979" si="154">SUM(F928:F978)</f>
        <v>23.33</v>
      </c>
      <c r="G979" s="396">
        <f t="shared" si="154"/>
        <v>15.86</v>
      </c>
      <c r="H979" s="396">
        <f t="shared" si="154"/>
        <v>60.05</v>
      </c>
      <c r="I979" s="396">
        <f t="shared" si="154"/>
        <v>205.35000000000002</v>
      </c>
      <c r="J979" s="396">
        <f t="shared" si="154"/>
        <v>113.63</v>
      </c>
      <c r="K979" s="396">
        <f t="shared" si="154"/>
        <v>439.63</v>
      </c>
      <c r="L979" s="396">
        <f t="shared" si="154"/>
        <v>15</v>
      </c>
      <c r="M979" s="396">
        <f t="shared" si="154"/>
        <v>51.569999999999993</v>
      </c>
      <c r="N979" s="396">
        <f t="shared" si="154"/>
        <v>0</v>
      </c>
      <c r="O979" s="396">
        <f t="shared" si="154"/>
        <v>45.41</v>
      </c>
      <c r="P979" s="396">
        <f t="shared" si="154"/>
        <v>45.35</v>
      </c>
      <c r="Q979" s="396">
        <f t="shared" si="154"/>
        <v>74.460000000000008</v>
      </c>
      <c r="R979" s="396">
        <f t="shared" si="154"/>
        <v>33.44</v>
      </c>
      <c r="S979" s="396">
        <f t="shared" si="154"/>
        <v>34.340000000000003</v>
      </c>
      <c r="T979" s="396">
        <f t="shared" si="154"/>
        <v>26.17</v>
      </c>
      <c r="U979" s="396">
        <f t="shared" si="154"/>
        <v>23.45</v>
      </c>
      <c r="V979" s="396">
        <f t="shared" si="154"/>
        <v>9.91</v>
      </c>
      <c r="W979" s="396">
        <f t="shared" si="154"/>
        <v>21.98</v>
      </c>
      <c r="X979" s="396">
        <f t="shared" si="154"/>
        <v>24.08</v>
      </c>
      <c r="Y979" s="396">
        <f t="shared" si="154"/>
        <v>18.79</v>
      </c>
      <c r="Z979" s="396">
        <f t="shared" si="154"/>
        <v>14</v>
      </c>
      <c r="AA979" s="396">
        <f t="shared" si="154"/>
        <v>82.809999999999988</v>
      </c>
      <c r="AB979" s="396">
        <f t="shared" si="154"/>
        <v>114.43</v>
      </c>
      <c r="AC979" s="396">
        <f t="shared" si="154"/>
        <v>19.37</v>
      </c>
      <c r="AD979" s="396">
        <f t="shared" si="154"/>
        <v>84.02000000000001</v>
      </c>
      <c r="AE979" s="396">
        <f t="shared" si="154"/>
        <v>17.95</v>
      </c>
      <c r="AF979" s="396">
        <f t="shared" si="154"/>
        <v>39.5</v>
      </c>
      <c r="AG979" s="396">
        <f t="shared" si="154"/>
        <v>15.53</v>
      </c>
      <c r="AH979" s="396">
        <f t="shared" si="154"/>
        <v>0</v>
      </c>
      <c r="AI979" s="396">
        <f t="shared" si="154"/>
        <v>0</v>
      </c>
      <c r="AJ979" s="396">
        <f t="shared" si="154"/>
        <v>0</v>
      </c>
      <c r="AK979" s="421">
        <f t="shared" si="154"/>
        <v>1669.41</v>
      </c>
      <c r="AL979" s="394">
        <f t="shared" si="154"/>
        <v>1592.41</v>
      </c>
      <c r="AM979" s="396">
        <f t="shared" si="154"/>
        <v>77</v>
      </c>
    </row>
    <row r="982" spans="3:45" ht="12.75" x14ac:dyDescent="0.2">
      <c r="F982" s="642" t="s">
        <v>81</v>
      </c>
      <c r="G982" s="577"/>
      <c r="H982" s="577"/>
      <c r="I982" s="577"/>
      <c r="J982" s="577"/>
      <c r="K982" s="577"/>
      <c r="L982" s="577"/>
      <c r="M982" s="577"/>
      <c r="N982" s="577"/>
      <c r="O982" s="577"/>
      <c r="P982" s="577"/>
      <c r="Q982" s="577"/>
      <c r="R982" s="577"/>
      <c r="S982" s="577"/>
      <c r="T982" s="577"/>
      <c r="U982" s="577"/>
      <c r="V982" s="577"/>
      <c r="W982" s="577"/>
      <c r="X982" s="577"/>
      <c r="Y982" s="577"/>
      <c r="Z982" s="577"/>
      <c r="AA982" s="577"/>
      <c r="AB982" s="577"/>
      <c r="AC982" s="577"/>
      <c r="AD982" s="577"/>
      <c r="AE982" s="577"/>
      <c r="AF982" s="577"/>
      <c r="AG982" s="577"/>
      <c r="AH982" s="577"/>
      <c r="AI982" s="577"/>
      <c r="AJ982" s="577"/>
    </row>
    <row r="983" spans="3:45" ht="12.75" x14ac:dyDescent="0.2">
      <c r="E983" s="362" t="s">
        <v>9</v>
      </c>
      <c r="F983" s="362" t="s">
        <v>13</v>
      </c>
      <c r="G983" s="362" t="s">
        <v>14</v>
      </c>
      <c r="H983" s="362" t="s">
        <v>15</v>
      </c>
      <c r="I983" s="362" t="s">
        <v>16</v>
      </c>
      <c r="J983" s="362" t="s">
        <v>10</v>
      </c>
      <c r="K983" s="362" t="s">
        <v>11</v>
      </c>
      <c r="L983" s="362" t="s">
        <v>12</v>
      </c>
      <c r="M983" s="362" t="s">
        <v>13</v>
      </c>
      <c r="N983" s="362" t="s">
        <v>14</v>
      </c>
      <c r="O983" s="362" t="s">
        <v>15</v>
      </c>
      <c r="P983" s="362" t="s">
        <v>16</v>
      </c>
      <c r="Q983" s="362" t="s">
        <v>10</v>
      </c>
      <c r="R983" s="362" t="s">
        <v>11</v>
      </c>
      <c r="S983" s="362" t="s">
        <v>12</v>
      </c>
      <c r="T983" s="362" t="s">
        <v>13</v>
      </c>
      <c r="U983" s="362" t="s">
        <v>14</v>
      </c>
      <c r="V983" s="362" t="s">
        <v>15</v>
      </c>
      <c r="W983" s="362" t="s">
        <v>16</v>
      </c>
      <c r="X983" s="362" t="s">
        <v>10</v>
      </c>
      <c r="Y983" s="362" t="s">
        <v>11</v>
      </c>
      <c r="Z983" s="362" t="s">
        <v>12</v>
      </c>
      <c r="AA983" s="362" t="s">
        <v>13</v>
      </c>
      <c r="AB983" s="362" t="s">
        <v>14</v>
      </c>
      <c r="AC983" s="362" t="s">
        <v>15</v>
      </c>
      <c r="AD983" s="362" t="s">
        <v>16</v>
      </c>
      <c r="AE983" s="362" t="s">
        <v>10</v>
      </c>
      <c r="AF983" s="362" t="s">
        <v>11</v>
      </c>
      <c r="AG983" s="362" t="s">
        <v>12</v>
      </c>
      <c r="AH983" s="362" t="s">
        <v>13</v>
      </c>
      <c r="AI983" s="362" t="s">
        <v>14</v>
      </c>
      <c r="AJ983" s="362" t="s">
        <v>15</v>
      </c>
      <c r="AK983" s="362"/>
      <c r="AL983" s="363"/>
      <c r="AM983" s="364"/>
      <c r="AN983" s="365"/>
      <c r="AP983" s="366"/>
      <c r="AQ983" s="367" t="s">
        <v>17</v>
      </c>
      <c r="AR983" s="367" t="s">
        <v>18</v>
      </c>
      <c r="AS983" s="367" t="s">
        <v>19</v>
      </c>
    </row>
    <row r="984" spans="3:45" ht="12.75" x14ac:dyDescent="0.2">
      <c r="E984" s="362" t="s">
        <v>20</v>
      </c>
      <c r="F984" s="362">
        <v>1</v>
      </c>
      <c r="G984" s="362">
        <v>2</v>
      </c>
      <c r="H984" s="362">
        <v>3</v>
      </c>
      <c r="I984" s="362">
        <v>4</v>
      </c>
      <c r="J984" s="362">
        <v>5</v>
      </c>
      <c r="K984" s="362">
        <v>6</v>
      </c>
      <c r="L984" s="362">
        <v>7</v>
      </c>
      <c r="M984" s="362">
        <v>8</v>
      </c>
      <c r="N984" s="362">
        <v>9</v>
      </c>
      <c r="O984" s="362">
        <v>10</v>
      </c>
      <c r="P984" s="362">
        <v>11</v>
      </c>
      <c r="Q984" s="362">
        <v>12</v>
      </c>
      <c r="R984" s="362">
        <v>13</v>
      </c>
      <c r="S984" s="362">
        <v>14</v>
      </c>
      <c r="T984" s="362">
        <v>15</v>
      </c>
      <c r="U984" s="362">
        <v>16</v>
      </c>
      <c r="V984" s="362">
        <v>17</v>
      </c>
      <c r="W984" s="362">
        <v>18</v>
      </c>
      <c r="X984" s="362">
        <v>19</v>
      </c>
      <c r="Y984" s="362">
        <v>20</v>
      </c>
      <c r="Z984" s="362">
        <v>21</v>
      </c>
      <c r="AA984" s="362">
        <v>22</v>
      </c>
      <c r="AB984" s="362">
        <v>23</v>
      </c>
      <c r="AC984" s="362">
        <v>24</v>
      </c>
      <c r="AD984" s="362">
        <v>25</v>
      </c>
      <c r="AE984" s="362">
        <v>26</v>
      </c>
      <c r="AF984" s="362">
        <v>27</v>
      </c>
      <c r="AG984" s="362">
        <v>28</v>
      </c>
      <c r="AH984" s="362">
        <v>29</v>
      </c>
      <c r="AI984" s="362">
        <v>30</v>
      </c>
      <c r="AJ984" s="362">
        <v>31</v>
      </c>
      <c r="AK984" s="362" t="s">
        <v>21</v>
      </c>
      <c r="AL984" s="363" t="s">
        <v>18</v>
      </c>
      <c r="AM984" s="364" t="s">
        <v>19</v>
      </c>
      <c r="AN984" s="368" t="s">
        <v>22</v>
      </c>
      <c r="AP984" s="367" t="s">
        <v>23</v>
      </c>
      <c r="AQ984" s="369">
        <f>AK995-AK1047</f>
        <v>-100.83000000000015</v>
      </c>
      <c r="AR984" s="369">
        <f t="shared" ref="AR984:AS984" si="155">(AL995-AL1047)</f>
        <v>-41.830000000000155</v>
      </c>
      <c r="AS984" s="369">
        <f t="shared" si="155"/>
        <v>-85</v>
      </c>
    </row>
    <row r="985" spans="3:45" ht="12.75" x14ac:dyDescent="0.2">
      <c r="C985" s="628" t="s">
        <v>24</v>
      </c>
      <c r="D985" s="370" t="s">
        <v>25</v>
      </c>
      <c r="E985" s="371" t="s">
        <v>18</v>
      </c>
      <c r="F985" s="372"/>
      <c r="G985" s="372"/>
      <c r="H985" s="371">
        <v>1012.68</v>
      </c>
      <c r="I985" s="371"/>
      <c r="J985" s="371"/>
      <c r="K985" s="372"/>
      <c r="L985" s="372"/>
      <c r="M985" s="372"/>
      <c r="N985" s="372"/>
      <c r="O985" s="372"/>
      <c r="P985" s="372"/>
      <c r="Q985" s="372"/>
      <c r="R985" s="372"/>
      <c r="S985" s="372"/>
      <c r="T985" s="371"/>
      <c r="U985" s="372"/>
      <c r="V985" s="372"/>
      <c r="W985" s="371"/>
      <c r="X985" s="371"/>
      <c r="Y985" s="371">
        <v>525</v>
      </c>
      <c r="Z985" s="372"/>
      <c r="AA985" s="372"/>
      <c r="AB985" s="372"/>
      <c r="AC985" s="372"/>
      <c r="AD985" s="372"/>
      <c r="AE985" s="372"/>
      <c r="AF985" s="372"/>
      <c r="AG985" s="372"/>
      <c r="AH985" s="372"/>
      <c r="AI985" s="372"/>
      <c r="AJ985" s="372"/>
      <c r="AK985" s="373">
        <f t="shared" ref="AK985:AK994" si="156">SUM(F985:AJ985)</f>
        <v>1537.6799999999998</v>
      </c>
      <c r="AL985" s="366">
        <f t="shared" ref="AL985:AL986" si="157">AK985</f>
        <v>1537.6799999999998</v>
      </c>
      <c r="AM985" s="369"/>
      <c r="AN985" s="374">
        <f>AL985</f>
        <v>1537.6799999999998</v>
      </c>
    </row>
    <row r="986" spans="3:45" ht="12.75" x14ac:dyDescent="0.2">
      <c r="C986" s="580"/>
      <c r="D986" s="645" t="s">
        <v>26</v>
      </c>
      <c r="E986" s="363" t="s">
        <v>18</v>
      </c>
      <c r="F986" s="366"/>
      <c r="G986" s="366"/>
      <c r="H986" s="366"/>
      <c r="I986" s="366"/>
      <c r="J986" s="366"/>
      <c r="K986" s="366"/>
      <c r="L986" s="366"/>
      <c r="M986" s="366"/>
      <c r="N986" s="366"/>
      <c r="O986" s="366"/>
      <c r="P986" s="366"/>
      <c r="Q986" s="366"/>
      <c r="R986" s="366"/>
      <c r="S986" s="366"/>
      <c r="T986" s="366"/>
      <c r="U986" s="366"/>
      <c r="V986" s="366"/>
      <c r="W986" s="366"/>
      <c r="X986" s="363"/>
      <c r="Y986" s="366"/>
      <c r="Z986" s="366"/>
      <c r="AA986" s="366"/>
      <c r="AB986" s="366"/>
      <c r="AC986" s="366"/>
      <c r="AD986" s="366"/>
      <c r="AE986" s="366"/>
      <c r="AF986" s="366"/>
      <c r="AG986" s="366"/>
      <c r="AH986" s="366"/>
      <c r="AI986" s="366"/>
      <c r="AJ986" s="366"/>
      <c r="AK986" s="376">
        <f t="shared" si="156"/>
        <v>0</v>
      </c>
      <c r="AL986" s="377">
        <f t="shared" si="157"/>
        <v>0</v>
      </c>
      <c r="AM986" s="378"/>
      <c r="AN986" s="633">
        <f>SUM(AL986:AM987)</f>
        <v>0</v>
      </c>
    </row>
    <row r="987" spans="3:45" ht="12.75" x14ac:dyDescent="0.2">
      <c r="C987" s="580"/>
      <c r="D987" s="577"/>
      <c r="E987" s="364" t="s">
        <v>19</v>
      </c>
      <c r="F987" s="369"/>
      <c r="G987" s="369"/>
      <c r="H987" s="369"/>
      <c r="I987" s="369"/>
      <c r="J987" s="369"/>
      <c r="K987" s="369"/>
      <c r="L987" s="369"/>
      <c r="M987" s="369"/>
      <c r="N987" s="369"/>
      <c r="O987" s="369"/>
      <c r="P987" s="369"/>
      <c r="Q987" s="369"/>
      <c r="R987" s="369"/>
      <c r="S987" s="369"/>
      <c r="T987" s="369"/>
      <c r="U987" s="369"/>
      <c r="V987" s="369"/>
      <c r="W987" s="369"/>
      <c r="X987" s="369"/>
      <c r="Y987" s="369"/>
      <c r="Z987" s="369"/>
      <c r="AA987" s="369"/>
      <c r="AB987" s="369"/>
      <c r="AC987" s="369"/>
      <c r="AD987" s="369"/>
      <c r="AE987" s="369"/>
      <c r="AF987" s="369"/>
      <c r="AG987" s="369"/>
      <c r="AH987" s="369"/>
      <c r="AI987" s="369"/>
      <c r="AJ987" s="369"/>
      <c r="AK987" s="379">
        <f t="shared" si="156"/>
        <v>0</v>
      </c>
      <c r="AL987" s="380"/>
      <c r="AM987" s="381">
        <f t="shared" ref="AM987:AM988" si="158">AK987</f>
        <v>0</v>
      </c>
      <c r="AN987" s="583"/>
    </row>
    <row r="988" spans="3:45" ht="12.75" x14ac:dyDescent="0.2">
      <c r="C988" s="580"/>
      <c r="D988" s="375" t="s">
        <v>27</v>
      </c>
      <c r="E988" s="364" t="s">
        <v>19</v>
      </c>
      <c r="F988" s="369"/>
      <c r="G988" s="369"/>
      <c r="H988" s="369"/>
      <c r="I988" s="369"/>
      <c r="J988" s="369"/>
      <c r="K988" s="369"/>
      <c r="L988" s="369"/>
      <c r="M988" s="369"/>
      <c r="N988" s="369"/>
      <c r="O988" s="369"/>
      <c r="P988" s="369"/>
      <c r="Q988" s="369"/>
      <c r="R988" s="369"/>
      <c r="S988" s="369"/>
      <c r="T988" s="369"/>
      <c r="U988" s="369"/>
      <c r="V988" s="369"/>
      <c r="W988" s="369"/>
      <c r="X988" s="369"/>
      <c r="Y988" s="369"/>
      <c r="Z988" s="369"/>
      <c r="AA988" s="369"/>
      <c r="AB988" s="369"/>
      <c r="AC988" s="369"/>
      <c r="AD988" s="369"/>
      <c r="AE988" s="369"/>
      <c r="AF988" s="369"/>
      <c r="AG988" s="369"/>
      <c r="AH988" s="369"/>
      <c r="AI988" s="369"/>
      <c r="AJ988" s="369"/>
      <c r="AK988" s="379">
        <f t="shared" si="156"/>
        <v>0</v>
      </c>
      <c r="AL988" s="366"/>
      <c r="AM988" s="369">
        <f t="shared" si="158"/>
        <v>0</v>
      </c>
      <c r="AN988" s="374">
        <f>AM988</f>
        <v>0</v>
      </c>
    </row>
    <row r="989" spans="3:45" ht="12.75" x14ac:dyDescent="0.2">
      <c r="C989" s="580"/>
      <c r="D989" s="645" t="s">
        <v>28</v>
      </c>
      <c r="E989" s="363" t="s">
        <v>18</v>
      </c>
      <c r="F989" s="363"/>
      <c r="G989" s="366"/>
      <c r="H989" s="366"/>
      <c r="I989" s="366"/>
      <c r="J989" s="366"/>
      <c r="K989" s="363"/>
      <c r="L989" s="366"/>
      <c r="M989" s="366"/>
      <c r="N989" s="366"/>
      <c r="O989" s="366"/>
      <c r="P989" s="366"/>
      <c r="Q989" s="363"/>
      <c r="R989" s="366"/>
      <c r="S989" s="366"/>
      <c r="T989" s="366"/>
      <c r="U989" s="366"/>
      <c r="V989" s="366"/>
      <c r="W989" s="366"/>
      <c r="X989" s="366"/>
      <c r="Y989" s="366"/>
      <c r="Z989" s="363"/>
      <c r="AA989" s="366"/>
      <c r="AB989" s="366"/>
      <c r="AC989" s="366"/>
      <c r="AD989" s="366"/>
      <c r="AE989" s="366"/>
      <c r="AF989" s="366"/>
      <c r="AG989" s="366"/>
      <c r="AH989" s="366"/>
      <c r="AI989" s="366"/>
      <c r="AJ989" s="366"/>
      <c r="AK989" s="376">
        <f t="shared" si="156"/>
        <v>0</v>
      </c>
      <c r="AL989" s="377">
        <f>AK989</f>
        <v>0</v>
      </c>
      <c r="AM989" s="378"/>
      <c r="AN989" s="633">
        <f>SUM(AL989:AM990)</f>
        <v>0</v>
      </c>
    </row>
    <row r="990" spans="3:45" ht="12.75" x14ac:dyDescent="0.2">
      <c r="C990" s="580"/>
      <c r="D990" s="577"/>
      <c r="E990" s="364" t="s">
        <v>19</v>
      </c>
      <c r="F990" s="364"/>
      <c r="G990" s="364"/>
      <c r="H990" s="364"/>
      <c r="I990" s="369"/>
      <c r="J990" s="364"/>
      <c r="K990" s="364"/>
      <c r="L990" s="364"/>
      <c r="M990" s="369"/>
      <c r="N990" s="369"/>
      <c r="O990" s="369"/>
      <c r="P990" s="369"/>
      <c r="Q990" s="364"/>
      <c r="R990" s="369"/>
      <c r="S990" s="364"/>
      <c r="T990" s="369"/>
      <c r="U990" s="369"/>
      <c r="V990" s="369"/>
      <c r="W990" s="364"/>
      <c r="X990" s="364"/>
      <c r="Y990" s="369"/>
      <c r="Z990" s="369"/>
      <c r="AA990" s="369"/>
      <c r="AB990" s="369"/>
      <c r="AC990" s="369"/>
      <c r="AD990" s="369"/>
      <c r="AE990" s="369"/>
      <c r="AF990" s="369"/>
      <c r="AG990" s="369"/>
      <c r="AH990" s="369"/>
      <c r="AI990" s="364"/>
      <c r="AJ990" s="369"/>
      <c r="AK990" s="379">
        <f t="shared" si="156"/>
        <v>0</v>
      </c>
      <c r="AL990" s="380"/>
      <c r="AM990" s="381">
        <f>AK990</f>
        <v>0</v>
      </c>
      <c r="AN990" s="583"/>
    </row>
    <row r="991" spans="3:45" ht="12.75" x14ac:dyDescent="0.2">
      <c r="C991" s="580"/>
      <c r="D991" s="645" t="s">
        <v>29</v>
      </c>
      <c r="E991" s="363" t="s">
        <v>18</v>
      </c>
      <c r="F991" s="366"/>
      <c r="G991" s="366"/>
      <c r="H991" s="366"/>
      <c r="I991" s="366"/>
      <c r="J991" s="366"/>
      <c r="K991" s="366"/>
      <c r="L991" s="366"/>
      <c r="M991" s="363"/>
      <c r="N991" s="363"/>
      <c r="O991" s="366"/>
      <c r="P991" s="366"/>
      <c r="Q991" s="366"/>
      <c r="R991" s="366"/>
      <c r="S991" s="366"/>
      <c r="T991" s="366"/>
      <c r="U991" s="366"/>
      <c r="V991" s="366"/>
      <c r="W991" s="366"/>
      <c r="X991" s="366"/>
      <c r="Y991" s="366"/>
      <c r="Z991" s="366"/>
      <c r="AA991" s="366"/>
      <c r="AB991" s="363"/>
      <c r="AC991" s="366"/>
      <c r="AD991" s="363"/>
      <c r="AE991" s="366"/>
      <c r="AF991" s="366"/>
      <c r="AG991" s="366"/>
      <c r="AH991" s="366"/>
      <c r="AI991" s="366"/>
      <c r="AJ991" s="366"/>
      <c r="AK991" s="376">
        <f t="shared" si="156"/>
        <v>0</v>
      </c>
      <c r="AL991" s="377">
        <f>AK991</f>
        <v>0</v>
      </c>
      <c r="AM991" s="378"/>
      <c r="AN991" s="633">
        <f>SUM(AL991:AM992)</f>
        <v>0</v>
      </c>
    </row>
    <row r="992" spans="3:45" ht="12.75" x14ac:dyDescent="0.2">
      <c r="C992" s="580"/>
      <c r="D992" s="577"/>
      <c r="E992" s="364" t="s">
        <v>19</v>
      </c>
      <c r="F992" s="369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69"/>
      <c r="S992" s="369"/>
      <c r="T992" s="369"/>
      <c r="U992" s="369"/>
      <c r="V992" s="369"/>
      <c r="W992" s="369"/>
      <c r="X992" s="369"/>
      <c r="Y992" s="369"/>
      <c r="Z992" s="369"/>
      <c r="AA992" s="369"/>
      <c r="AB992" s="364"/>
      <c r="AC992" s="369"/>
      <c r="AD992" s="369"/>
      <c r="AE992" s="369"/>
      <c r="AF992" s="369"/>
      <c r="AG992" s="369"/>
      <c r="AH992" s="369"/>
      <c r="AI992" s="369"/>
      <c r="AJ992" s="369"/>
      <c r="AK992" s="379">
        <f t="shared" si="156"/>
        <v>0</v>
      </c>
      <c r="AL992" s="380"/>
      <c r="AM992" s="381">
        <f>AK992</f>
        <v>0</v>
      </c>
      <c r="AN992" s="583"/>
    </row>
    <row r="993" spans="3:40" ht="12.75" x14ac:dyDescent="0.2">
      <c r="C993" s="580"/>
      <c r="D993" s="645" t="s">
        <v>31</v>
      </c>
      <c r="E993" s="363" t="s">
        <v>18</v>
      </c>
      <c r="F993" s="366"/>
      <c r="G993" s="366"/>
      <c r="H993" s="366"/>
      <c r="I993" s="366"/>
      <c r="J993" s="366"/>
      <c r="K993" s="366"/>
      <c r="L993" s="366"/>
      <c r="M993" s="366"/>
      <c r="N993" s="366"/>
      <c r="O993" s="366"/>
      <c r="P993" s="366"/>
      <c r="Q993" s="366"/>
      <c r="R993" s="366"/>
      <c r="S993" s="366"/>
      <c r="T993" s="366"/>
      <c r="U993" s="366"/>
      <c r="V993" s="366"/>
      <c r="W993" s="366"/>
      <c r="X993" s="366"/>
      <c r="Y993" s="366"/>
      <c r="Z993" s="366"/>
      <c r="AA993" s="366"/>
      <c r="AB993" s="366"/>
      <c r="AC993" s="366"/>
      <c r="AD993" s="366"/>
      <c r="AE993" s="366"/>
      <c r="AF993" s="366"/>
      <c r="AG993" s="366"/>
      <c r="AH993" s="366"/>
      <c r="AI993" s="366"/>
      <c r="AJ993" s="366"/>
      <c r="AK993" s="376">
        <f t="shared" si="156"/>
        <v>0</v>
      </c>
      <c r="AL993" s="377">
        <f>AK993</f>
        <v>0</v>
      </c>
      <c r="AM993" s="378"/>
      <c r="AN993" s="633">
        <f>SUM(AL993:AM994)</f>
        <v>0</v>
      </c>
    </row>
    <row r="994" spans="3:40" ht="12.75" x14ac:dyDescent="0.2">
      <c r="C994" s="581"/>
      <c r="D994" s="585"/>
      <c r="E994" s="382" t="s">
        <v>19</v>
      </c>
      <c r="F994" s="381"/>
      <c r="G994" s="381"/>
      <c r="H994" s="381"/>
      <c r="I994" s="381"/>
      <c r="J994" s="381"/>
      <c r="K994" s="382"/>
      <c r="L994" s="381"/>
      <c r="M994" s="382"/>
      <c r="N994" s="382"/>
      <c r="O994" s="382"/>
      <c r="P994" s="381"/>
      <c r="Q994" s="381"/>
      <c r="R994" s="381"/>
      <c r="S994" s="381"/>
      <c r="T994" s="381"/>
      <c r="U994" s="381"/>
      <c r="V994" s="381"/>
      <c r="W994" s="381"/>
      <c r="X994" s="382"/>
      <c r="Y994" s="381"/>
      <c r="Z994" s="382"/>
      <c r="AA994" s="381"/>
      <c r="AB994" s="381"/>
      <c r="AC994" s="381"/>
      <c r="AD994" s="381"/>
      <c r="AE994" s="381"/>
      <c r="AF994" s="381"/>
      <c r="AG994" s="381"/>
      <c r="AH994" s="381"/>
      <c r="AI994" s="381"/>
      <c r="AJ994" s="381"/>
      <c r="AK994" s="383">
        <f t="shared" si="156"/>
        <v>0</v>
      </c>
      <c r="AL994" s="380"/>
      <c r="AM994" s="381">
        <f>AK994</f>
        <v>0</v>
      </c>
      <c r="AN994" s="583"/>
    </row>
    <row r="995" spans="3:40" ht="12.75" x14ac:dyDescent="0.2">
      <c r="C995" s="362" t="s">
        <v>32</v>
      </c>
      <c r="D995" s="384"/>
      <c r="E995" s="369"/>
      <c r="F995" s="369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69"/>
      <c r="S995" s="369"/>
      <c r="T995" s="369"/>
      <c r="U995" s="369"/>
      <c r="V995" s="369"/>
      <c r="W995" s="369"/>
      <c r="X995" s="369"/>
      <c r="Y995" s="369"/>
      <c r="Z995" s="369"/>
      <c r="AA995" s="369"/>
      <c r="AB995" s="369"/>
      <c r="AC995" s="369"/>
      <c r="AD995" s="369"/>
      <c r="AE995" s="369"/>
      <c r="AF995" s="369"/>
      <c r="AG995" s="369"/>
      <c r="AH995" s="369"/>
      <c r="AI995" s="369"/>
      <c r="AJ995" s="369"/>
      <c r="AK995" s="385">
        <f t="shared" ref="AK995:AM995" si="159">SUM(AK985:AK994)</f>
        <v>1537.6799999999998</v>
      </c>
      <c r="AL995" s="366">
        <f t="shared" si="159"/>
        <v>1537.6799999999998</v>
      </c>
      <c r="AM995" s="369">
        <f t="shared" si="159"/>
        <v>0</v>
      </c>
      <c r="AN995" s="374"/>
    </row>
    <row r="996" spans="3:40" ht="12.75" x14ac:dyDescent="0.2">
      <c r="C996" s="629" t="s">
        <v>33</v>
      </c>
      <c r="D996" s="386" t="s">
        <v>34</v>
      </c>
      <c r="E996" s="387" t="s">
        <v>19</v>
      </c>
      <c r="F996" s="388"/>
      <c r="G996" s="388"/>
      <c r="H996" s="388"/>
      <c r="I996" s="388"/>
      <c r="J996" s="387">
        <v>60</v>
      </c>
      <c r="K996" s="387"/>
      <c r="L996" s="388"/>
      <c r="M996" s="388"/>
      <c r="N996" s="388"/>
      <c r="O996" s="388"/>
      <c r="P996" s="388"/>
      <c r="Q996" s="388"/>
      <c r="R996" s="388"/>
      <c r="S996" s="388"/>
      <c r="T996" s="388"/>
      <c r="U996" s="388"/>
      <c r="V996" s="388"/>
      <c r="W996" s="388"/>
      <c r="X996" s="388"/>
      <c r="Y996" s="388"/>
      <c r="Z996" s="388"/>
      <c r="AA996" s="388"/>
      <c r="AB996" s="388"/>
      <c r="AC996" s="388"/>
      <c r="AD996" s="388"/>
      <c r="AE996" s="388"/>
      <c r="AF996" s="388"/>
      <c r="AG996" s="388"/>
      <c r="AH996" s="388"/>
      <c r="AI996" s="388"/>
      <c r="AJ996" s="388"/>
      <c r="AK996" s="389">
        <f t="shared" ref="AK996:AK997" si="160">SUM(F996:AJ996)</f>
        <v>60</v>
      </c>
      <c r="AL996" s="390"/>
      <c r="AM996" s="388">
        <f>AK996</f>
        <v>60</v>
      </c>
      <c r="AN996" s="391">
        <f>AM996</f>
        <v>60</v>
      </c>
    </row>
    <row r="997" spans="3:40" ht="12.75" x14ac:dyDescent="0.2">
      <c r="C997" s="580"/>
      <c r="D997" s="392" t="s">
        <v>35</v>
      </c>
      <c r="E997" s="393" t="s">
        <v>18</v>
      </c>
      <c r="F997" s="394"/>
      <c r="G997" s="394"/>
      <c r="H997" s="394"/>
      <c r="I997" s="393"/>
      <c r="J997" s="393">
        <v>10</v>
      </c>
      <c r="K997" s="394"/>
      <c r="L997" s="394"/>
      <c r="M997" s="394"/>
      <c r="N997" s="394"/>
      <c r="O997" s="394"/>
      <c r="P997" s="394"/>
      <c r="Q997" s="394"/>
      <c r="R997" s="394"/>
      <c r="S997" s="394"/>
      <c r="T997" s="394"/>
      <c r="U997" s="394"/>
      <c r="V997" s="394"/>
      <c r="W997" s="394"/>
      <c r="X997" s="394"/>
      <c r="Y997" s="393"/>
      <c r="Z997" s="394"/>
      <c r="AA997" s="394"/>
      <c r="AB997" s="394"/>
      <c r="AC997" s="394"/>
      <c r="AD997" s="394"/>
      <c r="AE997" s="394"/>
      <c r="AF997" s="394"/>
      <c r="AG997" s="394"/>
      <c r="AH997" s="394"/>
      <c r="AI997" s="394"/>
      <c r="AJ997" s="394"/>
      <c r="AK997" s="395">
        <f t="shared" si="160"/>
        <v>10</v>
      </c>
      <c r="AL997" s="394">
        <f>AK997</f>
        <v>10</v>
      </c>
      <c r="AM997" s="396"/>
      <c r="AN997" s="397">
        <f>AL997</f>
        <v>10</v>
      </c>
    </row>
    <row r="998" spans="3:40" ht="12.75" x14ac:dyDescent="0.2">
      <c r="C998" s="580"/>
      <c r="D998" s="651" t="s">
        <v>36</v>
      </c>
      <c r="E998" s="393" t="s">
        <v>18</v>
      </c>
      <c r="F998" s="394"/>
      <c r="G998" s="394"/>
      <c r="H998" s="394"/>
      <c r="I998" s="394"/>
      <c r="J998" s="393">
        <v>26</v>
      </c>
      <c r="K998" s="394"/>
      <c r="L998" s="393"/>
      <c r="M998" s="394"/>
      <c r="N998" s="394"/>
      <c r="O998" s="394"/>
      <c r="P998" s="394"/>
      <c r="Q998" s="394"/>
      <c r="R998" s="394"/>
      <c r="S998" s="394"/>
      <c r="T998" s="394"/>
      <c r="U998" s="394"/>
      <c r="V998" s="394"/>
      <c r="W998" s="394"/>
      <c r="X998" s="394"/>
      <c r="Y998" s="394"/>
      <c r="Z998" s="394"/>
      <c r="AA998" s="394"/>
      <c r="AB998" s="394"/>
      <c r="AC998" s="394"/>
      <c r="AD998" s="394"/>
      <c r="AE998" s="394"/>
      <c r="AF998" s="394"/>
      <c r="AG998" s="394"/>
      <c r="AH998" s="394"/>
      <c r="AI998" s="394"/>
      <c r="AJ998" s="394"/>
      <c r="AK998" s="395"/>
      <c r="AL998" s="394">
        <f>SUM(F998:AJ998)</f>
        <v>26</v>
      </c>
      <c r="AM998" s="396"/>
      <c r="AN998" s="636">
        <f>SUM(AL998:AM999)</f>
        <v>26</v>
      </c>
    </row>
    <row r="999" spans="3:40" ht="12.75" x14ac:dyDescent="0.2">
      <c r="C999" s="580"/>
      <c r="D999" s="650"/>
      <c r="E999" s="398" t="s">
        <v>19</v>
      </c>
      <c r="F999" s="399"/>
      <c r="G999" s="399"/>
      <c r="H999" s="399"/>
      <c r="I999" s="399"/>
      <c r="J999" s="398"/>
      <c r="K999" s="399"/>
      <c r="L999" s="398"/>
      <c r="M999" s="399"/>
      <c r="N999" s="399"/>
      <c r="O999" s="399"/>
      <c r="P999" s="399"/>
      <c r="Q999" s="399"/>
      <c r="R999" s="399"/>
      <c r="S999" s="399"/>
      <c r="T999" s="399"/>
      <c r="U999" s="399"/>
      <c r="V999" s="399"/>
      <c r="W999" s="399"/>
      <c r="X999" s="399"/>
      <c r="Y999" s="399"/>
      <c r="Z999" s="399"/>
      <c r="AA999" s="399"/>
      <c r="AB999" s="399"/>
      <c r="AC999" s="399"/>
      <c r="AD999" s="399"/>
      <c r="AE999" s="399"/>
      <c r="AF999" s="399"/>
      <c r="AG999" s="399"/>
      <c r="AH999" s="399"/>
      <c r="AI999" s="399"/>
      <c r="AJ999" s="399"/>
      <c r="AK999" s="400">
        <f t="shared" ref="AK999:AK1046" si="161">SUM(F999:AJ999)</f>
        <v>0</v>
      </c>
      <c r="AL999" s="401"/>
      <c r="AM999" s="399">
        <f>AK999</f>
        <v>0</v>
      </c>
      <c r="AN999" s="590"/>
    </row>
    <row r="1000" spans="3:40" ht="12.75" x14ac:dyDescent="0.2">
      <c r="C1000" s="580"/>
      <c r="D1000" s="643" t="s">
        <v>37</v>
      </c>
      <c r="E1000" s="393" t="s">
        <v>18</v>
      </c>
      <c r="F1000" s="393"/>
      <c r="G1000" s="393"/>
      <c r="H1000" s="394"/>
      <c r="I1000" s="393"/>
      <c r="J1000" s="394"/>
      <c r="K1000" s="394"/>
      <c r="L1000" s="394"/>
      <c r="M1000" s="394"/>
      <c r="N1000" s="393"/>
      <c r="O1000" s="393"/>
      <c r="P1000" s="394"/>
      <c r="Q1000" s="393"/>
      <c r="R1000" s="393"/>
      <c r="S1000" s="393"/>
      <c r="T1000" s="393"/>
      <c r="U1000" s="394"/>
      <c r="V1000" s="393"/>
      <c r="W1000" s="393"/>
      <c r="X1000" s="393">
        <v>11.8</v>
      </c>
      <c r="Y1000" s="393"/>
      <c r="Z1000" s="393"/>
      <c r="AA1000" s="394"/>
      <c r="AB1000" s="394"/>
      <c r="AC1000" s="394"/>
      <c r="AD1000" s="393">
        <v>5</v>
      </c>
      <c r="AE1000" s="394"/>
      <c r="AF1000" s="393"/>
      <c r="AG1000" s="394"/>
      <c r="AH1000" s="394"/>
      <c r="AI1000" s="394"/>
      <c r="AJ1000" s="394"/>
      <c r="AK1000" s="395">
        <f t="shared" si="161"/>
        <v>16.8</v>
      </c>
      <c r="AL1000" s="403">
        <f>AK1000</f>
        <v>16.8</v>
      </c>
      <c r="AM1000" s="396"/>
      <c r="AN1000" s="634">
        <f>SUM(AL1000:AM1001)</f>
        <v>16.8</v>
      </c>
    </row>
    <row r="1001" spans="3:40" ht="12.75" x14ac:dyDescent="0.2">
      <c r="C1001" s="580"/>
      <c r="D1001" s="577"/>
      <c r="E1001" s="404" t="s">
        <v>19</v>
      </c>
      <c r="F1001" s="396"/>
      <c r="G1001" s="396"/>
      <c r="H1001" s="404"/>
      <c r="I1001" s="396"/>
      <c r="J1001" s="396"/>
      <c r="K1001" s="396"/>
      <c r="L1001" s="404"/>
      <c r="M1001" s="396"/>
      <c r="N1001" s="404"/>
      <c r="O1001" s="396"/>
      <c r="P1001" s="396"/>
      <c r="Q1001" s="396"/>
      <c r="R1001" s="396"/>
      <c r="S1001" s="396"/>
      <c r="T1001" s="404"/>
      <c r="U1001" s="404"/>
      <c r="V1001" s="404"/>
      <c r="W1001" s="404"/>
      <c r="X1001" s="404"/>
      <c r="Y1001" s="396"/>
      <c r="Z1001" s="396"/>
      <c r="AA1001" s="404"/>
      <c r="AB1001" s="404"/>
      <c r="AC1001" s="404"/>
      <c r="AD1001" s="404"/>
      <c r="AE1001" s="404"/>
      <c r="AF1001" s="396"/>
      <c r="AG1001" s="396"/>
      <c r="AH1001" s="396"/>
      <c r="AI1001" s="396"/>
      <c r="AJ1001" s="396"/>
      <c r="AK1001" s="405">
        <f t="shared" si="161"/>
        <v>0</v>
      </c>
      <c r="AL1001" s="406"/>
      <c r="AM1001" s="407">
        <f>AK1001</f>
        <v>0</v>
      </c>
      <c r="AN1001" s="583"/>
    </row>
    <row r="1002" spans="3:40" ht="12.75" x14ac:dyDescent="0.2">
      <c r="C1002" s="580"/>
      <c r="D1002" s="402" t="s">
        <v>38</v>
      </c>
      <c r="E1002" s="393" t="s">
        <v>18</v>
      </c>
      <c r="F1002" s="394"/>
      <c r="G1002" s="394"/>
      <c r="H1002" s="394"/>
      <c r="I1002" s="394"/>
      <c r="J1002" s="394"/>
      <c r="K1002" s="394"/>
      <c r="L1002" s="394"/>
      <c r="M1002" s="394"/>
      <c r="N1002" s="394"/>
      <c r="O1002" s="394"/>
      <c r="P1002" s="394"/>
      <c r="Q1002" s="394"/>
      <c r="R1002" s="394"/>
      <c r="S1002" s="394"/>
      <c r="T1002" s="394"/>
      <c r="U1002" s="394"/>
      <c r="V1002" s="394"/>
      <c r="W1002" s="394"/>
      <c r="X1002" s="394"/>
      <c r="Y1002" s="394"/>
      <c r="Z1002" s="393"/>
      <c r="AA1002" s="393"/>
      <c r="AB1002" s="393"/>
      <c r="AC1002" s="393"/>
      <c r="AD1002" s="394"/>
      <c r="AE1002" s="394"/>
      <c r="AF1002" s="394"/>
      <c r="AG1002" s="394"/>
      <c r="AH1002" s="394"/>
      <c r="AI1002" s="394"/>
      <c r="AJ1002" s="394"/>
      <c r="AK1002" s="395">
        <f t="shared" si="161"/>
        <v>0</v>
      </c>
      <c r="AL1002" s="394">
        <f t="shared" ref="AL1002:AL1004" si="162">AK1002</f>
        <v>0</v>
      </c>
      <c r="AM1002" s="396"/>
      <c r="AN1002" s="374">
        <f t="shared" ref="AN1002:AN1003" si="163">AL1002</f>
        <v>0</v>
      </c>
    </row>
    <row r="1003" spans="3:40" ht="12.75" x14ac:dyDescent="0.2">
      <c r="C1003" s="580"/>
      <c r="D1003" s="402" t="s">
        <v>39</v>
      </c>
      <c r="E1003" s="393" t="s">
        <v>18</v>
      </c>
      <c r="F1003" s="394"/>
      <c r="G1003" s="394"/>
      <c r="H1003" s="394"/>
      <c r="I1003" s="394"/>
      <c r="J1003" s="394"/>
      <c r="K1003" s="394"/>
      <c r="L1003" s="394"/>
      <c r="M1003" s="393"/>
      <c r="N1003" s="394"/>
      <c r="O1003" s="394"/>
      <c r="P1003" s="394"/>
      <c r="Q1003" s="394"/>
      <c r="R1003" s="394"/>
      <c r="S1003" s="394"/>
      <c r="T1003" s="394"/>
      <c r="U1003" s="394"/>
      <c r="V1003" s="394"/>
      <c r="W1003" s="394"/>
      <c r="X1003" s="394"/>
      <c r="Y1003" s="394"/>
      <c r="Z1003" s="394"/>
      <c r="AA1003" s="394"/>
      <c r="AB1003" s="394"/>
      <c r="AC1003" s="394"/>
      <c r="AD1003" s="394"/>
      <c r="AE1003" s="394"/>
      <c r="AF1003" s="394"/>
      <c r="AG1003" s="394"/>
      <c r="AH1003" s="394"/>
      <c r="AI1003" s="394"/>
      <c r="AJ1003" s="394"/>
      <c r="AK1003" s="395">
        <f t="shared" si="161"/>
        <v>0</v>
      </c>
      <c r="AL1003" s="394">
        <f t="shared" si="162"/>
        <v>0</v>
      </c>
      <c r="AM1003" s="396"/>
      <c r="AN1003" s="374">
        <f t="shared" si="163"/>
        <v>0</v>
      </c>
    </row>
    <row r="1004" spans="3:40" ht="12.75" x14ac:dyDescent="0.2">
      <c r="C1004" s="580"/>
      <c r="D1004" s="643" t="s">
        <v>40</v>
      </c>
      <c r="E1004" s="393" t="s">
        <v>18</v>
      </c>
      <c r="F1004" s="394"/>
      <c r="G1004" s="394"/>
      <c r="H1004" s="394"/>
      <c r="I1004" s="394"/>
      <c r="J1004" s="394"/>
      <c r="K1004" s="394"/>
      <c r="L1004" s="394"/>
      <c r="M1004" s="394"/>
      <c r="N1004" s="394"/>
      <c r="O1004" s="394"/>
      <c r="P1004" s="394"/>
      <c r="Q1004" s="394"/>
      <c r="R1004" s="394"/>
      <c r="S1004" s="394"/>
      <c r="T1004" s="394"/>
      <c r="U1004" s="394"/>
      <c r="V1004" s="394"/>
      <c r="W1004" s="394"/>
      <c r="X1004" s="394"/>
      <c r="Y1004" s="394"/>
      <c r="Z1004" s="394"/>
      <c r="AA1004" s="394"/>
      <c r="AB1004" s="394"/>
      <c r="AC1004" s="394"/>
      <c r="AD1004" s="394"/>
      <c r="AE1004" s="394"/>
      <c r="AF1004" s="394"/>
      <c r="AG1004" s="394"/>
      <c r="AH1004" s="394"/>
      <c r="AI1004" s="394"/>
      <c r="AJ1004" s="394"/>
      <c r="AK1004" s="395">
        <f t="shared" si="161"/>
        <v>0</v>
      </c>
      <c r="AL1004" s="408">
        <f t="shared" si="162"/>
        <v>0</v>
      </c>
      <c r="AM1004" s="409"/>
      <c r="AN1004" s="633">
        <f>SUM(AL1004:AM1005)</f>
        <v>0</v>
      </c>
    </row>
    <row r="1005" spans="3:40" ht="12.75" x14ac:dyDescent="0.2">
      <c r="C1005" s="580"/>
      <c r="D1005" s="577"/>
      <c r="E1005" s="404" t="s">
        <v>19</v>
      </c>
      <c r="F1005" s="396"/>
      <c r="G1005" s="396"/>
      <c r="H1005" s="396"/>
      <c r="I1005" s="396"/>
      <c r="J1005" s="396"/>
      <c r="K1005" s="396"/>
      <c r="L1005" s="396"/>
      <c r="M1005" s="396"/>
      <c r="N1005" s="396"/>
      <c r="O1005" s="396"/>
      <c r="P1005" s="396"/>
      <c r="Q1005" s="396"/>
      <c r="R1005" s="396"/>
      <c r="S1005" s="396"/>
      <c r="T1005" s="396"/>
      <c r="U1005" s="396"/>
      <c r="V1005" s="396"/>
      <c r="W1005" s="396"/>
      <c r="X1005" s="396"/>
      <c r="Y1005" s="396"/>
      <c r="Z1005" s="396"/>
      <c r="AA1005" s="396"/>
      <c r="AB1005" s="396"/>
      <c r="AC1005" s="396"/>
      <c r="AD1005" s="396"/>
      <c r="AE1005" s="396"/>
      <c r="AF1005" s="396"/>
      <c r="AG1005" s="396"/>
      <c r="AH1005" s="396"/>
      <c r="AI1005" s="396"/>
      <c r="AJ1005" s="396"/>
      <c r="AK1005" s="405">
        <f t="shared" si="161"/>
        <v>0</v>
      </c>
      <c r="AL1005" s="406"/>
      <c r="AM1005" s="407">
        <f>AK1005</f>
        <v>0</v>
      </c>
      <c r="AN1005" s="583"/>
    </row>
    <row r="1006" spans="3:40" ht="12.75" x14ac:dyDescent="0.2">
      <c r="C1006" s="580"/>
      <c r="D1006" s="643" t="s">
        <v>41</v>
      </c>
      <c r="E1006" s="393" t="s">
        <v>18</v>
      </c>
      <c r="F1006" s="393"/>
      <c r="G1006" s="393"/>
      <c r="H1006" s="394"/>
      <c r="I1006" s="393">
        <v>30</v>
      </c>
      <c r="J1006" s="394"/>
      <c r="K1006" s="394"/>
      <c r="L1006" s="393"/>
      <c r="M1006" s="394"/>
      <c r="N1006" s="394"/>
      <c r="O1006" s="394"/>
      <c r="P1006" s="394"/>
      <c r="Q1006" s="394"/>
      <c r="R1006" s="394"/>
      <c r="S1006" s="393"/>
      <c r="T1006" s="394"/>
      <c r="U1006" s="394"/>
      <c r="V1006" s="394"/>
      <c r="W1006" s="394"/>
      <c r="X1006" s="394"/>
      <c r="Y1006" s="394"/>
      <c r="Z1006" s="394"/>
      <c r="AA1006" s="393"/>
      <c r="AB1006" s="394"/>
      <c r="AC1006" s="394"/>
      <c r="AD1006" s="394"/>
      <c r="AE1006" s="394"/>
      <c r="AF1006" s="394"/>
      <c r="AG1006" s="394"/>
      <c r="AH1006" s="394"/>
      <c r="AI1006" s="393">
        <v>20</v>
      </c>
      <c r="AJ1006" s="394"/>
      <c r="AK1006" s="395">
        <f t="shared" si="161"/>
        <v>50</v>
      </c>
      <c r="AL1006" s="408">
        <f>AK1006</f>
        <v>50</v>
      </c>
      <c r="AM1006" s="409"/>
      <c r="AN1006" s="633">
        <f>SUM(AL1006:AM1007)</f>
        <v>50</v>
      </c>
    </row>
    <row r="1007" spans="3:40" ht="12.75" x14ac:dyDescent="0.2">
      <c r="C1007" s="580"/>
      <c r="D1007" s="577"/>
      <c r="E1007" s="404" t="s">
        <v>19</v>
      </c>
      <c r="F1007" s="396"/>
      <c r="G1007" s="396"/>
      <c r="H1007" s="396"/>
      <c r="I1007" s="396"/>
      <c r="J1007" s="404"/>
      <c r="K1007" s="396"/>
      <c r="L1007" s="404"/>
      <c r="M1007" s="404"/>
      <c r="N1007" s="396"/>
      <c r="O1007" s="396"/>
      <c r="P1007" s="396"/>
      <c r="Q1007" s="404"/>
      <c r="R1007" s="404"/>
      <c r="S1007" s="404"/>
      <c r="T1007" s="396"/>
      <c r="U1007" s="404"/>
      <c r="V1007" s="396"/>
      <c r="W1007" s="396"/>
      <c r="X1007" s="396"/>
      <c r="Y1007" s="396"/>
      <c r="Z1007" s="396"/>
      <c r="AA1007" s="396"/>
      <c r="AB1007" s="396"/>
      <c r="AC1007" s="396"/>
      <c r="AD1007" s="396"/>
      <c r="AE1007" s="404"/>
      <c r="AF1007" s="396"/>
      <c r="AG1007" s="396"/>
      <c r="AH1007" s="396"/>
      <c r="AI1007" s="396"/>
      <c r="AJ1007" s="396"/>
      <c r="AK1007" s="405">
        <f t="shared" si="161"/>
        <v>0</v>
      </c>
      <c r="AL1007" s="406"/>
      <c r="AM1007" s="407">
        <f>AK1007</f>
        <v>0</v>
      </c>
      <c r="AN1007" s="583"/>
    </row>
    <row r="1008" spans="3:40" ht="12.75" x14ac:dyDescent="0.2">
      <c r="C1008" s="580"/>
      <c r="D1008" s="402" t="s">
        <v>42</v>
      </c>
      <c r="E1008" s="393" t="s">
        <v>18</v>
      </c>
      <c r="F1008" s="394"/>
      <c r="G1008" s="394"/>
      <c r="H1008" s="394"/>
      <c r="I1008" s="393"/>
      <c r="J1008" s="393"/>
      <c r="K1008" s="393"/>
      <c r="L1008" s="393"/>
      <c r="M1008" s="393"/>
      <c r="N1008" s="394"/>
      <c r="O1008" s="393"/>
      <c r="P1008" s="394"/>
      <c r="Q1008" s="393"/>
      <c r="R1008" s="393"/>
      <c r="S1008" s="394"/>
      <c r="T1008" s="394"/>
      <c r="U1008" s="394"/>
      <c r="V1008" s="394"/>
      <c r="W1008" s="394"/>
      <c r="X1008" s="394"/>
      <c r="Y1008" s="394"/>
      <c r="Z1008" s="394"/>
      <c r="AA1008" s="394"/>
      <c r="AB1008" s="394"/>
      <c r="AC1008" s="394"/>
      <c r="AD1008" s="394"/>
      <c r="AE1008" s="394"/>
      <c r="AF1008" s="394"/>
      <c r="AG1008" s="394"/>
      <c r="AH1008" s="394"/>
      <c r="AI1008" s="393"/>
      <c r="AJ1008" s="394"/>
      <c r="AK1008" s="395">
        <f t="shared" si="161"/>
        <v>0</v>
      </c>
      <c r="AL1008" s="394">
        <f>AK1008</f>
        <v>0</v>
      </c>
      <c r="AM1008" s="396"/>
      <c r="AN1008" s="374">
        <f>AL1008</f>
        <v>0</v>
      </c>
    </row>
    <row r="1009" spans="3:40" ht="12.75" x14ac:dyDescent="0.2">
      <c r="C1009" s="580"/>
      <c r="D1009" s="402" t="s">
        <v>43</v>
      </c>
      <c r="E1009" s="404" t="s">
        <v>19</v>
      </c>
      <c r="F1009" s="396"/>
      <c r="G1009" s="396"/>
      <c r="H1009" s="396"/>
      <c r="I1009" s="396"/>
      <c r="J1009" s="396"/>
      <c r="K1009" s="396"/>
      <c r="L1009" s="396"/>
      <c r="M1009" s="396"/>
      <c r="N1009" s="396"/>
      <c r="O1009" s="396"/>
      <c r="P1009" s="396"/>
      <c r="Q1009" s="396"/>
      <c r="R1009" s="396"/>
      <c r="S1009" s="396"/>
      <c r="T1009" s="396"/>
      <c r="U1009" s="396"/>
      <c r="V1009" s="396"/>
      <c r="W1009" s="396"/>
      <c r="X1009" s="396"/>
      <c r="Y1009" s="396"/>
      <c r="Z1009" s="396"/>
      <c r="AA1009" s="396"/>
      <c r="AB1009" s="396"/>
      <c r="AC1009" s="396"/>
      <c r="AD1009" s="396"/>
      <c r="AE1009" s="396"/>
      <c r="AF1009" s="396"/>
      <c r="AG1009" s="396"/>
      <c r="AH1009" s="396"/>
      <c r="AI1009" s="396"/>
      <c r="AJ1009" s="396"/>
      <c r="AK1009" s="405">
        <f t="shared" si="161"/>
        <v>0</v>
      </c>
      <c r="AL1009" s="394"/>
      <c r="AM1009" s="396">
        <f>AK1009</f>
        <v>0</v>
      </c>
      <c r="AN1009" s="374">
        <f>AM1009</f>
        <v>0</v>
      </c>
    </row>
    <row r="1010" spans="3:40" ht="12.75" x14ac:dyDescent="0.2">
      <c r="C1010" s="580"/>
      <c r="D1010" s="643" t="s">
        <v>44</v>
      </c>
      <c r="E1010" s="393" t="s">
        <v>18</v>
      </c>
      <c r="F1010" s="393"/>
      <c r="G1010" s="394"/>
      <c r="H1010" s="394"/>
      <c r="I1010" s="394"/>
      <c r="J1010" s="394"/>
      <c r="K1010" s="394"/>
      <c r="L1010" s="394"/>
      <c r="M1010" s="393"/>
      <c r="N1010" s="394"/>
      <c r="O1010" s="394"/>
      <c r="P1010" s="394"/>
      <c r="Q1010" s="394"/>
      <c r="R1010" s="394"/>
      <c r="S1010" s="394"/>
      <c r="T1010" s="393"/>
      <c r="U1010" s="394"/>
      <c r="V1010" s="394"/>
      <c r="W1010" s="394"/>
      <c r="X1010" s="394"/>
      <c r="Y1010" s="394"/>
      <c r="Z1010" s="394"/>
      <c r="AA1010" s="394"/>
      <c r="AB1010" s="394"/>
      <c r="AC1010" s="394"/>
      <c r="AD1010" s="393"/>
      <c r="AE1010" s="394"/>
      <c r="AF1010" s="394"/>
      <c r="AG1010" s="394"/>
      <c r="AH1010" s="394"/>
      <c r="AI1010" s="394"/>
      <c r="AJ1010" s="394"/>
      <c r="AK1010" s="395">
        <f t="shared" si="161"/>
        <v>0</v>
      </c>
      <c r="AL1010" s="408">
        <f>AK1010</f>
        <v>0</v>
      </c>
      <c r="AM1010" s="409"/>
      <c r="AN1010" s="633">
        <f>SUM(AL1010:AM1011)</f>
        <v>0</v>
      </c>
    </row>
    <row r="1011" spans="3:40" ht="12.75" x14ac:dyDescent="0.2">
      <c r="C1011" s="581"/>
      <c r="D1011" s="585"/>
      <c r="E1011" s="404" t="s">
        <v>19</v>
      </c>
      <c r="F1011" s="407"/>
      <c r="G1011" s="407"/>
      <c r="H1011" s="407"/>
      <c r="I1011" s="407"/>
      <c r="J1011" s="407"/>
      <c r="K1011" s="407"/>
      <c r="L1011" s="407"/>
      <c r="M1011" s="407"/>
      <c r="N1011" s="407"/>
      <c r="O1011" s="407"/>
      <c r="P1011" s="407"/>
      <c r="Q1011" s="407"/>
      <c r="R1011" s="407"/>
      <c r="S1011" s="407"/>
      <c r="T1011" s="407"/>
      <c r="U1011" s="407"/>
      <c r="V1011" s="407"/>
      <c r="W1011" s="407"/>
      <c r="X1011" s="407"/>
      <c r="Y1011" s="407"/>
      <c r="Z1011" s="410"/>
      <c r="AA1011" s="407"/>
      <c r="AB1011" s="407"/>
      <c r="AC1011" s="407"/>
      <c r="AD1011" s="407"/>
      <c r="AE1011" s="407"/>
      <c r="AF1011" s="407"/>
      <c r="AG1011" s="407"/>
      <c r="AH1011" s="407"/>
      <c r="AI1011" s="407"/>
      <c r="AJ1011" s="407"/>
      <c r="AK1011" s="405">
        <f t="shared" si="161"/>
        <v>0</v>
      </c>
      <c r="AL1011" s="406"/>
      <c r="AM1011" s="407">
        <f>AK1011</f>
        <v>0</v>
      </c>
      <c r="AN1011" s="583"/>
    </row>
    <row r="1012" spans="3:40" ht="12.75" x14ac:dyDescent="0.2">
      <c r="C1012" s="629" t="s">
        <v>45</v>
      </c>
      <c r="D1012" s="644" t="s">
        <v>46</v>
      </c>
      <c r="E1012" s="411" t="s">
        <v>18</v>
      </c>
      <c r="F1012" s="411">
        <v>3.79</v>
      </c>
      <c r="G1012" s="411"/>
      <c r="H1012" s="412"/>
      <c r="I1012" s="411">
        <f>3.99+0.26+0.64+2.91+7.66</f>
        <v>15.46</v>
      </c>
      <c r="J1012" s="412">
        <f>2.49+5.22+32.38</f>
        <v>40.090000000000003</v>
      </c>
      <c r="K1012" s="411">
        <v>4.91</v>
      </c>
      <c r="L1012" s="411">
        <f>6.04</f>
        <v>6.04</v>
      </c>
      <c r="M1012" s="411"/>
      <c r="N1012" s="411">
        <f>7.2+2.33+1.43+3.49</f>
        <v>14.450000000000001</v>
      </c>
      <c r="O1012" s="411"/>
      <c r="P1012" s="412"/>
      <c r="Q1012" s="411"/>
      <c r="R1012" s="411"/>
      <c r="S1012" s="411">
        <f>0.39+2.53+4.39+1.99+1.36</f>
        <v>10.659999999999998</v>
      </c>
      <c r="T1012" s="411"/>
      <c r="U1012" s="411">
        <f>2.49+2.59+4.14+1.43+5.24+6.38+32.38+1.98+7.29</f>
        <v>63.92</v>
      </c>
      <c r="V1012" s="411"/>
      <c r="W1012" s="411"/>
      <c r="X1012" s="411"/>
      <c r="Y1012" s="412">
        <f>2.59+2.49+1.95</f>
        <v>7.03</v>
      </c>
      <c r="Z1012" s="412">
        <f>7.9+5.13+1.41</f>
        <v>14.440000000000001</v>
      </c>
      <c r="AA1012" s="411">
        <v>8.49</v>
      </c>
      <c r="AB1012" s="411">
        <f>2.49+3.14+5.74+1.96</f>
        <v>13.330000000000002</v>
      </c>
      <c r="AC1012" s="411">
        <f>3.28+(1.96*2)</f>
        <v>7.1999999999999993</v>
      </c>
      <c r="AD1012" s="411">
        <f>2.59+4.58</f>
        <v>7.17</v>
      </c>
      <c r="AE1012" s="412">
        <f>3.12+2.78</f>
        <v>5.9</v>
      </c>
      <c r="AF1012" s="411">
        <f>3.14+1.95</f>
        <v>5.09</v>
      </c>
      <c r="AG1012" s="412">
        <f>20.81-(0.78*2)</f>
        <v>19.25</v>
      </c>
      <c r="AH1012" s="412">
        <f>0.87+6.19</f>
        <v>7.0600000000000005</v>
      </c>
      <c r="AI1012" s="412">
        <f>2.32+1.85+9.91+1.95+2.49+2.59</f>
        <v>21.110000000000003</v>
      </c>
      <c r="AJ1012" s="412"/>
      <c r="AK1012" s="395">
        <f t="shared" si="161"/>
        <v>275.39</v>
      </c>
      <c r="AL1012" s="408">
        <f>AK1012</f>
        <v>275.39</v>
      </c>
      <c r="AM1012" s="409"/>
      <c r="AN1012" s="633">
        <f>SUM(AL1012:AM1013)</f>
        <v>275.39</v>
      </c>
    </row>
    <row r="1013" spans="3:40" ht="12.75" x14ac:dyDescent="0.2">
      <c r="C1013" s="580"/>
      <c r="D1013" s="577"/>
      <c r="E1013" s="404" t="s">
        <v>19</v>
      </c>
      <c r="F1013" s="404"/>
      <c r="G1013" s="404"/>
      <c r="H1013" s="404"/>
      <c r="I1013" s="396"/>
      <c r="J1013" s="396"/>
      <c r="K1013" s="396"/>
      <c r="L1013" s="404"/>
      <c r="M1013" s="396"/>
      <c r="N1013" s="396"/>
      <c r="O1013" s="396"/>
      <c r="P1013" s="396"/>
      <c r="Q1013" s="396"/>
      <c r="R1013" s="396"/>
      <c r="S1013" s="404"/>
      <c r="T1013" s="404"/>
      <c r="U1013" s="396"/>
      <c r="V1013" s="404"/>
      <c r="W1013" s="396"/>
      <c r="X1013" s="404"/>
      <c r="Y1013" s="396"/>
      <c r="Z1013" s="404"/>
      <c r="AA1013" s="396"/>
      <c r="AB1013" s="404"/>
      <c r="AC1013" s="404"/>
      <c r="AD1013" s="404"/>
      <c r="AE1013" s="396"/>
      <c r="AF1013" s="396"/>
      <c r="AG1013" s="396"/>
      <c r="AH1013" s="396"/>
      <c r="AI1013" s="396"/>
      <c r="AJ1013" s="396"/>
      <c r="AK1013" s="405">
        <f t="shared" si="161"/>
        <v>0</v>
      </c>
      <c r="AL1013" s="406"/>
      <c r="AM1013" s="407">
        <f>AK1013</f>
        <v>0</v>
      </c>
      <c r="AN1013" s="583"/>
    </row>
    <row r="1014" spans="3:40" ht="12.75" x14ac:dyDescent="0.2">
      <c r="C1014" s="580"/>
      <c r="D1014" s="643" t="s">
        <v>47</v>
      </c>
      <c r="E1014" s="393" t="s">
        <v>18</v>
      </c>
      <c r="F1014" s="394"/>
      <c r="G1014" s="393">
        <f>17.99+0.78+0.78+2.15</f>
        <v>21.7</v>
      </c>
      <c r="H1014" s="393"/>
      <c r="I1014" s="393">
        <f>4.98-0.29</f>
        <v>4.6900000000000004</v>
      </c>
      <c r="J1014" s="393">
        <f>11.27+4.44+2.17+0.73+0.73</f>
        <v>19.340000000000003</v>
      </c>
      <c r="K1014" s="394">
        <f>2.89</f>
        <v>2.89</v>
      </c>
      <c r="L1014" s="393">
        <f>5.99+3.18+0.15+0.73+0.73</f>
        <v>10.780000000000001</v>
      </c>
      <c r="M1014" s="393"/>
      <c r="N1014" s="393">
        <f>(0.78*2)+4.59</f>
        <v>6.15</v>
      </c>
      <c r="O1014" s="393"/>
      <c r="P1014" s="393">
        <f>5.18+0.14+3.87+0.78+0.78+5.99</f>
        <v>16.739999999999998</v>
      </c>
      <c r="Q1014" s="393"/>
      <c r="R1014" s="393">
        <v>7.6</v>
      </c>
      <c r="S1014" s="393">
        <f>(0.78*2)</f>
        <v>1.56</v>
      </c>
      <c r="T1014" s="393"/>
      <c r="U1014" s="393">
        <f>3.79+(0.78*2)</f>
        <v>5.35</v>
      </c>
      <c r="V1014" s="393">
        <f>9.18-6</f>
        <v>3.1799999999999997</v>
      </c>
      <c r="W1014" s="394"/>
      <c r="X1014" s="393">
        <f>16.74-6</f>
        <v>10.739999999999998</v>
      </c>
      <c r="Y1014" s="393">
        <f>1.56+8.87</f>
        <v>10.43</v>
      </c>
      <c r="Z1014" s="393">
        <f>(0.78*2)</f>
        <v>1.56</v>
      </c>
      <c r="AA1014" s="393"/>
      <c r="AB1014" s="393">
        <f t="shared" ref="AB1014:AC1014" si="164">(0.78*2)</f>
        <v>1.56</v>
      </c>
      <c r="AC1014" s="393">
        <f t="shared" si="164"/>
        <v>1.56</v>
      </c>
      <c r="AD1014" s="393">
        <f>1.49+(0.78*2)+7.7+3+47.5+6+3</f>
        <v>70.25</v>
      </c>
      <c r="AE1014" s="393">
        <v>2.1</v>
      </c>
      <c r="AF1014" s="394">
        <f t="shared" ref="AF1014:AG1014" si="165">(0.78*2)</f>
        <v>1.56</v>
      </c>
      <c r="AG1014" s="393">
        <f t="shared" si="165"/>
        <v>1.56</v>
      </c>
      <c r="AH1014" s="393">
        <v>4.2300000000000004</v>
      </c>
      <c r="AI1014" s="394">
        <f>0.62+(0.78*2)</f>
        <v>2.1800000000000002</v>
      </c>
      <c r="AJ1014" s="394">
        <f>11.27-5</f>
        <v>6.27</v>
      </c>
      <c r="AK1014" s="395">
        <f t="shared" si="161"/>
        <v>213.98</v>
      </c>
      <c r="AL1014" s="408">
        <f>AK1014</f>
        <v>213.98</v>
      </c>
      <c r="AM1014" s="409"/>
      <c r="AN1014" s="633">
        <f>SUM(AL1014:AM1015)</f>
        <v>213.98</v>
      </c>
    </row>
    <row r="1015" spans="3:40" ht="12.75" x14ac:dyDescent="0.2">
      <c r="C1015" s="580"/>
      <c r="D1015" s="577"/>
      <c r="E1015" s="404" t="s">
        <v>19</v>
      </c>
      <c r="F1015" s="396"/>
      <c r="G1015" s="396"/>
      <c r="H1015" s="404"/>
      <c r="I1015" s="404"/>
      <c r="J1015" s="404"/>
      <c r="K1015" s="396"/>
      <c r="L1015" s="396"/>
      <c r="M1015" s="396"/>
      <c r="N1015" s="396"/>
      <c r="O1015" s="396"/>
      <c r="P1015" s="404"/>
      <c r="Q1015" s="404"/>
      <c r="R1015" s="404"/>
      <c r="S1015" s="404"/>
      <c r="T1015" s="404"/>
      <c r="U1015" s="404"/>
      <c r="V1015" s="404"/>
      <c r="W1015" s="404"/>
      <c r="X1015" s="404"/>
      <c r="Y1015" s="396"/>
      <c r="Z1015" s="404"/>
      <c r="AA1015" s="396"/>
      <c r="AB1015" s="404"/>
      <c r="AC1015" s="396"/>
      <c r="AD1015" s="396"/>
      <c r="AE1015" s="396"/>
      <c r="AF1015" s="396"/>
      <c r="AG1015" s="396"/>
      <c r="AH1015" s="396"/>
      <c r="AI1015" s="396"/>
      <c r="AJ1015" s="396"/>
      <c r="AK1015" s="405">
        <f t="shared" si="161"/>
        <v>0</v>
      </c>
      <c r="AL1015" s="406"/>
      <c r="AM1015" s="407">
        <f>AK1015</f>
        <v>0</v>
      </c>
      <c r="AN1015" s="583"/>
    </row>
    <row r="1016" spans="3:40" ht="12.75" x14ac:dyDescent="0.2">
      <c r="C1016" s="580"/>
      <c r="D1016" s="643" t="s">
        <v>48</v>
      </c>
      <c r="E1016" s="393" t="s">
        <v>18</v>
      </c>
      <c r="F1016" s="393"/>
      <c r="G1016" s="393"/>
      <c r="H1016" s="393"/>
      <c r="I1016" s="393"/>
      <c r="J1016" s="393"/>
      <c r="K1016" s="393"/>
      <c r="L1016" s="393"/>
      <c r="M1016" s="393">
        <f>3.29+2.15</f>
        <v>5.4399999999999995</v>
      </c>
      <c r="N1016" s="394"/>
      <c r="O1016" s="393"/>
      <c r="P1016" s="393"/>
      <c r="Q1016" s="393"/>
      <c r="R1016" s="393">
        <f>8.35-6</f>
        <v>2.3499999999999996</v>
      </c>
      <c r="S1016" s="393"/>
      <c r="T1016" s="393"/>
      <c r="U1016" s="393"/>
      <c r="V1016" s="393"/>
      <c r="W1016" s="393"/>
      <c r="X1016" s="393"/>
      <c r="Y1016" s="393">
        <v>8.08</v>
      </c>
      <c r="Z1016" s="393">
        <v>2.35</v>
      </c>
      <c r="AA1016" s="394">
        <f>11.12-6</f>
        <v>5.1199999999999992</v>
      </c>
      <c r="AB1016" s="393">
        <v>5.12</v>
      </c>
      <c r="AC1016" s="393"/>
      <c r="AD1016" s="393"/>
      <c r="AE1016" s="393"/>
      <c r="AF1016" s="394"/>
      <c r="AG1016" s="394"/>
      <c r="AH1016" s="393">
        <v>2.35</v>
      </c>
      <c r="AI1016" s="393">
        <v>2.35</v>
      </c>
      <c r="AJ1016" s="394"/>
      <c r="AK1016" s="395">
        <f t="shared" si="161"/>
        <v>33.159999999999997</v>
      </c>
      <c r="AL1016" s="408">
        <f>AK1016</f>
        <v>33.159999999999997</v>
      </c>
      <c r="AM1016" s="409"/>
      <c r="AN1016" s="633">
        <f>SUM(AL1016:AM1017)</f>
        <v>33.159999999999997</v>
      </c>
    </row>
    <row r="1017" spans="3:40" ht="12.75" x14ac:dyDescent="0.2">
      <c r="C1017" s="580"/>
      <c r="D1017" s="577"/>
      <c r="E1017" s="404" t="s">
        <v>19</v>
      </c>
      <c r="F1017" s="396"/>
      <c r="G1017" s="404"/>
      <c r="H1017" s="404"/>
      <c r="I1017" s="404"/>
      <c r="J1017" s="396"/>
      <c r="K1017" s="404"/>
      <c r="L1017" s="404"/>
      <c r="M1017" s="404"/>
      <c r="N1017" s="396"/>
      <c r="O1017" s="396"/>
      <c r="P1017" s="396"/>
      <c r="Q1017" s="404"/>
      <c r="R1017" s="404"/>
      <c r="S1017" s="404"/>
      <c r="T1017" s="404"/>
      <c r="U1017" s="404"/>
      <c r="V1017" s="404"/>
      <c r="W1017" s="404"/>
      <c r="X1017" s="404"/>
      <c r="Y1017" s="396"/>
      <c r="Z1017" s="396"/>
      <c r="AA1017" s="404"/>
      <c r="AB1017" s="404"/>
      <c r="AC1017" s="404"/>
      <c r="AD1017" s="404"/>
      <c r="AE1017" s="404"/>
      <c r="AF1017" s="396"/>
      <c r="AG1017" s="396"/>
      <c r="AH1017" s="396"/>
      <c r="AI1017" s="396"/>
      <c r="AJ1017" s="396"/>
      <c r="AK1017" s="405">
        <f t="shared" si="161"/>
        <v>0</v>
      </c>
      <c r="AL1017" s="406"/>
      <c r="AM1017" s="407">
        <f>AK1017</f>
        <v>0</v>
      </c>
      <c r="AN1017" s="583"/>
    </row>
    <row r="1018" spans="3:40" ht="12.75" x14ac:dyDescent="0.2">
      <c r="C1018" s="580"/>
      <c r="D1018" s="643" t="s">
        <v>49</v>
      </c>
      <c r="E1018" s="393" t="s">
        <v>18</v>
      </c>
      <c r="F1018" s="393"/>
      <c r="G1018" s="393">
        <f>2.49*2</f>
        <v>4.9800000000000004</v>
      </c>
      <c r="H1018" s="394"/>
      <c r="I1018" s="393"/>
      <c r="J1018" s="393"/>
      <c r="K1018" s="394"/>
      <c r="L1018" s="394"/>
      <c r="M1018" s="393"/>
      <c r="N1018" s="394"/>
      <c r="O1018" s="393"/>
      <c r="P1018" s="393"/>
      <c r="Q1018" s="393"/>
      <c r="R1018" s="393"/>
      <c r="S1018" s="393"/>
      <c r="T1018" s="393"/>
      <c r="U1018" s="393"/>
      <c r="V1018" s="393"/>
      <c r="W1018" s="393">
        <v>4.8</v>
      </c>
      <c r="X1018" s="394"/>
      <c r="Y1018" s="394"/>
      <c r="Z1018" s="393"/>
      <c r="AA1018" s="393"/>
      <c r="AB1018" s="393"/>
      <c r="AC1018" s="393"/>
      <c r="AD1018" s="394">
        <f>6+3</f>
        <v>9</v>
      </c>
      <c r="AE1018" s="393"/>
      <c r="AF1018" s="394"/>
      <c r="AG1018" s="394"/>
      <c r="AH1018" s="394"/>
      <c r="AI1018" s="394"/>
      <c r="AJ1018" s="394"/>
      <c r="AK1018" s="395">
        <f t="shared" si="161"/>
        <v>18.78</v>
      </c>
      <c r="AL1018" s="408">
        <f>AK1018</f>
        <v>18.78</v>
      </c>
      <c r="AM1018" s="409"/>
      <c r="AN1018" s="633">
        <f>SUM(AL1018:AM1019)</f>
        <v>18.78</v>
      </c>
    </row>
    <row r="1019" spans="3:40" ht="12.75" x14ac:dyDescent="0.2">
      <c r="C1019" s="580"/>
      <c r="D1019" s="577"/>
      <c r="E1019" s="404" t="s">
        <v>19</v>
      </c>
      <c r="F1019" s="396"/>
      <c r="G1019" s="396"/>
      <c r="H1019" s="404"/>
      <c r="I1019" s="404"/>
      <c r="J1019" s="404"/>
      <c r="K1019" s="404"/>
      <c r="L1019" s="404"/>
      <c r="M1019" s="404"/>
      <c r="N1019" s="404"/>
      <c r="O1019" s="404"/>
      <c r="P1019" s="404"/>
      <c r="Q1019" s="404"/>
      <c r="R1019" s="404"/>
      <c r="S1019" s="404"/>
      <c r="T1019" s="404"/>
      <c r="U1019" s="404"/>
      <c r="V1019" s="404"/>
      <c r="W1019" s="404"/>
      <c r="X1019" s="404"/>
      <c r="Y1019" s="404"/>
      <c r="Z1019" s="404"/>
      <c r="AA1019" s="396"/>
      <c r="AB1019" s="396"/>
      <c r="AC1019" s="396"/>
      <c r="AD1019" s="396"/>
      <c r="AE1019" s="404"/>
      <c r="AF1019" s="396"/>
      <c r="AG1019" s="396"/>
      <c r="AH1019" s="396"/>
      <c r="AI1019" s="396"/>
      <c r="AJ1019" s="396"/>
      <c r="AK1019" s="405">
        <f t="shared" si="161"/>
        <v>0</v>
      </c>
      <c r="AL1019" s="406"/>
      <c r="AM1019" s="407">
        <f>AK1019</f>
        <v>0</v>
      </c>
      <c r="AN1019" s="583"/>
    </row>
    <row r="1020" spans="3:40" ht="12.75" x14ac:dyDescent="0.2">
      <c r="C1020" s="580"/>
      <c r="D1020" s="643" t="s">
        <v>50</v>
      </c>
      <c r="E1020" s="393" t="s">
        <v>18</v>
      </c>
      <c r="F1020" s="393"/>
      <c r="G1020" s="393">
        <v>6</v>
      </c>
      <c r="H1020" s="393"/>
      <c r="I1020" s="393">
        <f>7.5+6</f>
        <v>13.5</v>
      </c>
      <c r="J1020" s="393"/>
      <c r="K1020" s="393"/>
      <c r="L1020" s="393">
        <v>6</v>
      </c>
      <c r="M1020" s="393">
        <v>6</v>
      </c>
      <c r="N1020" s="393">
        <v>5.8</v>
      </c>
      <c r="O1020" s="393"/>
      <c r="P1020" s="393">
        <f>6*2</f>
        <v>12</v>
      </c>
      <c r="Q1020" s="393"/>
      <c r="R1020" s="393">
        <v>12</v>
      </c>
      <c r="S1020" s="393"/>
      <c r="T1020" s="393">
        <v>6</v>
      </c>
      <c r="U1020" s="393">
        <v>6</v>
      </c>
      <c r="V1020" s="393">
        <v>6</v>
      </c>
      <c r="W1020" s="393">
        <v>6</v>
      </c>
      <c r="X1020" s="393">
        <v>12</v>
      </c>
      <c r="Y1020" s="393">
        <v>6</v>
      </c>
      <c r="Z1020" s="393">
        <v>6</v>
      </c>
      <c r="AA1020" s="393">
        <v>6</v>
      </c>
      <c r="AB1020" s="393">
        <v>6</v>
      </c>
      <c r="AC1020" s="393">
        <v>6</v>
      </c>
      <c r="AD1020" s="393">
        <v>6</v>
      </c>
      <c r="AE1020" s="393">
        <v>6</v>
      </c>
      <c r="AF1020" s="393">
        <v>6</v>
      </c>
      <c r="AG1020" s="393">
        <v>6</v>
      </c>
      <c r="AH1020" s="393">
        <v>6</v>
      </c>
      <c r="AI1020" s="393">
        <v>6</v>
      </c>
      <c r="AJ1020" s="393">
        <v>6</v>
      </c>
      <c r="AK1020" s="395">
        <f t="shared" si="161"/>
        <v>169.3</v>
      </c>
      <c r="AL1020" s="408">
        <f>AK1020</f>
        <v>169.3</v>
      </c>
      <c r="AM1020" s="409"/>
      <c r="AN1020" s="633">
        <f>SUM(AL1020:AM1021)</f>
        <v>169.3</v>
      </c>
    </row>
    <row r="1021" spans="3:40" ht="12.75" x14ac:dyDescent="0.2">
      <c r="C1021" s="580"/>
      <c r="D1021" s="577"/>
      <c r="E1021" s="404" t="s">
        <v>19</v>
      </c>
      <c r="F1021" s="404"/>
      <c r="G1021" s="404"/>
      <c r="H1021" s="404"/>
      <c r="I1021" s="404"/>
      <c r="J1021" s="404"/>
      <c r="K1021" s="404"/>
      <c r="L1021" s="404"/>
      <c r="M1021" s="404"/>
      <c r="N1021" s="404"/>
      <c r="O1021" s="404"/>
      <c r="P1021" s="404"/>
      <c r="Q1021" s="404"/>
      <c r="R1021" s="404"/>
      <c r="S1021" s="404"/>
      <c r="T1021" s="404"/>
      <c r="U1021" s="404"/>
      <c r="V1021" s="404"/>
      <c r="W1021" s="404"/>
      <c r="X1021" s="404"/>
      <c r="Y1021" s="404"/>
      <c r="Z1021" s="404"/>
      <c r="AA1021" s="404"/>
      <c r="AB1021" s="404"/>
      <c r="AC1021" s="404"/>
      <c r="AD1021" s="396"/>
      <c r="AE1021" s="396"/>
      <c r="AF1021" s="396"/>
      <c r="AG1021" s="396"/>
      <c r="AH1021" s="396"/>
      <c r="AI1021" s="396"/>
      <c r="AJ1021" s="396"/>
      <c r="AK1021" s="405">
        <f t="shared" si="161"/>
        <v>0</v>
      </c>
      <c r="AL1021" s="406"/>
      <c r="AM1021" s="407">
        <f>AK1021</f>
        <v>0</v>
      </c>
      <c r="AN1021" s="583"/>
    </row>
    <row r="1022" spans="3:40" ht="12.75" x14ac:dyDescent="0.2">
      <c r="C1022" s="580"/>
      <c r="D1022" s="643" t="s">
        <v>1</v>
      </c>
      <c r="E1022" s="393" t="s">
        <v>18</v>
      </c>
      <c r="F1022" s="394"/>
      <c r="G1022" s="394"/>
      <c r="H1022" s="394"/>
      <c r="I1022" s="393"/>
      <c r="J1022" s="393"/>
      <c r="K1022" s="393">
        <v>10.69</v>
      </c>
      <c r="L1022" s="393"/>
      <c r="M1022" s="394"/>
      <c r="N1022" s="394"/>
      <c r="O1022" s="394"/>
      <c r="P1022" s="394"/>
      <c r="Q1022" s="393"/>
      <c r="R1022" s="393"/>
      <c r="S1022" s="393"/>
      <c r="T1022" s="394"/>
      <c r="U1022" s="393"/>
      <c r="V1022" s="393"/>
      <c r="W1022" s="393"/>
      <c r="X1022" s="393"/>
      <c r="Y1022" s="393">
        <v>2.09</v>
      </c>
      <c r="Z1022" s="393"/>
      <c r="AA1022" s="393"/>
      <c r="AB1022" s="393"/>
      <c r="AC1022" s="393">
        <v>5.29</v>
      </c>
      <c r="AD1022" s="393"/>
      <c r="AE1022" s="394"/>
      <c r="AF1022" s="394"/>
      <c r="AG1022" s="394"/>
      <c r="AH1022" s="394"/>
      <c r="AI1022" s="394"/>
      <c r="AJ1022" s="393">
        <v>5</v>
      </c>
      <c r="AK1022" s="395">
        <f t="shared" si="161"/>
        <v>23.07</v>
      </c>
      <c r="AL1022" s="403">
        <f>AK1022</f>
        <v>23.07</v>
      </c>
      <c r="AM1022" s="396"/>
      <c r="AN1022" s="633">
        <f>SUM(AL1022:AM1023)</f>
        <v>23.07</v>
      </c>
    </row>
    <row r="1023" spans="3:40" ht="12.75" x14ac:dyDescent="0.2">
      <c r="C1023" s="580"/>
      <c r="D1023" s="577"/>
      <c r="E1023" s="404" t="s">
        <v>19</v>
      </c>
      <c r="F1023" s="396"/>
      <c r="G1023" s="396"/>
      <c r="H1023" s="404"/>
      <c r="I1023" s="404"/>
      <c r="J1023" s="396"/>
      <c r="K1023" s="396"/>
      <c r="L1023" s="396"/>
      <c r="M1023" s="396"/>
      <c r="N1023" s="396"/>
      <c r="O1023" s="396"/>
      <c r="P1023" s="396"/>
      <c r="Q1023" s="404"/>
      <c r="R1023" s="404"/>
      <c r="S1023" s="404"/>
      <c r="T1023" s="396"/>
      <c r="U1023" s="404"/>
      <c r="V1023" s="404"/>
      <c r="W1023" s="396"/>
      <c r="X1023" s="404"/>
      <c r="Y1023" s="404"/>
      <c r="Z1023" s="404"/>
      <c r="AA1023" s="404"/>
      <c r="AB1023" s="404"/>
      <c r="AC1023" s="404"/>
      <c r="AD1023" s="396"/>
      <c r="AE1023" s="396"/>
      <c r="AF1023" s="396"/>
      <c r="AG1023" s="396"/>
      <c r="AH1023" s="396"/>
      <c r="AI1023" s="396"/>
      <c r="AJ1023" s="396"/>
      <c r="AK1023" s="405">
        <f t="shared" si="161"/>
        <v>0</v>
      </c>
      <c r="AL1023" s="403"/>
      <c r="AM1023" s="396">
        <f>AK1023</f>
        <v>0</v>
      </c>
      <c r="AN1023" s="583"/>
    </row>
    <row r="1024" spans="3:40" ht="12.75" x14ac:dyDescent="0.2">
      <c r="C1024" s="580"/>
      <c r="D1024" s="643" t="s">
        <v>78</v>
      </c>
      <c r="E1024" s="393" t="s">
        <v>18</v>
      </c>
      <c r="F1024" s="394"/>
      <c r="G1024" s="394"/>
      <c r="H1024" s="394"/>
      <c r="I1024" s="394"/>
      <c r="J1024" s="394"/>
      <c r="K1024" s="393"/>
      <c r="L1024" s="393"/>
      <c r="M1024" s="393"/>
      <c r="N1024" s="393"/>
      <c r="O1024" s="393"/>
      <c r="P1024" s="393"/>
      <c r="Q1024" s="394"/>
      <c r="R1024" s="394"/>
      <c r="S1024" s="394"/>
      <c r="T1024" s="394"/>
      <c r="U1024" s="394"/>
      <c r="V1024" s="394"/>
      <c r="W1024" s="393"/>
      <c r="X1024" s="393"/>
      <c r="Y1024" s="393"/>
      <c r="Z1024" s="393"/>
      <c r="AA1024" s="394"/>
      <c r="AB1024" s="394"/>
      <c r="AC1024" s="394"/>
      <c r="AD1024" s="394"/>
      <c r="AE1024" s="394"/>
      <c r="AF1024" s="394"/>
      <c r="AG1024" s="394"/>
      <c r="AH1024" s="394"/>
      <c r="AI1024" s="394"/>
      <c r="AJ1024" s="394"/>
      <c r="AK1024" s="395">
        <f t="shared" si="161"/>
        <v>0</v>
      </c>
      <c r="AL1024" s="408">
        <f>AK1024</f>
        <v>0</v>
      </c>
      <c r="AM1024" s="409"/>
      <c r="AN1024" s="634">
        <f>SUM(AL1024:AM1025)</f>
        <v>0</v>
      </c>
    </row>
    <row r="1025" spans="3:40" ht="12.75" x14ac:dyDescent="0.2">
      <c r="C1025" s="580"/>
      <c r="D1025" s="577"/>
      <c r="E1025" s="404" t="s">
        <v>19</v>
      </c>
      <c r="F1025" s="396"/>
      <c r="G1025" s="396"/>
      <c r="H1025" s="396"/>
      <c r="I1025" s="396"/>
      <c r="J1025" s="396"/>
      <c r="K1025" s="396"/>
      <c r="L1025" s="396"/>
      <c r="M1025" s="396"/>
      <c r="N1025" s="396"/>
      <c r="O1025" s="396"/>
      <c r="P1025" s="396"/>
      <c r="Q1025" s="396"/>
      <c r="R1025" s="396"/>
      <c r="S1025" s="396"/>
      <c r="T1025" s="396"/>
      <c r="U1025" s="396"/>
      <c r="V1025" s="396"/>
      <c r="W1025" s="396"/>
      <c r="X1025" s="396"/>
      <c r="Y1025" s="396"/>
      <c r="Z1025" s="396"/>
      <c r="AA1025" s="396"/>
      <c r="AB1025" s="396"/>
      <c r="AC1025" s="396"/>
      <c r="AD1025" s="396"/>
      <c r="AE1025" s="396"/>
      <c r="AF1025" s="396"/>
      <c r="AG1025" s="396"/>
      <c r="AH1025" s="396"/>
      <c r="AI1025" s="396"/>
      <c r="AJ1025" s="396"/>
      <c r="AK1025" s="405">
        <f t="shared" si="161"/>
        <v>0</v>
      </c>
      <c r="AL1025" s="406"/>
      <c r="AM1025" s="407">
        <f>AK1025</f>
        <v>0</v>
      </c>
      <c r="AN1025" s="583"/>
    </row>
    <row r="1026" spans="3:40" ht="12.75" x14ac:dyDescent="0.2">
      <c r="C1026" s="580"/>
      <c r="D1026" s="643" t="s">
        <v>52</v>
      </c>
      <c r="E1026" s="393" t="s">
        <v>18</v>
      </c>
      <c r="F1026" s="394"/>
      <c r="G1026" s="394"/>
      <c r="H1026" s="394"/>
      <c r="I1026" s="394"/>
      <c r="J1026" s="394"/>
      <c r="K1026" s="394"/>
      <c r="L1026" s="394"/>
      <c r="M1026" s="394"/>
      <c r="N1026" s="394"/>
      <c r="O1026" s="394"/>
      <c r="P1026" s="394"/>
      <c r="Q1026" s="394"/>
      <c r="R1026" s="394"/>
      <c r="S1026" s="394"/>
      <c r="T1026" s="394"/>
      <c r="U1026" s="394"/>
      <c r="V1026" s="394"/>
      <c r="W1026" s="394"/>
      <c r="X1026" s="394"/>
      <c r="Y1026" s="393"/>
      <c r="Z1026" s="393"/>
      <c r="AA1026" s="394"/>
      <c r="AB1026" s="394"/>
      <c r="AC1026" s="394"/>
      <c r="AD1026" s="394"/>
      <c r="AE1026" s="394"/>
      <c r="AF1026" s="394"/>
      <c r="AG1026" s="394"/>
      <c r="AH1026" s="394"/>
      <c r="AI1026" s="394"/>
      <c r="AJ1026" s="414"/>
      <c r="AK1026" s="395">
        <f t="shared" si="161"/>
        <v>0</v>
      </c>
      <c r="AL1026" s="408">
        <f>AK1026</f>
        <v>0</v>
      </c>
      <c r="AM1026" s="409"/>
      <c r="AN1026" s="633">
        <f>SUM(AL1026:AM1027)</f>
        <v>0</v>
      </c>
    </row>
    <row r="1027" spans="3:40" ht="12.75" x14ac:dyDescent="0.2">
      <c r="C1027" s="581"/>
      <c r="D1027" s="585"/>
      <c r="E1027" s="404" t="s">
        <v>19</v>
      </c>
      <c r="F1027" s="396"/>
      <c r="G1027" s="396"/>
      <c r="H1027" s="396"/>
      <c r="I1027" s="396"/>
      <c r="J1027" s="396"/>
      <c r="K1027" s="396"/>
      <c r="L1027" s="396"/>
      <c r="M1027" s="396"/>
      <c r="N1027" s="396"/>
      <c r="O1027" s="396"/>
      <c r="P1027" s="396"/>
      <c r="Q1027" s="396"/>
      <c r="R1027" s="396"/>
      <c r="S1027" s="396"/>
      <c r="T1027" s="396"/>
      <c r="U1027" s="396"/>
      <c r="V1027" s="396"/>
      <c r="W1027" s="396"/>
      <c r="X1027" s="396"/>
      <c r="Y1027" s="404"/>
      <c r="Z1027" s="404"/>
      <c r="AA1027" s="396"/>
      <c r="AB1027" s="396"/>
      <c r="AC1027" s="396"/>
      <c r="AD1027" s="396"/>
      <c r="AE1027" s="396"/>
      <c r="AF1027" s="396"/>
      <c r="AG1027" s="396"/>
      <c r="AH1027" s="396"/>
      <c r="AI1027" s="396"/>
      <c r="AJ1027" s="415"/>
      <c r="AK1027" s="405">
        <f t="shared" si="161"/>
        <v>0</v>
      </c>
      <c r="AL1027" s="406"/>
      <c r="AM1027" s="407">
        <f>AK1027</f>
        <v>0</v>
      </c>
      <c r="AN1027" s="583"/>
    </row>
    <row r="1028" spans="3:40" ht="12.75" x14ac:dyDescent="0.2">
      <c r="C1028" s="629" t="s">
        <v>53</v>
      </c>
      <c r="D1028" s="416" t="s">
        <v>54</v>
      </c>
      <c r="E1028" s="411" t="s">
        <v>18</v>
      </c>
      <c r="F1028" s="412"/>
      <c r="G1028" s="411"/>
      <c r="H1028" s="412"/>
      <c r="I1028" s="412"/>
      <c r="J1028" s="412"/>
      <c r="K1028" s="411"/>
      <c r="L1028" s="412"/>
      <c r="M1028" s="412"/>
      <c r="N1028" s="412"/>
      <c r="O1028" s="412"/>
      <c r="P1028" s="412"/>
      <c r="Q1028" s="412"/>
      <c r="R1028" s="412"/>
      <c r="S1028" s="412"/>
      <c r="T1028" s="412"/>
      <c r="U1028" s="412"/>
      <c r="V1028" s="412"/>
      <c r="W1028" s="412"/>
      <c r="X1028" s="412"/>
      <c r="Y1028" s="412"/>
      <c r="Z1028" s="412"/>
      <c r="AA1028" s="412"/>
      <c r="AB1028" s="412"/>
      <c r="AC1028" s="412"/>
      <c r="AD1028" s="411"/>
      <c r="AE1028" s="412"/>
      <c r="AF1028" s="412"/>
      <c r="AG1028" s="412"/>
      <c r="AH1028" s="412"/>
      <c r="AI1028" s="412"/>
      <c r="AJ1028" s="417"/>
      <c r="AK1028" s="395">
        <f t="shared" si="161"/>
        <v>0</v>
      </c>
      <c r="AL1028" s="394">
        <f t="shared" ref="AL1028:AL1029" si="166">AK1028</f>
        <v>0</v>
      </c>
      <c r="AM1028" s="396"/>
      <c r="AN1028" s="374">
        <f>AL1028</f>
        <v>0</v>
      </c>
    </row>
    <row r="1029" spans="3:40" ht="12.75" x14ac:dyDescent="0.2">
      <c r="C1029" s="580"/>
      <c r="D1029" s="643" t="s">
        <v>55</v>
      </c>
      <c r="E1029" s="393" t="s">
        <v>18</v>
      </c>
      <c r="F1029" s="394"/>
      <c r="G1029" s="394"/>
      <c r="H1029" s="393"/>
      <c r="I1029" s="393">
        <v>59.76</v>
      </c>
      <c r="J1029" s="394"/>
      <c r="K1029" s="394"/>
      <c r="L1029" s="393"/>
      <c r="M1029" s="394"/>
      <c r="N1029" s="393"/>
      <c r="O1029" s="394"/>
      <c r="P1029" s="394"/>
      <c r="Q1029" s="394"/>
      <c r="R1029" s="394"/>
      <c r="S1029" s="393">
        <v>30.13</v>
      </c>
      <c r="T1029" s="394"/>
      <c r="U1029" s="393">
        <v>5.63</v>
      </c>
      <c r="V1029" s="393"/>
      <c r="W1029" s="393"/>
      <c r="X1029" s="393">
        <v>24</v>
      </c>
      <c r="Y1029" s="393">
        <v>6.36</v>
      </c>
      <c r="Z1029" s="393">
        <v>17.23</v>
      </c>
      <c r="AA1029" s="394"/>
      <c r="AB1029" s="393">
        <v>184.8</v>
      </c>
      <c r="AC1029" s="393"/>
      <c r="AD1029" s="393"/>
      <c r="AE1029" s="393"/>
      <c r="AF1029" s="394"/>
      <c r="AG1029" s="394"/>
      <c r="AH1029" s="393">
        <v>16.7</v>
      </c>
      <c r="AI1029" s="394"/>
      <c r="AJ1029" s="414"/>
      <c r="AK1029" s="395">
        <f t="shared" si="161"/>
        <v>344.60999999999996</v>
      </c>
      <c r="AL1029" s="408">
        <f t="shared" si="166"/>
        <v>344.60999999999996</v>
      </c>
      <c r="AM1029" s="409"/>
      <c r="AN1029" s="633">
        <f>SUM(AL1029:AM1030)</f>
        <v>344.60999999999996</v>
      </c>
    </row>
    <row r="1030" spans="3:40" ht="12.75" x14ac:dyDescent="0.2">
      <c r="C1030" s="580"/>
      <c r="D1030" s="577"/>
      <c r="E1030" s="404" t="s">
        <v>19</v>
      </c>
      <c r="F1030" s="396"/>
      <c r="G1030" s="396"/>
      <c r="H1030" s="404"/>
      <c r="I1030" s="404"/>
      <c r="J1030" s="396"/>
      <c r="K1030" s="396"/>
      <c r="L1030" s="404"/>
      <c r="M1030" s="396"/>
      <c r="N1030" s="396"/>
      <c r="O1030" s="396"/>
      <c r="P1030" s="396"/>
      <c r="Q1030" s="396"/>
      <c r="R1030" s="396"/>
      <c r="S1030" s="396"/>
      <c r="T1030" s="396"/>
      <c r="U1030" s="404"/>
      <c r="V1030" s="404"/>
      <c r="W1030" s="396"/>
      <c r="X1030" s="396"/>
      <c r="Y1030" s="396"/>
      <c r="Z1030" s="396"/>
      <c r="AA1030" s="396"/>
      <c r="AB1030" s="396"/>
      <c r="AC1030" s="404"/>
      <c r="AD1030" s="396"/>
      <c r="AE1030" s="396"/>
      <c r="AF1030" s="396"/>
      <c r="AG1030" s="396"/>
      <c r="AH1030" s="396"/>
      <c r="AI1030" s="396"/>
      <c r="AJ1030" s="415"/>
      <c r="AK1030" s="405">
        <f t="shared" si="161"/>
        <v>0</v>
      </c>
      <c r="AL1030" s="406"/>
      <c r="AM1030" s="407">
        <f>AK1030</f>
        <v>0</v>
      </c>
      <c r="AN1030" s="583"/>
    </row>
    <row r="1031" spans="3:40" ht="12.75" x14ac:dyDescent="0.2">
      <c r="C1031" s="580"/>
      <c r="D1031" s="643" t="s">
        <v>56</v>
      </c>
      <c r="E1031" s="393" t="s">
        <v>18</v>
      </c>
      <c r="F1031" s="394"/>
      <c r="G1031" s="394"/>
      <c r="H1031" s="393"/>
      <c r="I1031" s="394"/>
      <c r="J1031" s="394"/>
      <c r="K1031" s="394"/>
      <c r="L1031" s="394"/>
      <c r="M1031" s="394"/>
      <c r="N1031" s="393"/>
      <c r="O1031" s="394"/>
      <c r="P1031" s="394"/>
      <c r="Q1031" s="394"/>
      <c r="R1031" s="394"/>
      <c r="S1031" s="394"/>
      <c r="T1031" s="393"/>
      <c r="U1031" s="393"/>
      <c r="V1031" s="394"/>
      <c r="W1031" s="394"/>
      <c r="X1031" s="394"/>
      <c r="Y1031" s="394"/>
      <c r="Z1031" s="394"/>
      <c r="AA1031" s="394"/>
      <c r="AB1031" s="394"/>
      <c r="AC1031" s="394"/>
      <c r="AD1031" s="394"/>
      <c r="AE1031" s="394"/>
      <c r="AF1031" s="394"/>
      <c r="AG1031" s="394"/>
      <c r="AH1031" s="394"/>
      <c r="AI1031" s="394"/>
      <c r="AJ1031" s="422">
        <v>55.99</v>
      </c>
      <c r="AK1031" s="395">
        <f t="shared" si="161"/>
        <v>55.99</v>
      </c>
      <c r="AL1031" s="408">
        <f>AK1031</f>
        <v>55.99</v>
      </c>
      <c r="AM1031" s="409"/>
      <c r="AN1031" s="633">
        <f>SUM(AL1031:AM1032)</f>
        <v>55.99</v>
      </c>
    </row>
    <row r="1032" spans="3:40" ht="12.75" x14ac:dyDescent="0.2">
      <c r="C1032" s="580"/>
      <c r="D1032" s="577"/>
      <c r="E1032" s="404" t="s">
        <v>19</v>
      </c>
      <c r="F1032" s="396"/>
      <c r="G1032" s="396"/>
      <c r="H1032" s="396"/>
      <c r="I1032" s="396"/>
      <c r="J1032" s="396"/>
      <c r="K1032" s="396"/>
      <c r="L1032" s="396"/>
      <c r="M1032" s="396"/>
      <c r="N1032" s="396"/>
      <c r="O1032" s="396"/>
      <c r="P1032" s="396"/>
      <c r="Q1032" s="396"/>
      <c r="R1032" s="396"/>
      <c r="S1032" s="396"/>
      <c r="T1032" s="396"/>
      <c r="U1032" s="396"/>
      <c r="V1032" s="396"/>
      <c r="W1032" s="396"/>
      <c r="X1032" s="396"/>
      <c r="Y1032" s="396"/>
      <c r="Z1032" s="396"/>
      <c r="AA1032" s="396"/>
      <c r="AB1032" s="396"/>
      <c r="AC1032" s="396"/>
      <c r="AD1032" s="396"/>
      <c r="AE1032" s="396"/>
      <c r="AF1032" s="396"/>
      <c r="AG1032" s="396"/>
      <c r="AH1032" s="396"/>
      <c r="AI1032" s="396"/>
      <c r="AJ1032" s="415"/>
      <c r="AK1032" s="405">
        <f t="shared" si="161"/>
        <v>0</v>
      </c>
      <c r="AL1032" s="406"/>
      <c r="AM1032" s="407">
        <f>AK1032</f>
        <v>0</v>
      </c>
      <c r="AN1032" s="583"/>
    </row>
    <row r="1033" spans="3:40" ht="12.75" x14ac:dyDescent="0.2">
      <c r="C1033" s="580"/>
      <c r="D1033" s="643" t="s">
        <v>57</v>
      </c>
      <c r="E1033" s="393" t="s">
        <v>18</v>
      </c>
      <c r="F1033" s="394"/>
      <c r="G1033" s="394"/>
      <c r="H1033" s="394"/>
      <c r="I1033" s="394"/>
      <c r="J1033" s="394"/>
      <c r="K1033" s="394"/>
      <c r="L1033" s="394"/>
      <c r="M1033" s="393"/>
      <c r="N1033" s="394"/>
      <c r="O1033" s="394"/>
      <c r="P1033" s="394"/>
      <c r="Q1033" s="394"/>
      <c r="R1033" s="394"/>
      <c r="S1033" s="394"/>
      <c r="T1033" s="393"/>
      <c r="U1033" s="394"/>
      <c r="V1033" s="394"/>
      <c r="W1033" s="394"/>
      <c r="X1033" s="394"/>
      <c r="Y1033" s="393"/>
      <c r="Z1033" s="394"/>
      <c r="AA1033" s="394"/>
      <c r="AB1033" s="394"/>
      <c r="AC1033" s="394"/>
      <c r="AD1033" s="394"/>
      <c r="AE1033" s="394"/>
      <c r="AF1033" s="394"/>
      <c r="AG1033" s="394"/>
      <c r="AH1033" s="394"/>
      <c r="AI1033" s="394"/>
      <c r="AJ1033" s="414"/>
      <c r="AK1033" s="395">
        <f t="shared" si="161"/>
        <v>0</v>
      </c>
      <c r="AL1033" s="408">
        <f>AK1033</f>
        <v>0</v>
      </c>
      <c r="AM1033" s="409"/>
      <c r="AN1033" s="633">
        <f>SUM(AL1033:AM1034)</f>
        <v>0</v>
      </c>
    </row>
    <row r="1034" spans="3:40" ht="12.75" x14ac:dyDescent="0.2">
      <c r="C1034" s="581"/>
      <c r="D1034" s="585"/>
      <c r="E1034" s="410" t="s">
        <v>19</v>
      </c>
      <c r="F1034" s="407"/>
      <c r="G1034" s="407"/>
      <c r="H1034" s="407"/>
      <c r="I1034" s="407"/>
      <c r="J1034" s="407"/>
      <c r="K1034" s="407"/>
      <c r="L1034" s="407"/>
      <c r="M1034" s="407"/>
      <c r="N1034" s="407"/>
      <c r="O1034" s="407"/>
      <c r="P1034" s="407"/>
      <c r="Q1034" s="407"/>
      <c r="R1034" s="407"/>
      <c r="S1034" s="407"/>
      <c r="T1034" s="410"/>
      <c r="U1034" s="407"/>
      <c r="V1034" s="407"/>
      <c r="W1034" s="407"/>
      <c r="X1034" s="407"/>
      <c r="Y1034" s="407"/>
      <c r="Z1034" s="407"/>
      <c r="AA1034" s="407"/>
      <c r="AB1034" s="407"/>
      <c r="AC1034" s="407"/>
      <c r="AD1034" s="407"/>
      <c r="AE1034" s="407"/>
      <c r="AF1034" s="407"/>
      <c r="AG1034" s="407"/>
      <c r="AH1034" s="407"/>
      <c r="AI1034" s="407"/>
      <c r="AJ1034" s="418"/>
      <c r="AK1034" s="405">
        <f t="shared" si="161"/>
        <v>0</v>
      </c>
      <c r="AL1034" s="406"/>
      <c r="AM1034" s="407">
        <f>AK1034</f>
        <v>0</v>
      </c>
      <c r="AN1034" s="583"/>
    </row>
    <row r="1035" spans="3:40" ht="12.75" x14ac:dyDescent="0.2">
      <c r="C1035" s="629" t="s">
        <v>58</v>
      </c>
      <c r="D1035" s="644" t="s">
        <v>59</v>
      </c>
      <c r="E1035" s="411" t="s">
        <v>18</v>
      </c>
      <c r="F1035" s="412"/>
      <c r="G1035" s="412"/>
      <c r="H1035" s="412"/>
      <c r="I1035" s="411">
        <v>27</v>
      </c>
      <c r="J1035" s="412"/>
      <c r="K1035" s="411">
        <v>40</v>
      </c>
      <c r="L1035" s="411"/>
      <c r="M1035" s="411"/>
      <c r="N1035" s="412"/>
      <c r="O1035" s="412"/>
      <c r="P1035" s="411">
        <v>66</v>
      </c>
      <c r="Q1035" s="412"/>
      <c r="R1035" s="412"/>
      <c r="S1035" s="411"/>
      <c r="T1035" s="412"/>
      <c r="U1035" s="412"/>
      <c r="V1035" s="412"/>
      <c r="W1035" s="412"/>
      <c r="X1035" s="411"/>
      <c r="Y1035" s="411"/>
      <c r="Z1035" s="411"/>
      <c r="AA1035" s="412"/>
      <c r="AB1035" s="412"/>
      <c r="AC1035" s="412"/>
      <c r="AD1035" s="412"/>
      <c r="AE1035" s="412"/>
      <c r="AF1035" s="412"/>
      <c r="AG1035" s="411"/>
      <c r="AH1035" s="412"/>
      <c r="AI1035" s="412"/>
      <c r="AJ1035" s="417"/>
      <c r="AK1035" s="395">
        <f t="shared" si="161"/>
        <v>133</v>
      </c>
      <c r="AL1035" s="408">
        <f>AK1035</f>
        <v>133</v>
      </c>
      <c r="AM1035" s="409"/>
      <c r="AN1035" s="635">
        <f>SUM(AL1035:AM1036)</f>
        <v>158</v>
      </c>
    </row>
    <row r="1036" spans="3:40" ht="12.75" x14ac:dyDescent="0.2">
      <c r="C1036" s="580"/>
      <c r="D1036" s="577"/>
      <c r="E1036" s="404" t="s">
        <v>19</v>
      </c>
      <c r="F1036" s="396"/>
      <c r="G1036" s="396"/>
      <c r="H1036" s="396"/>
      <c r="I1036" s="396"/>
      <c r="J1036" s="396"/>
      <c r="K1036" s="404"/>
      <c r="L1036" s="396"/>
      <c r="M1036" s="404">
        <v>25</v>
      </c>
      <c r="N1036" s="404"/>
      <c r="O1036" s="404"/>
      <c r="P1036" s="396"/>
      <c r="Q1036" s="396"/>
      <c r="R1036" s="396"/>
      <c r="S1036" s="396"/>
      <c r="T1036" s="396"/>
      <c r="U1036" s="396"/>
      <c r="V1036" s="396"/>
      <c r="W1036" s="404"/>
      <c r="X1036" s="396"/>
      <c r="Y1036" s="396"/>
      <c r="Z1036" s="396"/>
      <c r="AA1036" s="396"/>
      <c r="AB1036" s="396"/>
      <c r="AC1036" s="396"/>
      <c r="AD1036" s="396"/>
      <c r="AE1036" s="396"/>
      <c r="AF1036" s="396"/>
      <c r="AG1036" s="396"/>
      <c r="AH1036" s="396"/>
      <c r="AI1036" s="396"/>
      <c r="AJ1036" s="415"/>
      <c r="AK1036" s="405">
        <f t="shared" si="161"/>
        <v>25</v>
      </c>
      <c r="AL1036" s="406"/>
      <c r="AM1036" s="407">
        <f>AK1036</f>
        <v>25</v>
      </c>
      <c r="AN1036" s="585"/>
    </row>
    <row r="1037" spans="3:40" ht="12.75" x14ac:dyDescent="0.2">
      <c r="C1037" s="580"/>
      <c r="D1037" s="643" t="s">
        <v>60</v>
      </c>
      <c r="E1037" s="393" t="s">
        <v>18</v>
      </c>
      <c r="F1037" s="394"/>
      <c r="G1037" s="394"/>
      <c r="H1037" s="394"/>
      <c r="I1037" s="394"/>
      <c r="J1037" s="394">
        <f>2.41+2.91+0.14+6.61+5.37+1.75+1.91+3.46+4.36+3.06</f>
        <v>31.98</v>
      </c>
      <c r="K1037" s="393"/>
      <c r="L1037" s="394"/>
      <c r="M1037" s="393"/>
      <c r="N1037" s="393">
        <f>10.45+30</f>
        <v>40.450000000000003</v>
      </c>
      <c r="O1037" s="394"/>
      <c r="P1037" s="394"/>
      <c r="Q1037" s="394"/>
      <c r="R1037" s="394"/>
      <c r="S1037" s="393"/>
      <c r="T1037" s="394"/>
      <c r="U1037" s="394"/>
      <c r="V1037" s="394"/>
      <c r="W1037" s="394"/>
      <c r="X1037" s="394"/>
      <c r="Y1037" s="394"/>
      <c r="Z1037" s="394"/>
      <c r="AA1037" s="394"/>
      <c r="AB1037" s="394"/>
      <c r="AC1037" s="394"/>
      <c r="AD1037" s="394"/>
      <c r="AE1037" s="394"/>
      <c r="AF1037" s="394"/>
      <c r="AG1037" s="394"/>
      <c r="AH1037" s="394"/>
      <c r="AI1037" s="394"/>
      <c r="AJ1037" s="414"/>
      <c r="AK1037" s="395">
        <f t="shared" si="161"/>
        <v>72.430000000000007</v>
      </c>
      <c r="AL1037" s="403">
        <f>AK1037</f>
        <v>72.430000000000007</v>
      </c>
      <c r="AM1037" s="396"/>
      <c r="AN1037" s="633">
        <f>SUM(AL1037:AM1038)</f>
        <v>72.430000000000007</v>
      </c>
    </row>
    <row r="1038" spans="3:40" ht="12.75" x14ac:dyDescent="0.2">
      <c r="C1038" s="580"/>
      <c r="D1038" s="577"/>
      <c r="E1038" s="404" t="s">
        <v>19</v>
      </c>
      <c r="F1038" s="396"/>
      <c r="G1038" s="396"/>
      <c r="H1038" s="396"/>
      <c r="I1038" s="396"/>
      <c r="J1038" s="396"/>
      <c r="K1038" s="404"/>
      <c r="L1038" s="396"/>
      <c r="M1038" s="396"/>
      <c r="N1038" s="396"/>
      <c r="O1038" s="396"/>
      <c r="P1038" s="396"/>
      <c r="Q1038" s="404"/>
      <c r="R1038" s="396"/>
      <c r="S1038" s="396"/>
      <c r="T1038" s="396"/>
      <c r="U1038" s="396"/>
      <c r="V1038" s="396"/>
      <c r="W1038" s="396"/>
      <c r="X1038" s="396"/>
      <c r="Y1038" s="396"/>
      <c r="Z1038" s="396"/>
      <c r="AA1038" s="396"/>
      <c r="AB1038" s="396"/>
      <c r="AC1038" s="396"/>
      <c r="AD1038" s="396"/>
      <c r="AE1038" s="396"/>
      <c r="AF1038" s="396"/>
      <c r="AG1038" s="396"/>
      <c r="AH1038" s="396"/>
      <c r="AI1038" s="396"/>
      <c r="AJ1038" s="415"/>
      <c r="AK1038" s="405">
        <f t="shared" si="161"/>
        <v>0</v>
      </c>
      <c r="AL1038" s="403"/>
      <c r="AM1038" s="396">
        <f>AK1038</f>
        <v>0</v>
      </c>
      <c r="AN1038" s="583"/>
    </row>
    <row r="1039" spans="3:40" ht="12.75" x14ac:dyDescent="0.2">
      <c r="C1039" s="580"/>
      <c r="D1039" s="643" t="s">
        <v>61</v>
      </c>
      <c r="E1039" s="393" t="s">
        <v>18</v>
      </c>
      <c r="F1039" s="393"/>
      <c r="G1039" s="394"/>
      <c r="H1039" s="394"/>
      <c r="I1039" s="394"/>
      <c r="J1039" s="394"/>
      <c r="K1039" s="394"/>
      <c r="L1039" s="394"/>
      <c r="M1039" s="394">
        <f>37+15</f>
        <v>52</v>
      </c>
      <c r="N1039" s="394"/>
      <c r="O1039" s="394"/>
      <c r="P1039" s="394"/>
      <c r="Q1039" s="394"/>
      <c r="R1039" s="394"/>
      <c r="S1039" s="393"/>
      <c r="T1039" s="394"/>
      <c r="U1039" s="394"/>
      <c r="V1039" s="394"/>
      <c r="W1039" s="393">
        <v>45</v>
      </c>
      <c r="X1039" s="394"/>
      <c r="Y1039" s="394"/>
      <c r="Z1039" s="394"/>
      <c r="AA1039" s="394"/>
      <c r="AB1039" s="394"/>
      <c r="AC1039" s="393"/>
      <c r="AD1039" s="394"/>
      <c r="AE1039" s="394"/>
      <c r="AF1039" s="393"/>
      <c r="AG1039" s="394"/>
      <c r="AH1039" s="394"/>
      <c r="AI1039" s="394"/>
      <c r="AJ1039" s="414"/>
      <c r="AK1039" s="414">
        <f t="shared" si="161"/>
        <v>97</v>
      </c>
      <c r="AL1039" s="408">
        <f>AK1039</f>
        <v>97</v>
      </c>
      <c r="AM1039" s="409"/>
      <c r="AN1039" s="635">
        <f>SUM(AL1039:AM1040)</f>
        <v>97</v>
      </c>
    </row>
    <row r="1040" spans="3:40" ht="12.75" x14ac:dyDescent="0.2">
      <c r="C1040" s="580"/>
      <c r="D1040" s="577"/>
      <c r="E1040" s="404" t="s">
        <v>19</v>
      </c>
      <c r="F1040" s="396"/>
      <c r="G1040" s="396"/>
      <c r="H1040" s="396"/>
      <c r="I1040" s="396"/>
      <c r="J1040" s="396"/>
      <c r="K1040" s="396"/>
      <c r="L1040" s="396"/>
      <c r="M1040" s="396"/>
      <c r="N1040" s="396"/>
      <c r="O1040" s="396"/>
      <c r="P1040" s="396"/>
      <c r="Q1040" s="396"/>
      <c r="R1040" s="396"/>
      <c r="S1040" s="396"/>
      <c r="T1040" s="396"/>
      <c r="U1040" s="396"/>
      <c r="V1040" s="396"/>
      <c r="W1040" s="404"/>
      <c r="X1040" s="396"/>
      <c r="Y1040" s="404"/>
      <c r="Z1040" s="396"/>
      <c r="AA1040" s="396"/>
      <c r="AB1040" s="396"/>
      <c r="AC1040" s="396"/>
      <c r="AD1040" s="396"/>
      <c r="AE1040" s="396"/>
      <c r="AF1040" s="396"/>
      <c r="AG1040" s="396"/>
      <c r="AH1040" s="396"/>
      <c r="AI1040" s="396"/>
      <c r="AJ1040" s="415"/>
      <c r="AK1040" s="415">
        <f t="shared" si="161"/>
        <v>0</v>
      </c>
      <c r="AL1040" s="406"/>
      <c r="AM1040" s="407">
        <f>AK1040</f>
        <v>0</v>
      </c>
      <c r="AN1040" s="585"/>
    </row>
    <row r="1041" spans="3:45" ht="12.75" x14ac:dyDescent="0.2">
      <c r="C1041" s="580"/>
      <c r="D1041" s="643" t="s">
        <v>62</v>
      </c>
      <c r="E1041" s="393" t="s">
        <v>18</v>
      </c>
      <c r="F1041" s="394"/>
      <c r="G1041" s="394"/>
      <c r="H1041" s="393"/>
      <c r="I1041" s="393"/>
      <c r="J1041" s="394"/>
      <c r="K1041" s="394"/>
      <c r="L1041" s="394"/>
      <c r="M1041" s="394"/>
      <c r="N1041" s="393"/>
      <c r="O1041" s="394"/>
      <c r="P1041" s="393"/>
      <c r="Q1041" s="393"/>
      <c r="R1041" s="394"/>
      <c r="S1041" s="394"/>
      <c r="T1041" s="394"/>
      <c r="U1041" s="394"/>
      <c r="V1041" s="393"/>
      <c r="W1041" s="393"/>
      <c r="X1041" s="393"/>
      <c r="Y1041" s="393">
        <v>10</v>
      </c>
      <c r="Z1041" s="393"/>
      <c r="AA1041" s="394"/>
      <c r="AB1041" s="393">
        <v>10</v>
      </c>
      <c r="AC1041" s="394"/>
      <c r="AD1041" s="394"/>
      <c r="AE1041" s="394"/>
      <c r="AF1041" s="394"/>
      <c r="AG1041" s="393">
        <v>10</v>
      </c>
      <c r="AH1041" s="394"/>
      <c r="AI1041" s="393">
        <v>10</v>
      </c>
      <c r="AJ1041" s="414"/>
      <c r="AK1041" s="414">
        <f t="shared" si="161"/>
        <v>40</v>
      </c>
      <c r="AL1041" s="408">
        <f>AK1041</f>
        <v>40</v>
      </c>
      <c r="AM1041" s="409"/>
      <c r="AN1041" s="633">
        <f>SUM(AL1041:AM1042)</f>
        <v>40</v>
      </c>
    </row>
    <row r="1042" spans="3:45" ht="12.75" x14ac:dyDescent="0.2">
      <c r="C1042" s="581"/>
      <c r="D1042" s="577"/>
      <c r="E1042" s="404" t="s">
        <v>19</v>
      </c>
      <c r="F1042" s="396"/>
      <c r="G1042" s="396"/>
      <c r="H1042" s="404"/>
      <c r="I1042" s="396"/>
      <c r="J1042" s="396"/>
      <c r="K1042" s="396"/>
      <c r="L1042" s="404"/>
      <c r="M1042" s="396"/>
      <c r="N1042" s="396"/>
      <c r="O1042" s="396"/>
      <c r="P1042" s="404"/>
      <c r="Q1042" s="396"/>
      <c r="R1042" s="396"/>
      <c r="S1042" s="404"/>
      <c r="T1042" s="396"/>
      <c r="U1042" s="396"/>
      <c r="V1042" s="404"/>
      <c r="W1042" s="404"/>
      <c r="X1042" s="396"/>
      <c r="Y1042" s="404"/>
      <c r="Z1042" s="396"/>
      <c r="AA1042" s="396"/>
      <c r="AB1042" s="396"/>
      <c r="AC1042" s="396"/>
      <c r="AD1042" s="396"/>
      <c r="AE1042" s="396"/>
      <c r="AF1042" s="396"/>
      <c r="AG1042" s="396"/>
      <c r="AH1042" s="396"/>
      <c r="AI1042" s="396"/>
      <c r="AJ1042" s="415"/>
      <c r="AK1042" s="415">
        <f t="shared" si="161"/>
        <v>0</v>
      </c>
      <c r="AL1042" s="406"/>
      <c r="AM1042" s="407">
        <f>AK1042</f>
        <v>0</v>
      </c>
      <c r="AN1042" s="583"/>
    </row>
    <row r="1043" spans="3:45" ht="12.75" x14ac:dyDescent="0.2">
      <c r="C1043" s="629" t="s">
        <v>63</v>
      </c>
      <c r="D1043" s="644" t="s">
        <v>75</v>
      </c>
      <c r="E1043" s="411" t="s">
        <v>18</v>
      </c>
      <c r="F1043" s="412"/>
      <c r="G1043" s="412"/>
      <c r="H1043" s="412"/>
      <c r="I1043" s="412"/>
      <c r="J1043" s="412"/>
      <c r="K1043" s="412"/>
      <c r="L1043" s="412"/>
      <c r="M1043" s="412"/>
      <c r="N1043" s="412"/>
      <c r="O1043" s="412"/>
      <c r="P1043" s="412"/>
      <c r="Q1043" s="412"/>
      <c r="R1043" s="412"/>
      <c r="S1043" s="412"/>
      <c r="T1043" s="412"/>
      <c r="U1043" s="412"/>
      <c r="V1043" s="412"/>
      <c r="W1043" s="411"/>
      <c r="X1043" s="412"/>
      <c r="Y1043" s="411"/>
      <c r="Z1043" s="412"/>
      <c r="AA1043" s="412"/>
      <c r="AB1043" s="412"/>
      <c r="AC1043" s="412"/>
      <c r="AD1043" s="412"/>
      <c r="AE1043" s="412"/>
      <c r="AF1043" s="412"/>
      <c r="AG1043" s="412"/>
      <c r="AH1043" s="412"/>
      <c r="AI1043" s="412"/>
      <c r="AJ1043" s="417"/>
      <c r="AK1043" s="395">
        <f t="shared" si="161"/>
        <v>0</v>
      </c>
      <c r="AL1043" s="412">
        <f>AK1043</f>
        <v>0</v>
      </c>
      <c r="AM1043" s="409"/>
      <c r="AN1043" s="633">
        <f>SUM(AL1043:AM1044)</f>
        <v>0</v>
      </c>
    </row>
    <row r="1044" spans="3:45" ht="12.75" x14ac:dyDescent="0.2">
      <c r="C1044" s="580"/>
      <c r="D1044" s="577"/>
      <c r="E1044" s="404" t="s">
        <v>19</v>
      </c>
      <c r="F1044" s="396"/>
      <c r="G1044" s="396"/>
      <c r="H1044" s="396"/>
      <c r="I1044" s="396"/>
      <c r="J1044" s="396"/>
      <c r="K1044" s="396"/>
      <c r="L1044" s="396"/>
      <c r="M1044" s="396"/>
      <c r="N1044" s="396"/>
      <c r="O1044" s="396"/>
      <c r="P1044" s="396"/>
      <c r="Q1044" s="396"/>
      <c r="R1044" s="396"/>
      <c r="S1044" s="396"/>
      <c r="T1044" s="396"/>
      <c r="U1044" s="396"/>
      <c r="V1044" s="396"/>
      <c r="W1044" s="396"/>
      <c r="X1044" s="404"/>
      <c r="Y1044" s="396"/>
      <c r="Z1044" s="396"/>
      <c r="AA1044" s="396"/>
      <c r="AB1044" s="396"/>
      <c r="AC1044" s="396"/>
      <c r="AD1044" s="396"/>
      <c r="AE1044" s="396"/>
      <c r="AF1044" s="396"/>
      <c r="AG1044" s="396"/>
      <c r="AH1044" s="396"/>
      <c r="AI1044" s="396"/>
      <c r="AJ1044" s="415"/>
      <c r="AK1044" s="405">
        <f t="shared" si="161"/>
        <v>0</v>
      </c>
      <c r="AL1044" s="406"/>
      <c r="AM1044" s="407">
        <f>AK1044</f>
        <v>0</v>
      </c>
      <c r="AN1044" s="583"/>
    </row>
    <row r="1045" spans="3:45" ht="12.75" x14ac:dyDescent="0.2">
      <c r="C1045" s="580"/>
      <c r="D1045" s="643" t="s">
        <v>65</v>
      </c>
      <c r="E1045" s="393" t="s">
        <v>18</v>
      </c>
      <c r="F1045" s="394"/>
      <c r="G1045" s="394"/>
      <c r="H1045" s="394"/>
      <c r="I1045" s="394"/>
      <c r="J1045" s="394"/>
      <c r="K1045" s="394"/>
      <c r="L1045" s="394"/>
      <c r="M1045" s="394"/>
      <c r="N1045" s="394"/>
      <c r="O1045" s="394"/>
      <c r="P1045" s="394"/>
      <c r="Q1045" s="394"/>
      <c r="R1045" s="394"/>
      <c r="S1045" s="394"/>
      <c r="T1045" s="394"/>
      <c r="U1045" s="394"/>
      <c r="V1045" s="394"/>
      <c r="W1045" s="394"/>
      <c r="X1045" s="394"/>
      <c r="Y1045" s="394"/>
      <c r="Z1045" s="394"/>
      <c r="AA1045" s="394"/>
      <c r="AB1045" s="394"/>
      <c r="AC1045" s="394"/>
      <c r="AD1045" s="394"/>
      <c r="AE1045" s="394"/>
      <c r="AF1045" s="394"/>
      <c r="AG1045" s="394"/>
      <c r="AH1045" s="394"/>
      <c r="AI1045" s="394"/>
      <c r="AJ1045" s="414"/>
      <c r="AK1045" s="395">
        <f t="shared" si="161"/>
        <v>0</v>
      </c>
      <c r="AL1045" s="408">
        <f>AK1045</f>
        <v>0</v>
      </c>
      <c r="AM1045" s="409"/>
      <c r="AN1045" s="633">
        <f>SUM(AL1045:AM1046)</f>
        <v>0</v>
      </c>
    </row>
    <row r="1046" spans="3:45" ht="12.75" x14ac:dyDescent="0.2">
      <c r="C1046" s="581"/>
      <c r="D1046" s="585"/>
      <c r="E1046" s="410" t="s">
        <v>19</v>
      </c>
      <c r="F1046" s="407"/>
      <c r="G1046" s="407"/>
      <c r="H1046" s="407"/>
      <c r="I1046" s="407"/>
      <c r="J1046" s="410"/>
      <c r="K1046" s="407"/>
      <c r="L1046" s="407"/>
      <c r="M1046" s="407"/>
      <c r="N1046" s="407"/>
      <c r="O1046" s="407"/>
      <c r="P1046" s="407"/>
      <c r="Q1046" s="407"/>
      <c r="R1046" s="407"/>
      <c r="S1046" s="407"/>
      <c r="T1046" s="407"/>
      <c r="U1046" s="410"/>
      <c r="V1046" s="410"/>
      <c r="W1046" s="407"/>
      <c r="X1046" s="407"/>
      <c r="Y1046" s="407"/>
      <c r="Z1046" s="407"/>
      <c r="AA1046" s="407"/>
      <c r="AB1046" s="407"/>
      <c r="AC1046" s="407"/>
      <c r="AD1046" s="407"/>
      <c r="AE1046" s="407"/>
      <c r="AF1046" s="407"/>
      <c r="AG1046" s="407"/>
      <c r="AH1046" s="407"/>
      <c r="AI1046" s="407"/>
      <c r="AJ1046" s="418"/>
      <c r="AK1046" s="419">
        <f t="shared" si="161"/>
        <v>0</v>
      </c>
      <c r="AL1046" s="406"/>
      <c r="AM1046" s="407">
        <f>AK1046</f>
        <v>0</v>
      </c>
      <c r="AN1046" s="583"/>
    </row>
    <row r="1047" spans="3:45" ht="12.75" x14ac:dyDescent="0.2">
      <c r="C1047" s="420" t="s">
        <v>32</v>
      </c>
      <c r="D1047" s="396"/>
      <c r="E1047" s="396"/>
      <c r="F1047" s="396">
        <f t="shared" ref="F1047:AM1047" si="167">SUM(F996:F1046)</f>
        <v>3.79</v>
      </c>
      <c r="G1047" s="396">
        <f t="shared" si="167"/>
        <v>32.68</v>
      </c>
      <c r="H1047" s="396">
        <f t="shared" si="167"/>
        <v>0</v>
      </c>
      <c r="I1047" s="396">
        <f t="shared" si="167"/>
        <v>150.41</v>
      </c>
      <c r="J1047" s="396">
        <f t="shared" si="167"/>
        <v>187.41</v>
      </c>
      <c r="K1047" s="396">
        <f t="shared" si="167"/>
        <v>58.49</v>
      </c>
      <c r="L1047" s="396">
        <f t="shared" si="167"/>
        <v>22.82</v>
      </c>
      <c r="M1047" s="396">
        <f t="shared" si="167"/>
        <v>88.44</v>
      </c>
      <c r="N1047" s="396">
        <f t="shared" si="167"/>
        <v>66.850000000000009</v>
      </c>
      <c r="O1047" s="396">
        <f t="shared" si="167"/>
        <v>0</v>
      </c>
      <c r="P1047" s="396">
        <f t="shared" si="167"/>
        <v>94.74</v>
      </c>
      <c r="Q1047" s="396">
        <f t="shared" si="167"/>
        <v>0</v>
      </c>
      <c r="R1047" s="396">
        <f t="shared" si="167"/>
        <v>21.95</v>
      </c>
      <c r="S1047" s="396">
        <f t="shared" si="167"/>
        <v>42.349999999999994</v>
      </c>
      <c r="T1047" s="396">
        <f t="shared" si="167"/>
        <v>6</v>
      </c>
      <c r="U1047" s="396">
        <f t="shared" si="167"/>
        <v>80.899999999999991</v>
      </c>
      <c r="V1047" s="396">
        <f t="shared" si="167"/>
        <v>9.18</v>
      </c>
      <c r="W1047" s="396">
        <f t="shared" si="167"/>
        <v>55.8</v>
      </c>
      <c r="X1047" s="396">
        <f t="shared" si="167"/>
        <v>58.54</v>
      </c>
      <c r="Y1047" s="396">
        <f t="shared" si="167"/>
        <v>49.989999999999995</v>
      </c>
      <c r="Z1047" s="396">
        <f t="shared" si="167"/>
        <v>41.58</v>
      </c>
      <c r="AA1047" s="396">
        <f t="shared" si="167"/>
        <v>19.61</v>
      </c>
      <c r="AB1047" s="396">
        <f t="shared" si="167"/>
        <v>220.81</v>
      </c>
      <c r="AC1047" s="396">
        <f t="shared" si="167"/>
        <v>20.05</v>
      </c>
      <c r="AD1047" s="396">
        <f t="shared" si="167"/>
        <v>97.42</v>
      </c>
      <c r="AE1047" s="396">
        <f t="shared" si="167"/>
        <v>14</v>
      </c>
      <c r="AF1047" s="396">
        <f t="shared" si="167"/>
        <v>12.65</v>
      </c>
      <c r="AG1047" s="396">
        <f t="shared" si="167"/>
        <v>36.81</v>
      </c>
      <c r="AH1047" s="396">
        <f t="shared" si="167"/>
        <v>36.340000000000003</v>
      </c>
      <c r="AI1047" s="396">
        <f t="shared" si="167"/>
        <v>61.64</v>
      </c>
      <c r="AJ1047" s="396">
        <f t="shared" si="167"/>
        <v>73.260000000000005</v>
      </c>
      <c r="AK1047" s="421">
        <f t="shared" si="167"/>
        <v>1638.51</v>
      </c>
      <c r="AL1047" s="394">
        <f t="shared" si="167"/>
        <v>1579.51</v>
      </c>
      <c r="AM1047" s="396">
        <f t="shared" si="167"/>
        <v>85</v>
      </c>
    </row>
    <row r="1049" spans="3:45" ht="16.5" x14ac:dyDescent="0.25">
      <c r="C1049" s="624">
        <v>2024</v>
      </c>
      <c r="D1049" s="625"/>
      <c r="E1049" s="625"/>
      <c r="F1049" s="625"/>
      <c r="G1049" s="625"/>
      <c r="H1049" s="625"/>
      <c r="I1049" s="625"/>
      <c r="J1049" s="625"/>
      <c r="K1049" s="625"/>
      <c r="L1049" s="625"/>
      <c r="M1049" s="625"/>
      <c r="N1049" s="625"/>
      <c r="O1049" s="625"/>
      <c r="P1049" s="625"/>
      <c r="Q1049" s="625"/>
      <c r="R1049" s="625"/>
      <c r="S1049" s="625"/>
      <c r="T1049" s="625"/>
      <c r="U1049" s="625"/>
      <c r="V1049" s="625"/>
      <c r="W1049" s="625"/>
      <c r="X1049" s="625"/>
      <c r="Y1049" s="625"/>
      <c r="Z1049" s="625"/>
      <c r="AA1049" s="625"/>
      <c r="AB1049" s="625"/>
      <c r="AC1049" s="625"/>
      <c r="AD1049" s="625"/>
      <c r="AE1049" s="625"/>
      <c r="AF1049" s="625"/>
      <c r="AG1049" s="625"/>
      <c r="AH1049" s="625"/>
      <c r="AI1049" s="625"/>
      <c r="AJ1049" s="625"/>
      <c r="AK1049" s="625"/>
      <c r="AL1049" s="625"/>
      <c r="AM1049" s="625"/>
      <c r="AN1049" s="625"/>
    </row>
    <row r="1050" spans="3:45" ht="12.75" x14ac:dyDescent="0.2">
      <c r="F1050" s="642" t="s">
        <v>82</v>
      </c>
      <c r="G1050" s="577"/>
      <c r="H1050" s="577"/>
      <c r="I1050" s="577"/>
      <c r="J1050" s="577"/>
      <c r="K1050" s="577"/>
      <c r="L1050" s="577"/>
      <c r="M1050" s="577"/>
      <c r="N1050" s="577"/>
      <c r="O1050" s="577"/>
      <c r="P1050" s="577"/>
      <c r="Q1050" s="577"/>
      <c r="R1050" s="577"/>
      <c r="S1050" s="577"/>
      <c r="T1050" s="577"/>
      <c r="U1050" s="577"/>
      <c r="V1050" s="577"/>
      <c r="W1050" s="577"/>
      <c r="X1050" s="577"/>
      <c r="Y1050" s="577"/>
      <c r="Z1050" s="577"/>
      <c r="AA1050" s="577"/>
      <c r="AB1050" s="577"/>
      <c r="AC1050" s="577"/>
      <c r="AD1050" s="577"/>
      <c r="AE1050" s="577"/>
      <c r="AF1050" s="577"/>
      <c r="AG1050" s="577"/>
      <c r="AH1050" s="577"/>
      <c r="AI1050" s="577"/>
      <c r="AJ1050" s="577"/>
    </row>
    <row r="1051" spans="3:45" ht="12.75" x14ac:dyDescent="0.2">
      <c r="E1051" s="362" t="s">
        <v>9</v>
      </c>
      <c r="F1051" s="362" t="s">
        <v>10</v>
      </c>
      <c r="G1051" s="362" t="s">
        <v>11</v>
      </c>
      <c r="H1051" s="362" t="s">
        <v>12</v>
      </c>
      <c r="I1051" s="362" t="s">
        <v>13</v>
      </c>
      <c r="J1051" s="362" t="s">
        <v>14</v>
      </c>
      <c r="K1051" s="362" t="s">
        <v>15</v>
      </c>
      <c r="L1051" s="362" t="s">
        <v>16</v>
      </c>
      <c r="M1051" s="362" t="s">
        <v>10</v>
      </c>
      <c r="N1051" s="362" t="s">
        <v>11</v>
      </c>
      <c r="O1051" s="362" t="s">
        <v>12</v>
      </c>
      <c r="P1051" s="362" t="s">
        <v>13</v>
      </c>
      <c r="Q1051" s="362" t="s">
        <v>14</v>
      </c>
      <c r="R1051" s="362" t="s">
        <v>15</v>
      </c>
      <c r="S1051" s="362" t="s">
        <v>16</v>
      </c>
      <c r="T1051" s="362" t="s">
        <v>10</v>
      </c>
      <c r="U1051" s="362" t="s">
        <v>11</v>
      </c>
      <c r="V1051" s="362" t="s">
        <v>12</v>
      </c>
      <c r="W1051" s="362" t="s">
        <v>13</v>
      </c>
      <c r="X1051" s="362" t="s">
        <v>14</v>
      </c>
      <c r="Y1051" s="362" t="s">
        <v>15</v>
      </c>
      <c r="Z1051" s="362" t="s">
        <v>16</v>
      </c>
      <c r="AA1051" s="362" t="s">
        <v>10</v>
      </c>
      <c r="AB1051" s="362" t="s">
        <v>11</v>
      </c>
      <c r="AC1051" s="362" t="s">
        <v>12</v>
      </c>
      <c r="AD1051" s="362" t="s">
        <v>13</v>
      </c>
      <c r="AE1051" s="362" t="s">
        <v>14</v>
      </c>
      <c r="AF1051" s="362" t="s">
        <v>15</v>
      </c>
      <c r="AG1051" s="362" t="s">
        <v>16</v>
      </c>
      <c r="AH1051" s="362" t="s">
        <v>10</v>
      </c>
      <c r="AI1051" s="362" t="s">
        <v>11</v>
      </c>
      <c r="AJ1051" s="362" t="s">
        <v>12</v>
      </c>
      <c r="AK1051" s="362"/>
      <c r="AL1051" s="363"/>
      <c r="AM1051" s="364"/>
      <c r="AN1051" s="365"/>
      <c r="AP1051" s="366"/>
      <c r="AQ1051" s="367" t="s">
        <v>17</v>
      </c>
      <c r="AR1051" s="367" t="s">
        <v>18</v>
      </c>
      <c r="AS1051" s="367" t="s">
        <v>19</v>
      </c>
    </row>
    <row r="1052" spans="3:45" ht="12.75" x14ac:dyDescent="0.2">
      <c r="E1052" s="362" t="s">
        <v>20</v>
      </c>
      <c r="F1052" s="362">
        <v>1</v>
      </c>
      <c r="G1052" s="362">
        <v>2</v>
      </c>
      <c r="H1052" s="362">
        <v>3</v>
      </c>
      <c r="I1052" s="362">
        <v>4</v>
      </c>
      <c r="J1052" s="362">
        <v>5</v>
      </c>
      <c r="K1052" s="362">
        <v>6</v>
      </c>
      <c r="L1052" s="362">
        <v>7</v>
      </c>
      <c r="M1052" s="362">
        <v>8</v>
      </c>
      <c r="N1052" s="362">
        <v>9</v>
      </c>
      <c r="O1052" s="362">
        <v>10</v>
      </c>
      <c r="P1052" s="362">
        <v>11</v>
      </c>
      <c r="Q1052" s="362">
        <v>12</v>
      </c>
      <c r="R1052" s="362">
        <v>13</v>
      </c>
      <c r="S1052" s="362">
        <v>14</v>
      </c>
      <c r="T1052" s="362">
        <v>15</v>
      </c>
      <c r="U1052" s="362">
        <v>16</v>
      </c>
      <c r="V1052" s="362">
        <v>17</v>
      </c>
      <c r="W1052" s="362">
        <v>18</v>
      </c>
      <c r="X1052" s="362">
        <v>19</v>
      </c>
      <c r="Y1052" s="362">
        <v>20</v>
      </c>
      <c r="Z1052" s="362">
        <v>21</v>
      </c>
      <c r="AA1052" s="362">
        <v>22</v>
      </c>
      <c r="AB1052" s="362">
        <v>23</v>
      </c>
      <c r="AC1052" s="362">
        <v>24</v>
      </c>
      <c r="AD1052" s="362">
        <v>25</v>
      </c>
      <c r="AE1052" s="362">
        <v>26</v>
      </c>
      <c r="AF1052" s="362">
        <v>27</v>
      </c>
      <c r="AG1052" s="362">
        <v>28</v>
      </c>
      <c r="AH1052" s="362">
        <v>29</v>
      </c>
      <c r="AI1052" s="362">
        <v>30</v>
      </c>
      <c r="AJ1052" s="362">
        <v>31</v>
      </c>
      <c r="AK1052" s="362" t="s">
        <v>21</v>
      </c>
      <c r="AL1052" s="363" t="s">
        <v>18</v>
      </c>
      <c r="AM1052" s="364" t="s">
        <v>19</v>
      </c>
      <c r="AN1052" s="368" t="s">
        <v>22</v>
      </c>
      <c r="AP1052" s="367" t="s">
        <v>23</v>
      </c>
      <c r="AQ1052" s="369">
        <f>AK1063-AK1117</f>
        <v>302.47999999999956</v>
      </c>
      <c r="AR1052" s="369">
        <f>(AL1063-AL1117)-AL1064+AM1065</f>
        <v>472.47999999999979</v>
      </c>
      <c r="AS1052" s="369">
        <f>(AM1063-AM1117)+AL1064-AM1065-AM1066</f>
        <v>-170</v>
      </c>
    </row>
    <row r="1053" spans="3:45" ht="12.75" x14ac:dyDescent="0.2">
      <c r="C1053" s="628" t="s">
        <v>24</v>
      </c>
      <c r="D1053" s="370" t="s">
        <v>25</v>
      </c>
      <c r="E1053" s="371" t="s">
        <v>18</v>
      </c>
      <c r="F1053" s="372"/>
      <c r="G1053" s="372"/>
      <c r="H1053" s="371"/>
      <c r="I1053" s="371"/>
      <c r="J1053" s="371">
        <v>980</v>
      </c>
      <c r="K1053" s="372"/>
      <c r="L1053" s="372"/>
      <c r="M1053" s="372"/>
      <c r="N1053" s="372"/>
      <c r="O1053" s="372"/>
      <c r="P1053" s="372"/>
      <c r="Q1053" s="372"/>
      <c r="R1053" s="372"/>
      <c r="S1053" s="372"/>
      <c r="T1053" s="371"/>
      <c r="U1053" s="372"/>
      <c r="V1053" s="372"/>
      <c r="W1053" s="371"/>
      <c r="X1053" s="371"/>
      <c r="Y1053" s="371">
        <v>1400</v>
      </c>
      <c r="Z1053" s="372"/>
      <c r="AA1053" s="372"/>
      <c r="AB1053" s="372"/>
      <c r="AC1053" s="372"/>
      <c r="AD1053" s="372"/>
      <c r="AE1053" s="372"/>
      <c r="AF1053" s="372"/>
      <c r="AG1053" s="372"/>
      <c r="AH1053" s="372"/>
      <c r="AI1053" s="372"/>
      <c r="AJ1053" s="372"/>
      <c r="AK1053" s="373">
        <f t="shared" ref="AK1053:AK1062" si="168">SUM(F1053:AJ1053)</f>
        <v>2380</v>
      </c>
      <c r="AL1053" s="366">
        <f t="shared" ref="AL1053:AL1054" si="169">AK1053</f>
        <v>2380</v>
      </c>
      <c r="AM1053" s="369"/>
      <c r="AN1053" s="374">
        <f>AL1053</f>
        <v>2380</v>
      </c>
    </row>
    <row r="1054" spans="3:45" ht="12.75" x14ac:dyDescent="0.2">
      <c r="C1054" s="580"/>
      <c r="D1054" s="645" t="s">
        <v>26</v>
      </c>
      <c r="E1054" s="363" t="s">
        <v>18</v>
      </c>
      <c r="F1054" s="366"/>
      <c r="G1054" s="366"/>
      <c r="H1054" s="366"/>
      <c r="I1054" s="366"/>
      <c r="J1054" s="366"/>
      <c r="K1054" s="366"/>
      <c r="L1054" s="366"/>
      <c r="M1054" s="366"/>
      <c r="N1054" s="366"/>
      <c r="O1054" s="366"/>
      <c r="P1054" s="366"/>
      <c r="Q1054" s="366"/>
      <c r="R1054" s="366"/>
      <c r="S1054" s="366"/>
      <c r="T1054" s="366"/>
      <c r="U1054" s="366"/>
      <c r="V1054" s="366"/>
      <c r="W1054" s="366"/>
      <c r="X1054" s="363">
        <v>81</v>
      </c>
      <c r="Y1054" s="366"/>
      <c r="Z1054" s="366"/>
      <c r="AA1054" s="366"/>
      <c r="AB1054" s="366"/>
      <c r="AC1054" s="366"/>
      <c r="AD1054" s="366"/>
      <c r="AE1054" s="366"/>
      <c r="AF1054" s="366"/>
      <c r="AG1054" s="366"/>
      <c r="AH1054" s="366"/>
      <c r="AI1054" s="366"/>
      <c r="AJ1054" s="366"/>
      <c r="AK1054" s="376">
        <f t="shared" si="168"/>
        <v>81</v>
      </c>
      <c r="AL1054" s="377">
        <f t="shared" si="169"/>
        <v>81</v>
      </c>
      <c r="AM1054" s="378"/>
      <c r="AN1054" s="633">
        <f>SUM(AL1054:AM1055)</f>
        <v>81</v>
      </c>
    </row>
    <row r="1055" spans="3:45" ht="12.75" x14ac:dyDescent="0.2">
      <c r="C1055" s="580"/>
      <c r="D1055" s="577"/>
      <c r="E1055" s="364" t="s">
        <v>19</v>
      </c>
      <c r="F1055" s="369"/>
      <c r="G1055" s="369"/>
      <c r="H1055" s="369"/>
      <c r="I1055" s="369"/>
      <c r="J1055" s="369"/>
      <c r="K1055" s="369"/>
      <c r="L1055" s="369"/>
      <c r="M1055" s="369"/>
      <c r="N1055" s="369"/>
      <c r="O1055" s="369"/>
      <c r="P1055" s="369"/>
      <c r="Q1055" s="369"/>
      <c r="R1055" s="369"/>
      <c r="S1055" s="369"/>
      <c r="T1055" s="369"/>
      <c r="U1055" s="369"/>
      <c r="V1055" s="369"/>
      <c r="W1055" s="369"/>
      <c r="X1055" s="369"/>
      <c r="Y1055" s="369"/>
      <c r="Z1055" s="369"/>
      <c r="AA1055" s="369"/>
      <c r="AB1055" s="369"/>
      <c r="AC1055" s="369"/>
      <c r="AD1055" s="369"/>
      <c r="AE1055" s="369"/>
      <c r="AF1055" s="369"/>
      <c r="AG1055" s="369"/>
      <c r="AH1055" s="369"/>
      <c r="AI1055" s="369"/>
      <c r="AJ1055" s="369"/>
      <c r="AK1055" s="379">
        <f t="shared" si="168"/>
        <v>0</v>
      </c>
      <c r="AL1055" s="380"/>
      <c r="AM1055" s="381">
        <f t="shared" ref="AM1055:AM1056" si="170">AK1055</f>
        <v>0</v>
      </c>
      <c r="AN1055" s="583"/>
    </row>
    <row r="1056" spans="3:45" ht="12.75" x14ac:dyDescent="0.2">
      <c r="C1056" s="580"/>
      <c r="D1056" s="375" t="s">
        <v>27</v>
      </c>
      <c r="E1056" s="364" t="s">
        <v>19</v>
      </c>
      <c r="F1056" s="369"/>
      <c r="G1056" s="369"/>
      <c r="H1056" s="369"/>
      <c r="I1056" s="369"/>
      <c r="J1056" s="369"/>
      <c r="K1056" s="369"/>
      <c r="L1056" s="369"/>
      <c r="M1056" s="369"/>
      <c r="N1056" s="369"/>
      <c r="O1056" s="369"/>
      <c r="P1056" s="369"/>
      <c r="Q1056" s="369"/>
      <c r="R1056" s="369"/>
      <c r="S1056" s="369"/>
      <c r="T1056" s="369"/>
      <c r="U1056" s="369"/>
      <c r="V1056" s="369"/>
      <c r="W1056" s="369"/>
      <c r="X1056" s="369"/>
      <c r="Y1056" s="369"/>
      <c r="Z1056" s="369"/>
      <c r="AA1056" s="369"/>
      <c r="AB1056" s="369"/>
      <c r="AC1056" s="369"/>
      <c r="AD1056" s="369"/>
      <c r="AE1056" s="369"/>
      <c r="AF1056" s="369"/>
      <c r="AG1056" s="369"/>
      <c r="AH1056" s="369"/>
      <c r="AI1056" s="369"/>
      <c r="AJ1056" s="369"/>
      <c r="AK1056" s="379">
        <f t="shared" si="168"/>
        <v>0</v>
      </c>
      <c r="AL1056" s="366"/>
      <c r="AM1056" s="369">
        <f t="shared" si="170"/>
        <v>0</v>
      </c>
      <c r="AN1056" s="374">
        <f>AM1056</f>
        <v>0</v>
      </c>
    </row>
    <row r="1057" spans="3:40" ht="12.75" x14ac:dyDescent="0.2">
      <c r="C1057" s="580"/>
      <c r="D1057" s="645" t="s">
        <v>28</v>
      </c>
      <c r="E1057" s="363" t="s">
        <v>18</v>
      </c>
      <c r="F1057" s="363"/>
      <c r="G1057" s="366"/>
      <c r="H1057" s="366"/>
      <c r="I1057" s="366"/>
      <c r="J1057" s="366"/>
      <c r="K1057" s="363"/>
      <c r="L1057" s="366"/>
      <c r="M1057" s="366"/>
      <c r="N1057" s="366"/>
      <c r="O1057" s="366"/>
      <c r="P1057" s="366"/>
      <c r="Q1057" s="363"/>
      <c r="R1057" s="366"/>
      <c r="S1057" s="366"/>
      <c r="T1057" s="366"/>
      <c r="U1057" s="366"/>
      <c r="V1057" s="366"/>
      <c r="W1057" s="366"/>
      <c r="X1057" s="366"/>
      <c r="Y1057" s="366"/>
      <c r="Z1057" s="363">
        <v>10</v>
      </c>
      <c r="AA1057" s="366"/>
      <c r="AB1057" s="366"/>
      <c r="AC1057" s="366"/>
      <c r="AD1057" s="366"/>
      <c r="AE1057" s="366"/>
      <c r="AF1057" s="366"/>
      <c r="AG1057" s="366"/>
      <c r="AH1057" s="366"/>
      <c r="AI1057" s="366"/>
      <c r="AJ1057" s="366"/>
      <c r="AK1057" s="376">
        <f t="shared" si="168"/>
        <v>10</v>
      </c>
      <c r="AL1057" s="377">
        <f>AK1057</f>
        <v>10</v>
      </c>
      <c r="AM1057" s="378"/>
      <c r="AN1057" s="633">
        <f>SUM(AL1057:AM1058)</f>
        <v>110</v>
      </c>
    </row>
    <row r="1058" spans="3:40" ht="12.75" x14ac:dyDescent="0.2">
      <c r="C1058" s="580"/>
      <c r="D1058" s="577"/>
      <c r="E1058" s="364" t="s">
        <v>19</v>
      </c>
      <c r="F1058" s="364"/>
      <c r="G1058" s="364"/>
      <c r="H1058" s="364"/>
      <c r="I1058" s="369"/>
      <c r="J1058" s="364"/>
      <c r="K1058" s="364">
        <v>60</v>
      </c>
      <c r="L1058" s="364"/>
      <c r="M1058" s="369"/>
      <c r="N1058" s="369"/>
      <c r="O1058" s="369"/>
      <c r="P1058" s="369"/>
      <c r="Q1058" s="364">
        <v>40</v>
      </c>
      <c r="R1058" s="369"/>
      <c r="S1058" s="364"/>
      <c r="T1058" s="369"/>
      <c r="U1058" s="369"/>
      <c r="V1058" s="369"/>
      <c r="W1058" s="364"/>
      <c r="X1058" s="364"/>
      <c r="Y1058" s="369"/>
      <c r="Z1058" s="369"/>
      <c r="AA1058" s="369"/>
      <c r="AB1058" s="369"/>
      <c r="AC1058" s="369"/>
      <c r="AD1058" s="369"/>
      <c r="AE1058" s="369"/>
      <c r="AF1058" s="369"/>
      <c r="AG1058" s="369"/>
      <c r="AH1058" s="369"/>
      <c r="AI1058" s="364"/>
      <c r="AJ1058" s="369"/>
      <c r="AK1058" s="379">
        <f t="shared" si="168"/>
        <v>100</v>
      </c>
      <c r="AL1058" s="380"/>
      <c r="AM1058" s="381">
        <f>AK1058</f>
        <v>100</v>
      </c>
      <c r="AN1058" s="583"/>
    </row>
    <row r="1059" spans="3:40" ht="12.75" x14ac:dyDescent="0.2">
      <c r="C1059" s="580"/>
      <c r="D1059" s="645" t="s">
        <v>29</v>
      </c>
      <c r="E1059" s="363" t="s">
        <v>18</v>
      </c>
      <c r="F1059" s="366"/>
      <c r="G1059" s="366"/>
      <c r="H1059" s="366"/>
      <c r="I1059" s="366"/>
      <c r="J1059" s="366"/>
      <c r="K1059" s="366"/>
      <c r="L1059" s="366"/>
      <c r="M1059" s="363"/>
      <c r="N1059" s="363"/>
      <c r="O1059" s="366"/>
      <c r="P1059" s="366"/>
      <c r="Q1059" s="366"/>
      <c r="R1059" s="366"/>
      <c r="S1059" s="366"/>
      <c r="T1059" s="366"/>
      <c r="U1059" s="366"/>
      <c r="V1059" s="366"/>
      <c r="W1059" s="366"/>
      <c r="X1059" s="366"/>
      <c r="Y1059" s="366"/>
      <c r="Z1059" s="366"/>
      <c r="AA1059" s="366"/>
      <c r="AB1059" s="363"/>
      <c r="AC1059" s="366"/>
      <c r="AD1059" s="363"/>
      <c r="AE1059" s="366"/>
      <c r="AF1059" s="366"/>
      <c r="AG1059" s="366"/>
      <c r="AH1059" s="366"/>
      <c r="AI1059" s="366"/>
      <c r="AJ1059" s="366"/>
      <c r="AK1059" s="376">
        <f t="shared" si="168"/>
        <v>0</v>
      </c>
      <c r="AL1059" s="377">
        <f>AK1059</f>
        <v>0</v>
      </c>
      <c r="AM1059" s="378"/>
      <c r="AN1059" s="633">
        <f>SUM(AL1059:AM1060)</f>
        <v>0</v>
      </c>
    </row>
    <row r="1060" spans="3:40" ht="12.75" x14ac:dyDescent="0.2">
      <c r="C1060" s="580"/>
      <c r="D1060" s="577"/>
      <c r="E1060" s="364" t="s">
        <v>19</v>
      </c>
      <c r="F1060" s="369"/>
      <c r="G1060" s="369"/>
      <c r="H1060" s="369"/>
      <c r="I1060" s="369"/>
      <c r="J1060" s="369"/>
      <c r="K1060" s="369"/>
      <c r="L1060" s="369"/>
      <c r="M1060" s="369"/>
      <c r="N1060" s="369"/>
      <c r="O1060" s="369"/>
      <c r="P1060" s="369"/>
      <c r="Q1060" s="369"/>
      <c r="R1060" s="369"/>
      <c r="S1060" s="369"/>
      <c r="T1060" s="369"/>
      <c r="U1060" s="369"/>
      <c r="V1060" s="369"/>
      <c r="W1060" s="369"/>
      <c r="X1060" s="369"/>
      <c r="Y1060" s="369"/>
      <c r="Z1060" s="369"/>
      <c r="AA1060" s="369"/>
      <c r="AB1060" s="364"/>
      <c r="AC1060" s="369"/>
      <c r="AD1060" s="369"/>
      <c r="AE1060" s="369"/>
      <c r="AF1060" s="369"/>
      <c r="AG1060" s="369"/>
      <c r="AH1060" s="369"/>
      <c r="AI1060" s="369"/>
      <c r="AJ1060" s="369"/>
      <c r="AK1060" s="379">
        <f t="shared" si="168"/>
        <v>0</v>
      </c>
      <c r="AL1060" s="380"/>
      <c r="AM1060" s="381">
        <f>AK1060</f>
        <v>0</v>
      </c>
      <c r="AN1060" s="583"/>
    </row>
    <row r="1061" spans="3:40" ht="12.75" x14ac:dyDescent="0.2">
      <c r="C1061" s="580"/>
      <c r="D1061" s="645" t="s">
        <v>31</v>
      </c>
      <c r="E1061" s="363" t="s">
        <v>18</v>
      </c>
      <c r="F1061" s="366"/>
      <c r="G1061" s="366"/>
      <c r="H1061" s="366"/>
      <c r="I1061" s="366"/>
      <c r="J1061" s="366"/>
      <c r="K1061" s="366"/>
      <c r="L1061" s="366"/>
      <c r="M1061" s="366"/>
      <c r="N1061" s="366"/>
      <c r="O1061" s="366"/>
      <c r="P1061" s="366"/>
      <c r="Q1061" s="366"/>
      <c r="R1061" s="366"/>
      <c r="S1061" s="366"/>
      <c r="T1061" s="366"/>
      <c r="U1061" s="366"/>
      <c r="V1061" s="366"/>
      <c r="W1061" s="366"/>
      <c r="X1061" s="366"/>
      <c r="Y1061" s="366"/>
      <c r="Z1061" s="366"/>
      <c r="AA1061" s="366"/>
      <c r="AB1061" s="366"/>
      <c r="AC1061" s="366"/>
      <c r="AD1061" s="366"/>
      <c r="AE1061" s="366"/>
      <c r="AF1061" s="366"/>
      <c r="AG1061" s="366"/>
      <c r="AH1061" s="366"/>
      <c r="AI1061" s="366"/>
      <c r="AJ1061" s="366"/>
      <c r="AK1061" s="376">
        <f t="shared" si="168"/>
        <v>0</v>
      </c>
      <c r="AL1061" s="377">
        <f>AK1061</f>
        <v>0</v>
      </c>
      <c r="AM1061" s="378"/>
      <c r="AN1061" s="633">
        <f>SUM(AL1061:AM1062)</f>
        <v>0</v>
      </c>
    </row>
    <row r="1062" spans="3:40" ht="12.75" x14ac:dyDescent="0.2">
      <c r="C1062" s="581"/>
      <c r="D1062" s="585"/>
      <c r="E1062" s="382" t="s">
        <v>19</v>
      </c>
      <c r="F1062" s="381"/>
      <c r="G1062" s="381"/>
      <c r="H1062" s="381"/>
      <c r="I1062" s="381"/>
      <c r="J1062" s="381"/>
      <c r="K1062" s="382"/>
      <c r="L1062" s="381"/>
      <c r="M1062" s="382"/>
      <c r="N1062" s="382"/>
      <c r="O1062" s="382"/>
      <c r="P1062" s="381"/>
      <c r="Q1062" s="381"/>
      <c r="R1062" s="381"/>
      <c r="S1062" s="381"/>
      <c r="T1062" s="381"/>
      <c r="U1062" s="381"/>
      <c r="V1062" s="381"/>
      <c r="W1062" s="381"/>
      <c r="X1062" s="382"/>
      <c r="Y1062" s="381"/>
      <c r="Z1062" s="382"/>
      <c r="AA1062" s="381"/>
      <c r="AB1062" s="381"/>
      <c r="AC1062" s="381"/>
      <c r="AD1062" s="381"/>
      <c r="AE1062" s="381"/>
      <c r="AF1062" s="381"/>
      <c r="AG1062" s="381"/>
      <c r="AH1062" s="381"/>
      <c r="AI1062" s="381"/>
      <c r="AJ1062" s="381"/>
      <c r="AK1062" s="383">
        <f t="shared" si="168"/>
        <v>0</v>
      </c>
      <c r="AL1062" s="380"/>
      <c r="AM1062" s="381">
        <f>AK1062</f>
        <v>0</v>
      </c>
      <c r="AN1062" s="583"/>
    </row>
    <row r="1063" spans="3:40" ht="12.75" x14ac:dyDescent="0.2">
      <c r="C1063" s="362" t="s">
        <v>32</v>
      </c>
      <c r="D1063" s="384"/>
      <c r="E1063" s="369"/>
      <c r="F1063" s="369"/>
      <c r="G1063" s="369"/>
      <c r="H1063" s="369"/>
      <c r="I1063" s="369"/>
      <c r="J1063" s="369"/>
      <c r="K1063" s="369"/>
      <c r="L1063" s="369"/>
      <c r="M1063" s="369"/>
      <c r="N1063" s="369"/>
      <c r="O1063" s="369"/>
      <c r="P1063" s="369"/>
      <c r="Q1063" s="369"/>
      <c r="R1063" s="369"/>
      <c r="S1063" s="369"/>
      <c r="T1063" s="369"/>
      <c r="U1063" s="369"/>
      <c r="V1063" s="369"/>
      <c r="W1063" s="369"/>
      <c r="X1063" s="369"/>
      <c r="Y1063" s="369"/>
      <c r="Z1063" s="369"/>
      <c r="AA1063" s="369"/>
      <c r="AB1063" s="369"/>
      <c r="AC1063" s="369"/>
      <c r="AD1063" s="369"/>
      <c r="AE1063" s="369"/>
      <c r="AF1063" s="369"/>
      <c r="AG1063" s="369"/>
      <c r="AH1063" s="369"/>
      <c r="AI1063" s="369"/>
      <c r="AJ1063" s="369"/>
      <c r="AK1063" s="385">
        <f t="shared" ref="AK1063:AM1063" si="171">SUM(AK1053:AK1062)</f>
        <v>2571</v>
      </c>
      <c r="AL1063" s="366">
        <f t="shared" si="171"/>
        <v>2471</v>
      </c>
      <c r="AM1063" s="369">
        <f t="shared" si="171"/>
        <v>100</v>
      </c>
      <c r="AN1063" s="374"/>
    </row>
    <row r="1064" spans="3:40" ht="12.75" x14ac:dyDescent="0.2">
      <c r="C1064" s="630" t="s">
        <v>83</v>
      </c>
      <c r="D1064" s="423" t="s">
        <v>84</v>
      </c>
      <c r="E1064" s="424" t="s">
        <v>18</v>
      </c>
      <c r="F1064" s="425"/>
      <c r="G1064" s="425"/>
      <c r="H1064" s="425"/>
      <c r="I1064" s="425"/>
      <c r="J1064" s="424"/>
      <c r="K1064" s="424"/>
      <c r="L1064" s="425"/>
      <c r="M1064" s="424"/>
      <c r="N1064" s="425"/>
      <c r="O1064" s="424"/>
      <c r="P1064" s="425"/>
      <c r="Q1064" s="425"/>
      <c r="R1064" s="425"/>
      <c r="S1064" s="425"/>
      <c r="T1064" s="425"/>
      <c r="U1064" s="424"/>
      <c r="V1064" s="425"/>
      <c r="W1064" s="425"/>
      <c r="X1064" s="425"/>
      <c r="Y1064" s="425"/>
      <c r="Z1064" s="425"/>
      <c r="AA1064" s="425"/>
      <c r="AB1064" s="425"/>
      <c r="AC1064" s="425"/>
      <c r="AD1064" s="425"/>
      <c r="AE1064" s="425"/>
      <c r="AF1064" s="425"/>
      <c r="AG1064" s="425"/>
      <c r="AH1064" s="425"/>
      <c r="AI1064" s="425"/>
      <c r="AJ1064" s="426"/>
      <c r="AK1064" s="425"/>
      <c r="AL1064" s="427">
        <f>SUM(F1064:AJ1064)</f>
        <v>0</v>
      </c>
      <c r="AM1064" s="427"/>
      <c r="AN1064" s="374"/>
    </row>
    <row r="1065" spans="3:40" ht="12.75" x14ac:dyDescent="0.2">
      <c r="C1065" s="580"/>
      <c r="D1065" s="413" t="s">
        <v>85</v>
      </c>
      <c r="E1065" s="428" t="s">
        <v>19</v>
      </c>
      <c r="F1065" s="427"/>
      <c r="G1065" s="427"/>
      <c r="H1065" s="427"/>
      <c r="I1065" s="427"/>
      <c r="J1065" s="427"/>
      <c r="K1065" s="427"/>
      <c r="L1065" s="427"/>
      <c r="M1065" s="427"/>
      <c r="N1065" s="427"/>
      <c r="O1065" s="427"/>
      <c r="P1065" s="427"/>
      <c r="Q1065" s="427"/>
      <c r="R1065" s="427"/>
      <c r="S1065" s="427"/>
      <c r="T1065" s="427"/>
      <c r="U1065" s="428"/>
      <c r="V1065" s="427"/>
      <c r="W1065" s="427"/>
      <c r="X1065" s="427"/>
      <c r="Y1065" s="427"/>
      <c r="Z1065" s="427"/>
      <c r="AA1065" s="427"/>
      <c r="AB1065" s="427"/>
      <c r="AC1065" s="427"/>
      <c r="AD1065" s="427"/>
      <c r="AE1065" s="427"/>
      <c r="AF1065" s="427"/>
      <c r="AG1065" s="427"/>
      <c r="AH1065" s="427"/>
      <c r="AI1065" s="427"/>
      <c r="AJ1065" s="429"/>
      <c r="AK1065" s="427"/>
      <c r="AL1065" s="427"/>
      <c r="AM1065" s="427">
        <f t="shared" ref="AM1065:AM1066" si="172">SUM(F1065:AJ1065)</f>
        <v>0</v>
      </c>
      <c r="AN1065" s="374"/>
    </row>
    <row r="1066" spans="3:40" ht="12.75" x14ac:dyDescent="0.2">
      <c r="C1066" s="581"/>
      <c r="D1066" s="430" t="s">
        <v>86</v>
      </c>
      <c r="E1066" s="431" t="s">
        <v>19</v>
      </c>
      <c r="F1066" s="432"/>
      <c r="G1066" s="432"/>
      <c r="H1066" s="432"/>
      <c r="I1066" s="432"/>
      <c r="J1066" s="432"/>
      <c r="K1066" s="432"/>
      <c r="L1066" s="432"/>
      <c r="M1066" s="432"/>
      <c r="N1066" s="432"/>
      <c r="O1066" s="431"/>
      <c r="P1066" s="432"/>
      <c r="Q1066" s="432"/>
      <c r="R1066" s="432"/>
      <c r="S1066" s="432"/>
      <c r="T1066" s="432"/>
      <c r="U1066" s="431"/>
      <c r="V1066" s="432"/>
      <c r="W1066" s="432"/>
      <c r="X1066" s="432"/>
      <c r="Y1066" s="432"/>
      <c r="Z1066" s="432"/>
      <c r="AA1066" s="432"/>
      <c r="AB1066" s="432"/>
      <c r="AC1066" s="432"/>
      <c r="AD1066" s="432"/>
      <c r="AE1066" s="432"/>
      <c r="AF1066" s="432"/>
      <c r="AG1066" s="432"/>
      <c r="AH1066" s="432"/>
      <c r="AI1066" s="432"/>
      <c r="AJ1066" s="433"/>
      <c r="AK1066" s="427"/>
      <c r="AL1066" s="427"/>
      <c r="AM1066" s="427">
        <f t="shared" si="172"/>
        <v>0</v>
      </c>
      <c r="AN1066" s="374"/>
    </row>
    <row r="1067" spans="3:40" ht="12.75" x14ac:dyDescent="0.2">
      <c r="C1067" s="629" t="s">
        <v>33</v>
      </c>
      <c r="D1067" s="386" t="s">
        <v>34</v>
      </c>
      <c r="E1067" s="387" t="s">
        <v>19</v>
      </c>
      <c r="F1067" s="388"/>
      <c r="G1067" s="388"/>
      <c r="H1067" s="388"/>
      <c r="I1067" s="388"/>
      <c r="J1067" s="387"/>
      <c r="K1067" s="387">
        <v>60</v>
      </c>
      <c r="L1067" s="388"/>
      <c r="M1067" s="388"/>
      <c r="N1067" s="388"/>
      <c r="O1067" s="388"/>
      <c r="P1067" s="388"/>
      <c r="Q1067" s="388"/>
      <c r="R1067" s="388"/>
      <c r="S1067" s="388"/>
      <c r="T1067" s="388"/>
      <c r="U1067" s="388"/>
      <c r="V1067" s="388"/>
      <c r="W1067" s="388"/>
      <c r="X1067" s="388"/>
      <c r="Y1067" s="388"/>
      <c r="Z1067" s="388"/>
      <c r="AA1067" s="388"/>
      <c r="AB1067" s="388"/>
      <c r="AC1067" s="388"/>
      <c r="AD1067" s="388"/>
      <c r="AE1067" s="388"/>
      <c r="AF1067" s="388"/>
      <c r="AG1067" s="388"/>
      <c r="AH1067" s="388"/>
      <c r="AI1067" s="388"/>
      <c r="AJ1067" s="388"/>
      <c r="AK1067" s="389">
        <f t="shared" ref="AK1067:AK1116" si="173">SUM(F1067:AJ1067)</f>
        <v>60</v>
      </c>
      <c r="AL1067" s="390"/>
      <c r="AM1067" s="388">
        <f>AK1067</f>
        <v>60</v>
      </c>
      <c r="AN1067" s="391">
        <f>AM1067</f>
        <v>60</v>
      </c>
    </row>
    <row r="1068" spans="3:40" ht="12.75" x14ac:dyDescent="0.2">
      <c r="C1068" s="580"/>
      <c r="D1068" s="392" t="s">
        <v>35</v>
      </c>
      <c r="E1068" s="393" t="s">
        <v>18</v>
      </c>
      <c r="F1068" s="394"/>
      <c r="G1068" s="394"/>
      <c r="H1068" s="394"/>
      <c r="I1068" s="393"/>
      <c r="J1068" s="393"/>
      <c r="K1068" s="394"/>
      <c r="L1068" s="394"/>
      <c r="M1068" s="394"/>
      <c r="N1068" s="394"/>
      <c r="O1068" s="394"/>
      <c r="P1068" s="394"/>
      <c r="Q1068" s="394"/>
      <c r="R1068" s="394"/>
      <c r="S1068" s="394"/>
      <c r="T1068" s="394"/>
      <c r="U1068" s="394"/>
      <c r="V1068" s="394"/>
      <c r="W1068" s="394"/>
      <c r="X1068" s="394"/>
      <c r="Y1068" s="393"/>
      <c r="Z1068" s="394"/>
      <c r="AA1068" s="394"/>
      <c r="AB1068" s="394"/>
      <c r="AC1068" s="394"/>
      <c r="AD1068" s="394"/>
      <c r="AE1068" s="394"/>
      <c r="AF1068" s="394"/>
      <c r="AG1068" s="394"/>
      <c r="AH1068" s="394"/>
      <c r="AI1068" s="394"/>
      <c r="AJ1068" s="394"/>
      <c r="AK1068" s="395">
        <f t="shared" si="173"/>
        <v>0</v>
      </c>
      <c r="AL1068" s="394">
        <f>AK1068</f>
        <v>0</v>
      </c>
      <c r="AM1068" s="396"/>
      <c r="AN1068" s="397">
        <f>AL1068</f>
        <v>0</v>
      </c>
    </row>
    <row r="1069" spans="3:40" ht="12.75" x14ac:dyDescent="0.2">
      <c r="C1069" s="580"/>
      <c r="D1069" s="434" t="s">
        <v>36</v>
      </c>
      <c r="E1069" s="398" t="s">
        <v>19</v>
      </c>
      <c r="F1069" s="399"/>
      <c r="G1069" s="399"/>
      <c r="H1069" s="399"/>
      <c r="I1069" s="399"/>
      <c r="J1069" s="398"/>
      <c r="K1069" s="399"/>
      <c r="L1069" s="398">
        <v>25</v>
      </c>
      <c r="M1069" s="399"/>
      <c r="N1069" s="399"/>
      <c r="O1069" s="399"/>
      <c r="P1069" s="399"/>
      <c r="Q1069" s="399"/>
      <c r="R1069" s="399"/>
      <c r="S1069" s="399"/>
      <c r="T1069" s="399"/>
      <c r="U1069" s="399"/>
      <c r="V1069" s="399"/>
      <c r="W1069" s="399"/>
      <c r="X1069" s="399"/>
      <c r="Y1069" s="399"/>
      <c r="Z1069" s="399"/>
      <c r="AA1069" s="399"/>
      <c r="AB1069" s="399"/>
      <c r="AC1069" s="399"/>
      <c r="AD1069" s="399"/>
      <c r="AE1069" s="399"/>
      <c r="AF1069" s="399"/>
      <c r="AG1069" s="399"/>
      <c r="AH1069" s="399"/>
      <c r="AI1069" s="399"/>
      <c r="AJ1069" s="399"/>
      <c r="AK1069" s="400">
        <f t="shared" si="173"/>
        <v>25</v>
      </c>
      <c r="AL1069" s="401"/>
      <c r="AM1069" s="399">
        <f>AK1069</f>
        <v>25</v>
      </c>
      <c r="AN1069" s="435">
        <f>AM1069</f>
        <v>25</v>
      </c>
    </row>
    <row r="1070" spans="3:40" ht="12.75" x14ac:dyDescent="0.2">
      <c r="C1070" s="580"/>
      <c r="D1070" s="643" t="s">
        <v>37</v>
      </c>
      <c r="E1070" s="393" t="s">
        <v>18</v>
      </c>
      <c r="F1070" s="393"/>
      <c r="G1070" s="393"/>
      <c r="H1070" s="394"/>
      <c r="I1070" s="393"/>
      <c r="J1070" s="394"/>
      <c r="K1070" s="394"/>
      <c r="L1070" s="394"/>
      <c r="M1070" s="394"/>
      <c r="N1070" s="393"/>
      <c r="O1070" s="393"/>
      <c r="P1070" s="394"/>
      <c r="Q1070" s="393"/>
      <c r="R1070" s="393"/>
      <c r="S1070" s="393">
        <v>5</v>
      </c>
      <c r="T1070" s="393"/>
      <c r="U1070" s="394"/>
      <c r="V1070" s="393"/>
      <c r="W1070" s="393"/>
      <c r="X1070" s="394"/>
      <c r="Y1070" s="393"/>
      <c r="Z1070" s="393"/>
      <c r="AA1070" s="394"/>
      <c r="AB1070" s="394"/>
      <c r="AC1070" s="394"/>
      <c r="AD1070" s="393"/>
      <c r="AE1070" s="394"/>
      <c r="AF1070" s="393"/>
      <c r="AG1070" s="394"/>
      <c r="AH1070" s="394"/>
      <c r="AI1070" s="394"/>
      <c r="AJ1070" s="393">
        <v>26.4</v>
      </c>
      <c r="AK1070" s="395">
        <f t="shared" si="173"/>
        <v>31.4</v>
      </c>
      <c r="AL1070" s="403">
        <f>AK1070</f>
        <v>31.4</v>
      </c>
      <c r="AM1070" s="396"/>
      <c r="AN1070" s="634">
        <f>SUM(AL1070:AM1071)</f>
        <v>31.4</v>
      </c>
    </row>
    <row r="1071" spans="3:40" ht="12.75" x14ac:dyDescent="0.2">
      <c r="C1071" s="580"/>
      <c r="D1071" s="577"/>
      <c r="E1071" s="404" t="s">
        <v>19</v>
      </c>
      <c r="F1071" s="396"/>
      <c r="G1071" s="396"/>
      <c r="H1071" s="404"/>
      <c r="I1071" s="396"/>
      <c r="J1071" s="396"/>
      <c r="K1071" s="396"/>
      <c r="L1071" s="404"/>
      <c r="M1071" s="396"/>
      <c r="N1071" s="404"/>
      <c r="O1071" s="396"/>
      <c r="P1071" s="396"/>
      <c r="Q1071" s="396"/>
      <c r="R1071" s="396"/>
      <c r="S1071" s="396"/>
      <c r="T1071" s="404"/>
      <c r="U1071" s="404"/>
      <c r="V1071" s="404"/>
      <c r="W1071" s="404"/>
      <c r="X1071" s="404"/>
      <c r="Y1071" s="396"/>
      <c r="Z1071" s="396"/>
      <c r="AA1071" s="404"/>
      <c r="AB1071" s="404"/>
      <c r="AC1071" s="404"/>
      <c r="AD1071" s="404"/>
      <c r="AE1071" s="404"/>
      <c r="AF1071" s="396"/>
      <c r="AG1071" s="396"/>
      <c r="AH1071" s="396"/>
      <c r="AI1071" s="396"/>
      <c r="AJ1071" s="396"/>
      <c r="AK1071" s="405">
        <f t="shared" si="173"/>
        <v>0</v>
      </c>
      <c r="AL1071" s="406"/>
      <c r="AM1071" s="407">
        <f>AK1071</f>
        <v>0</v>
      </c>
      <c r="AN1071" s="583"/>
    </row>
    <row r="1072" spans="3:40" ht="12.75" x14ac:dyDescent="0.2">
      <c r="C1072" s="580"/>
      <c r="D1072" s="402" t="s">
        <v>38</v>
      </c>
      <c r="E1072" s="393" t="s">
        <v>18</v>
      </c>
      <c r="F1072" s="394"/>
      <c r="G1072" s="394"/>
      <c r="H1072" s="394"/>
      <c r="I1072" s="394"/>
      <c r="J1072" s="394"/>
      <c r="K1072" s="394"/>
      <c r="L1072" s="394"/>
      <c r="M1072" s="394"/>
      <c r="N1072" s="394"/>
      <c r="O1072" s="394"/>
      <c r="P1072" s="394"/>
      <c r="Q1072" s="394"/>
      <c r="R1072" s="394"/>
      <c r="S1072" s="394"/>
      <c r="T1072" s="394"/>
      <c r="U1072" s="394"/>
      <c r="V1072" s="394"/>
      <c r="W1072" s="394"/>
      <c r="X1072" s="394"/>
      <c r="Y1072" s="394"/>
      <c r="Z1072" s="393"/>
      <c r="AA1072" s="393"/>
      <c r="AB1072" s="393"/>
      <c r="AC1072" s="393"/>
      <c r="AD1072" s="394"/>
      <c r="AE1072" s="394"/>
      <c r="AF1072" s="394"/>
      <c r="AG1072" s="394"/>
      <c r="AH1072" s="394"/>
      <c r="AI1072" s="394"/>
      <c r="AJ1072" s="394"/>
      <c r="AK1072" s="395">
        <f t="shared" si="173"/>
        <v>0</v>
      </c>
      <c r="AL1072" s="394">
        <f t="shared" ref="AL1072:AL1074" si="174">AK1072</f>
        <v>0</v>
      </c>
      <c r="AM1072" s="396"/>
      <c r="AN1072" s="374">
        <f t="shared" ref="AN1072:AN1073" si="175">AL1072</f>
        <v>0</v>
      </c>
    </row>
    <row r="1073" spans="3:40" ht="12.75" x14ac:dyDescent="0.2">
      <c r="C1073" s="580"/>
      <c r="D1073" s="402" t="s">
        <v>39</v>
      </c>
      <c r="E1073" s="393" t="s">
        <v>18</v>
      </c>
      <c r="F1073" s="394"/>
      <c r="G1073" s="394"/>
      <c r="H1073" s="394"/>
      <c r="I1073" s="394"/>
      <c r="J1073" s="394"/>
      <c r="K1073" s="394"/>
      <c r="L1073" s="394"/>
      <c r="M1073" s="393"/>
      <c r="N1073" s="394"/>
      <c r="O1073" s="394"/>
      <c r="P1073" s="394"/>
      <c r="Q1073" s="394"/>
      <c r="R1073" s="394"/>
      <c r="S1073" s="394"/>
      <c r="T1073" s="394"/>
      <c r="U1073" s="394"/>
      <c r="V1073" s="394"/>
      <c r="W1073" s="394"/>
      <c r="X1073" s="394"/>
      <c r="Y1073" s="394"/>
      <c r="Z1073" s="394"/>
      <c r="AA1073" s="394"/>
      <c r="AB1073" s="394"/>
      <c r="AC1073" s="394"/>
      <c r="AD1073" s="394"/>
      <c r="AE1073" s="394"/>
      <c r="AF1073" s="394"/>
      <c r="AG1073" s="394"/>
      <c r="AH1073" s="394"/>
      <c r="AI1073" s="394"/>
      <c r="AJ1073" s="394"/>
      <c r="AK1073" s="395">
        <f t="shared" si="173"/>
        <v>0</v>
      </c>
      <c r="AL1073" s="394">
        <f t="shared" si="174"/>
        <v>0</v>
      </c>
      <c r="AM1073" s="396"/>
      <c r="AN1073" s="374">
        <f t="shared" si="175"/>
        <v>0</v>
      </c>
    </row>
    <row r="1074" spans="3:40" ht="12.75" x14ac:dyDescent="0.2">
      <c r="C1074" s="580"/>
      <c r="D1074" s="643" t="s">
        <v>40</v>
      </c>
      <c r="E1074" s="393" t="s">
        <v>18</v>
      </c>
      <c r="F1074" s="394"/>
      <c r="G1074" s="394"/>
      <c r="H1074" s="394"/>
      <c r="I1074" s="394"/>
      <c r="J1074" s="394"/>
      <c r="K1074" s="394"/>
      <c r="L1074" s="394"/>
      <c r="M1074" s="394"/>
      <c r="N1074" s="394"/>
      <c r="O1074" s="394"/>
      <c r="P1074" s="394"/>
      <c r="Q1074" s="394"/>
      <c r="R1074" s="394"/>
      <c r="S1074" s="394"/>
      <c r="T1074" s="394"/>
      <c r="U1074" s="394"/>
      <c r="V1074" s="394"/>
      <c r="W1074" s="394"/>
      <c r="X1074" s="394"/>
      <c r="Y1074" s="394"/>
      <c r="Z1074" s="394"/>
      <c r="AA1074" s="394"/>
      <c r="AB1074" s="394"/>
      <c r="AC1074" s="394"/>
      <c r="AD1074" s="394"/>
      <c r="AE1074" s="394"/>
      <c r="AF1074" s="394"/>
      <c r="AG1074" s="394"/>
      <c r="AH1074" s="394"/>
      <c r="AI1074" s="394"/>
      <c r="AJ1074" s="394"/>
      <c r="AK1074" s="395">
        <f t="shared" si="173"/>
        <v>0</v>
      </c>
      <c r="AL1074" s="408">
        <f t="shared" si="174"/>
        <v>0</v>
      </c>
      <c r="AM1074" s="409"/>
      <c r="AN1074" s="633">
        <f>SUM(AL1074:AM1075)</f>
        <v>0</v>
      </c>
    </row>
    <row r="1075" spans="3:40" ht="12.75" x14ac:dyDescent="0.2">
      <c r="C1075" s="580"/>
      <c r="D1075" s="577"/>
      <c r="E1075" s="404" t="s">
        <v>19</v>
      </c>
      <c r="F1075" s="396"/>
      <c r="G1075" s="396"/>
      <c r="H1075" s="396"/>
      <c r="I1075" s="396"/>
      <c r="J1075" s="396"/>
      <c r="K1075" s="396"/>
      <c r="L1075" s="396"/>
      <c r="M1075" s="396"/>
      <c r="N1075" s="396"/>
      <c r="O1075" s="396"/>
      <c r="P1075" s="396"/>
      <c r="Q1075" s="396"/>
      <c r="R1075" s="396"/>
      <c r="S1075" s="396"/>
      <c r="T1075" s="396"/>
      <c r="U1075" s="396"/>
      <c r="V1075" s="396"/>
      <c r="W1075" s="396"/>
      <c r="X1075" s="396"/>
      <c r="Y1075" s="396"/>
      <c r="Z1075" s="396"/>
      <c r="AA1075" s="396"/>
      <c r="AB1075" s="396"/>
      <c r="AC1075" s="396"/>
      <c r="AD1075" s="396"/>
      <c r="AE1075" s="396"/>
      <c r="AF1075" s="396"/>
      <c r="AG1075" s="396"/>
      <c r="AH1075" s="396"/>
      <c r="AI1075" s="396"/>
      <c r="AJ1075" s="396"/>
      <c r="AK1075" s="405">
        <f t="shared" si="173"/>
        <v>0</v>
      </c>
      <c r="AL1075" s="406"/>
      <c r="AM1075" s="407">
        <f>AK1075</f>
        <v>0</v>
      </c>
      <c r="AN1075" s="583"/>
    </row>
    <row r="1076" spans="3:40" ht="12.75" x14ac:dyDescent="0.2">
      <c r="C1076" s="580"/>
      <c r="D1076" s="643" t="s">
        <v>41</v>
      </c>
      <c r="E1076" s="393" t="s">
        <v>18</v>
      </c>
      <c r="F1076" s="393"/>
      <c r="G1076" s="393"/>
      <c r="H1076" s="394"/>
      <c r="I1076" s="394"/>
      <c r="J1076" s="394"/>
      <c r="K1076" s="394"/>
      <c r="L1076" s="393"/>
      <c r="M1076" s="394"/>
      <c r="N1076" s="394"/>
      <c r="O1076" s="394"/>
      <c r="P1076" s="394"/>
      <c r="Q1076" s="394"/>
      <c r="R1076" s="394"/>
      <c r="S1076" s="393">
        <v>39</v>
      </c>
      <c r="T1076" s="394"/>
      <c r="U1076" s="394"/>
      <c r="V1076" s="394"/>
      <c r="W1076" s="394"/>
      <c r="X1076" s="394"/>
      <c r="Y1076" s="394"/>
      <c r="Z1076" s="394"/>
      <c r="AA1076" s="393"/>
      <c r="AB1076" s="394"/>
      <c r="AC1076" s="394"/>
      <c r="AD1076" s="394"/>
      <c r="AE1076" s="394"/>
      <c r="AF1076" s="394"/>
      <c r="AG1076" s="394"/>
      <c r="AH1076" s="394"/>
      <c r="AI1076" s="394"/>
      <c r="AJ1076" s="394"/>
      <c r="AK1076" s="395">
        <f t="shared" si="173"/>
        <v>39</v>
      </c>
      <c r="AL1076" s="408">
        <f>AK1076</f>
        <v>39</v>
      </c>
      <c r="AM1076" s="409"/>
      <c r="AN1076" s="633">
        <f>SUM(AL1076:AM1077)</f>
        <v>49</v>
      </c>
    </row>
    <row r="1077" spans="3:40" ht="12.75" x14ac:dyDescent="0.2">
      <c r="C1077" s="580"/>
      <c r="D1077" s="577"/>
      <c r="E1077" s="404" t="s">
        <v>19</v>
      </c>
      <c r="F1077" s="396"/>
      <c r="G1077" s="396"/>
      <c r="H1077" s="396"/>
      <c r="I1077" s="396"/>
      <c r="J1077" s="404"/>
      <c r="K1077" s="396"/>
      <c r="L1077" s="404">
        <v>10</v>
      </c>
      <c r="M1077" s="404"/>
      <c r="N1077" s="396"/>
      <c r="O1077" s="396"/>
      <c r="P1077" s="396"/>
      <c r="Q1077" s="404"/>
      <c r="R1077" s="404"/>
      <c r="S1077" s="404"/>
      <c r="T1077" s="396"/>
      <c r="U1077" s="404"/>
      <c r="V1077" s="396"/>
      <c r="W1077" s="396"/>
      <c r="X1077" s="396"/>
      <c r="Y1077" s="396"/>
      <c r="Z1077" s="396"/>
      <c r="AA1077" s="396"/>
      <c r="AB1077" s="396"/>
      <c r="AC1077" s="396"/>
      <c r="AD1077" s="396"/>
      <c r="AE1077" s="404"/>
      <c r="AF1077" s="396"/>
      <c r="AG1077" s="396"/>
      <c r="AH1077" s="396"/>
      <c r="AI1077" s="396"/>
      <c r="AJ1077" s="396"/>
      <c r="AK1077" s="405">
        <f t="shared" si="173"/>
        <v>10</v>
      </c>
      <c r="AL1077" s="406"/>
      <c r="AM1077" s="407">
        <f>AK1077</f>
        <v>10</v>
      </c>
      <c r="AN1077" s="583"/>
    </row>
    <row r="1078" spans="3:40" ht="12.75" x14ac:dyDescent="0.2">
      <c r="C1078" s="580"/>
      <c r="D1078" s="402" t="s">
        <v>42</v>
      </c>
      <c r="E1078" s="393" t="s">
        <v>18</v>
      </c>
      <c r="F1078" s="394"/>
      <c r="G1078" s="394"/>
      <c r="H1078" s="394"/>
      <c r="I1078" s="393"/>
      <c r="J1078" s="393">
        <v>30</v>
      </c>
      <c r="K1078" s="393">
        <v>26</v>
      </c>
      <c r="L1078" s="393"/>
      <c r="M1078" s="393"/>
      <c r="N1078" s="394"/>
      <c r="O1078" s="393"/>
      <c r="P1078" s="394"/>
      <c r="Q1078" s="393"/>
      <c r="R1078" s="393"/>
      <c r="S1078" s="394"/>
      <c r="T1078" s="394"/>
      <c r="U1078" s="394"/>
      <c r="V1078" s="394"/>
      <c r="W1078" s="394"/>
      <c r="X1078" s="394"/>
      <c r="Y1078" s="394"/>
      <c r="Z1078" s="394"/>
      <c r="AA1078" s="394"/>
      <c r="AB1078" s="394"/>
      <c r="AC1078" s="394"/>
      <c r="AD1078" s="394"/>
      <c r="AE1078" s="394"/>
      <c r="AF1078" s="394"/>
      <c r="AG1078" s="394"/>
      <c r="AH1078" s="394"/>
      <c r="AI1078" s="393"/>
      <c r="AJ1078" s="394"/>
      <c r="AK1078" s="395">
        <f t="shared" si="173"/>
        <v>56</v>
      </c>
      <c r="AL1078" s="394">
        <f>AK1078</f>
        <v>56</v>
      </c>
      <c r="AM1078" s="396"/>
      <c r="AN1078" s="374">
        <f>AL1078</f>
        <v>56</v>
      </c>
    </row>
    <row r="1079" spans="3:40" ht="12.75" x14ac:dyDescent="0.2">
      <c r="C1079" s="580"/>
      <c r="D1079" s="402" t="s">
        <v>43</v>
      </c>
      <c r="E1079" s="404" t="s">
        <v>19</v>
      </c>
      <c r="F1079" s="396"/>
      <c r="G1079" s="396"/>
      <c r="H1079" s="396"/>
      <c r="I1079" s="396"/>
      <c r="J1079" s="396"/>
      <c r="K1079" s="396"/>
      <c r="L1079" s="396"/>
      <c r="M1079" s="396"/>
      <c r="N1079" s="396"/>
      <c r="O1079" s="396"/>
      <c r="P1079" s="396"/>
      <c r="Q1079" s="396"/>
      <c r="R1079" s="396"/>
      <c r="S1079" s="396"/>
      <c r="T1079" s="396"/>
      <c r="U1079" s="396"/>
      <c r="V1079" s="396"/>
      <c r="W1079" s="396"/>
      <c r="X1079" s="396"/>
      <c r="Y1079" s="396"/>
      <c r="Z1079" s="396"/>
      <c r="AA1079" s="396"/>
      <c r="AB1079" s="396"/>
      <c r="AC1079" s="396"/>
      <c r="AD1079" s="396"/>
      <c r="AE1079" s="396"/>
      <c r="AF1079" s="396"/>
      <c r="AG1079" s="396"/>
      <c r="AH1079" s="396"/>
      <c r="AI1079" s="396"/>
      <c r="AJ1079" s="396"/>
      <c r="AK1079" s="405">
        <f t="shared" si="173"/>
        <v>0</v>
      </c>
      <c r="AL1079" s="394"/>
      <c r="AM1079" s="396">
        <f>AK1079</f>
        <v>0</v>
      </c>
      <c r="AN1079" s="374">
        <f>AM1079</f>
        <v>0</v>
      </c>
    </row>
    <row r="1080" spans="3:40" ht="12.75" x14ac:dyDescent="0.2">
      <c r="C1080" s="580"/>
      <c r="D1080" s="643" t="s">
        <v>44</v>
      </c>
      <c r="E1080" s="393" t="s">
        <v>18</v>
      </c>
      <c r="F1080" s="393"/>
      <c r="G1080" s="394"/>
      <c r="H1080" s="394"/>
      <c r="I1080" s="394"/>
      <c r="J1080" s="394"/>
      <c r="K1080" s="394"/>
      <c r="L1080" s="394"/>
      <c r="M1080" s="393"/>
      <c r="N1080" s="394"/>
      <c r="O1080" s="394"/>
      <c r="P1080" s="394"/>
      <c r="Q1080" s="394"/>
      <c r="R1080" s="394"/>
      <c r="S1080" s="394"/>
      <c r="T1080" s="393"/>
      <c r="U1080" s="394"/>
      <c r="V1080" s="394"/>
      <c r="W1080" s="394"/>
      <c r="X1080" s="394"/>
      <c r="Y1080" s="394"/>
      <c r="Z1080" s="394"/>
      <c r="AA1080" s="394"/>
      <c r="AB1080" s="394"/>
      <c r="AC1080" s="394"/>
      <c r="AD1080" s="393"/>
      <c r="AE1080" s="394"/>
      <c r="AF1080" s="394"/>
      <c r="AG1080" s="394"/>
      <c r="AH1080" s="394"/>
      <c r="AI1080" s="394"/>
      <c r="AJ1080" s="394"/>
      <c r="AK1080" s="395">
        <f t="shared" si="173"/>
        <v>0</v>
      </c>
      <c r="AL1080" s="408">
        <f>AK1080</f>
        <v>0</v>
      </c>
      <c r="AM1080" s="409"/>
      <c r="AN1080" s="633">
        <f>SUM(AL1080:AM1081)</f>
        <v>0</v>
      </c>
    </row>
    <row r="1081" spans="3:40" ht="12.75" x14ac:dyDescent="0.2">
      <c r="C1081" s="581"/>
      <c r="D1081" s="585"/>
      <c r="E1081" s="404" t="s">
        <v>19</v>
      </c>
      <c r="F1081" s="407"/>
      <c r="G1081" s="407"/>
      <c r="H1081" s="407"/>
      <c r="I1081" s="407"/>
      <c r="J1081" s="407"/>
      <c r="K1081" s="407"/>
      <c r="L1081" s="407"/>
      <c r="M1081" s="407"/>
      <c r="N1081" s="407"/>
      <c r="O1081" s="407"/>
      <c r="P1081" s="407"/>
      <c r="Q1081" s="407"/>
      <c r="R1081" s="407"/>
      <c r="S1081" s="407"/>
      <c r="T1081" s="407"/>
      <c r="U1081" s="407"/>
      <c r="V1081" s="407"/>
      <c r="W1081" s="407"/>
      <c r="X1081" s="407"/>
      <c r="Y1081" s="407"/>
      <c r="Z1081" s="410"/>
      <c r="AA1081" s="407"/>
      <c r="AB1081" s="407"/>
      <c r="AC1081" s="407"/>
      <c r="AD1081" s="407"/>
      <c r="AE1081" s="407"/>
      <c r="AF1081" s="407"/>
      <c r="AG1081" s="407"/>
      <c r="AH1081" s="407"/>
      <c r="AI1081" s="407"/>
      <c r="AJ1081" s="407"/>
      <c r="AK1081" s="405">
        <f t="shared" si="173"/>
        <v>0</v>
      </c>
      <c r="AL1081" s="406"/>
      <c r="AM1081" s="407">
        <f>AK1081</f>
        <v>0</v>
      </c>
      <c r="AN1081" s="583"/>
    </row>
    <row r="1082" spans="3:40" ht="12.75" x14ac:dyDescent="0.2">
      <c r="C1082" s="629" t="s">
        <v>45</v>
      </c>
      <c r="D1082" s="644" t="s">
        <v>46</v>
      </c>
      <c r="E1082" s="411" t="s">
        <v>18</v>
      </c>
      <c r="F1082" s="412"/>
      <c r="G1082" s="411"/>
      <c r="H1082" s="412">
        <f>21.06-(0.73*2)</f>
        <v>19.599999999999998</v>
      </c>
      <c r="I1082" s="411">
        <f>1.96+2.79</f>
        <v>4.75</v>
      </c>
      <c r="J1082" s="412"/>
      <c r="K1082" s="412">
        <f>8.72</f>
        <v>8.7200000000000006</v>
      </c>
      <c r="L1082" s="411">
        <f>14.76+0.19+2.31+0.23</f>
        <v>17.489999999999998</v>
      </c>
      <c r="M1082" s="411">
        <v>1.02</v>
      </c>
      <c r="N1082" s="411">
        <f>4.6+0.39</f>
        <v>4.9899999999999993</v>
      </c>
      <c r="O1082" s="411">
        <v>1.91</v>
      </c>
      <c r="P1082" s="412">
        <f>2.13+4.13+3.34+29.99+5.16</f>
        <v>44.75</v>
      </c>
      <c r="Q1082" s="411"/>
      <c r="R1082" s="411">
        <f>1.1+5.26+2.49+5.22+5.99</f>
        <v>20.060000000000002</v>
      </c>
      <c r="S1082" s="411"/>
      <c r="T1082" s="411"/>
      <c r="U1082" s="411"/>
      <c r="V1082" s="411">
        <f>3.67+4.97+2.35+5.16</f>
        <v>16.149999999999999</v>
      </c>
      <c r="W1082" s="411">
        <f>2.11+3.86</f>
        <v>5.97</v>
      </c>
      <c r="X1082" s="411">
        <v>0.47</v>
      </c>
      <c r="Y1082" s="412"/>
      <c r="Z1082" s="412"/>
      <c r="AA1082" s="412"/>
      <c r="AB1082" s="411">
        <f>31.99+9.99+5.69+1.99</f>
        <v>49.66</v>
      </c>
      <c r="AC1082" s="411"/>
      <c r="AD1082" s="411">
        <f>0.53+0.66+3.49+2.99+4.35+0.38</f>
        <v>12.4</v>
      </c>
      <c r="AE1082" s="412"/>
      <c r="AF1082" s="411"/>
      <c r="AG1082" s="412">
        <f>2.99+2.69+4.09+8.15+0.19</f>
        <v>18.110000000000003</v>
      </c>
      <c r="AH1082" s="412">
        <f>6.66+4.24+4.74+2.35</f>
        <v>17.990000000000002</v>
      </c>
      <c r="AI1082" s="412">
        <f>0.37+8.45</f>
        <v>8.8199999999999985</v>
      </c>
      <c r="AJ1082" s="412"/>
      <c r="AK1082" s="395">
        <f t="shared" si="173"/>
        <v>252.86</v>
      </c>
      <c r="AL1082" s="408">
        <f>AK1082</f>
        <v>252.86</v>
      </c>
      <c r="AM1082" s="409"/>
      <c r="AN1082" s="633">
        <f>SUM(AL1082:AM1083)</f>
        <v>252.86</v>
      </c>
    </row>
    <row r="1083" spans="3:40" ht="12.75" x14ac:dyDescent="0.2">
      <c r="C1083" s="580"/>
      <c r="D1083" s="577"/>
      <c r="E1083" s="404" t="s">
        <v>19</v>
      </c>
      <c r="F1083" s="404"/>
      <c r="G1083" s="404"/>
      <c r="H1083" s="404"/>
      <c r="I1083" s="396"/>
      <c r="J1083" s="396"/>
      <c r="K1083" s="396"/>
      <c r="L1083" s="404"/>
      <c r="M1083" s="396"/>
      <c r="N1083" s="396"/>
      <c r="O1083" s="396"/>
      <c r="P1083" s="396"/>
      <c r="Q1083" s="396"/>
      <c r="R1083" s="396"/>
      <c r="S1083" s="404"/>
      <c r="T1083" s="404"/>
      <c r="U1083" s="396"/>
      <c r="V1083" s="404"/>
      <c r="W1083" s="396"/>
      <c r="X1083" s="404"/>
      <c r="Y1083" s="396"/>
      <c r="Z1083" s="404"/>
      <c r="AA1083" s="396"/>
      <c r="AB1083" s="404"/>
      <c r="AC1083" s="404"/>
      <c r="AD1083" s="404"/>
      <c r="AE1083" s="396"/>
      <c r="AF1083" s="396"/>
      <c r="AG1083" s="396"/>
      <c r="AH1083" s="396"/>
      <c r="AI1083" s="396"/>
      <c r="AJ1083" s="396"/>
      <c r="AK1083" s="405">
        <f t="shared" si="173"/>
        <v>0</v>
      </c>
      <c r="AL1083" s="406"/>
      <c r="AM1083" s="407">
        <f>AK1083</f>
        <v>0</v>
      </c>
      <c r="AN1083" s="583"/>
    </row>
    <row r="1084" spans="3:40" ht="12.75" x14ac:dyDescent="0.2">
      <c r="C1084" s="580"/>
      <c r="D1084" s="643" t="s">
        <v>47</v>
      </c>
      <c r="E1084" s="393" t="s">
        <v>18</v>
      </c>
      <c r="F1084" s="394"/>
      <c r="G1084" s="393"/>
      <c r="H1084" s="393">
        <f>0.73*2</f>
        <v>1.46</v>
      </c>
      <c r="I1084" s="393">
        <v>4.6100000000000003</v>
      </c>
      <c r="J1084" s="393"/>
      <c r="K1084" s="394">
        <f>2.05+1.56+2.34</f>
        <v>5.9499999999999993</v>
      </c>
      <c r="L1084" s="393">
        <f>1.9+1.98+1.95+5.99</f>
        <v>11.82</v>
      </c>
      <c r="M1084" s="393">
        <f>1.69+5.29+(0.95*2)+(0.99*2)</f>
        <v>10.860000000000001</v>
      </c>
      <c r="N1084" s="393">
        <f>4.83+(0.84*4)+1.37</f>
        <v>9.5599999999999987</v>
      </c>
      <c r="O1084" s="393">
        <f>2.99+2.05+(0.85*4)</f>
        <v>8.44</v>
      </c>
      <c r="P1084" s="393">
        <f>7.56+0.87+0.84+0.84+0.87</f>
        <v>10.979999999999999</v>
      </c>
      <c r="Q1084" s="393">
        <f>17.88-5.8</f>
        <v>12.079999999999998</v>
      </c>
      <c r="R1084" s="393">
        <f>3.05+(0.73*4)</f>
        <v>5.97</v>
      </c>
      <c r="S1084" s="393"/>
      <c r="T1084" s="393">
        <f>11.54-5.8</f>
        <v>5.7399999999999993</v>
      </c>
      <c r="U1084" s="393"/>
      <c r="V1084" s="393">
        <f>3.69+2.05+(0.73*4)</f>
        <v>8.66</v>
      </c>
      <c r="W1084" s="394">
        <f>12.2+3.36</f>
        <v>15.559999999999999</v>
      </c>
      <c r="X1084" s="393">
        <f>2.65+7.25+0.73+3.2+7.25+0.73+0.73</f>
        <v>22.540000000000003</v>
      </c>
      <c r="Y1084" s="393">
        <f>41.56-23.2</f>
        <v>18.360000000000003</v>
      </c>
      <c r="Z1084" s="393">
        <v>33.5</v>
      </c>
      <c r="AA1084" s="393">
        <v>21.11</v>
      </c>
      <c r="AB1084" s="393">
        <f>1.29+1.29+0.73+0.73</f>
        <v>4.04</v>
      </c>
      <c r="AC1084" s="393"/>
      <c r="AD1084" s="393">
        <f>3.69+1.46</f>
        <v>5.15</v>
      </c>
      <c r="AE1084" s="393"/>
      <c r="AF1084" s="393">
        <v>16.899999999999999</v>
      </c>
      <c r="AG1084" s="393">
        <f>6.35+5.29+(0.73*4)+2.29</f>
        <v>16.850000000000001</v>
      </c>
      <c r="AH1084" s="394">
        <f>(0.73*2)+3.42</f>
        <v>4.88</v>
      </c>
      <c r="AI1084" s="394">
        <f>2.94+6.01+2.92</f>
        <v>11.87</v>
      </c>
      <c r="AJ1084" s="394"/>
      <c r="AK1084" s="395">
        <f t="shared" si="173"/>
        <v>266.89</v>
      </c>
      <c r="AL1084" s="408">
        <f>AK1084</f>
        <v>266.89</v>
      </c>
      <c r="AM1084" s="409"/>
      <c r="AN1084" s="633">
        <f>SUM(AL1084:AM1085)</f>
        <v>266.89</v>
      </c>
    </row>
    <row r="1085" spans="3:40" ht="12.75" x14ac:dyDescent="0.2">
      <c r="C1085" s="580"/>
      <c r="D1085" s="577"/>
      <c r="E1085" s="404" t="s">
        <v>19</v>
      </c>
      <c r="F1085" s="396"/>
      <c r="G1085" s="396"/>
      <c r="H1085" s="404"/>
      <c r="I1085" s="404"/>
      <c r="J1085" s="404"/>
      <c r="K1085" s="396"/>
      <c r="L1085" s="396"/>
      <c r="M1085" s="396"/>
      <c r="N1085" s="396"/>
      <c r="O1085" s="396"/>
      <c r="P1085" s="404"/>
      <c r="Q1085" s="404"/>
      <c r="R1085" s="404"/>
      <c r="S1085" s="404"/>
      <c r="T1085" s="404"/>
      <c r="U1085" s="404"/>
      <c r="V1085" s="404"/>
      <c r="W1085" s="404"/>
      <c r="X1085" s="404"/>
      <c r="Y1085" s="396"/>
      <c r="Z1085" s="404"/>
      <c r="AA1085" s="396"/>
      <c r="AB1085" s="404"/>
      <c r="AC1085" s="396"/>
      <c r="AD1085" s="396"/>
      <c r="AE1085" s="396"/>
      <c r="AF1085" s="396"/>
      <c r="AG1085" s="396"/>
      <c r="AH1085" s="396"/>
      <c r="AI1085" s="396"/>
      <c r="AJ1085" s="396"/>
      <c r="AK1085" s="405">
        <f t="shared" si="173"/>
        <v>0</v>
      </c>
      <c r="AL1085" s="406"/>
      <c r="AM1085" s="407">
        <f>AK1085</f>
        <v>0</v>
      </c>
      <c r="AN1085" s="583"/>
    </row>
    <row r="1086" spans="3:40" ht="12.75" x14ac:dyDescent="0.2">
      <c r="C1086" s="580"/>
      <c r="D1086" s="643" t="s">
        <v>48</v>
      </c>
      <c r="E1086" s="393" t="s">
        <v>18</v>
      </c>
      <c r="F1086" s="393"/>
      <c r="G1086" s="393">
        <f>8.15-5.8</f>
        <v>2.3500000000000005</v>
      </c>
      <c r="H1086" s="393">
        <f>11.01-5.8</f>
        <v>5.21</v>
      </c>
      <c r="I1086" s="393">
        <v>2.11</v>
      </c>
      <c r="J1086" s="393">
        <f>8.9-5.8</f>
        <v>3.1000000000000005</v>
      </c>
      <c r="K1086" s="393"/>
      <c r="L1086" s="393"/>
      <c r="M1086" s="394"/>
      <c r="N1086" s="394"/>
      <c r="O1086" s="393"/>
      <c r="P1086" s="393"/>
      <c r="Q1086" s="393"/>
      <c r="R1086" s="393"/>
      <c r="S1086" s="393"/>
      <c r="T1086" s="393"/>
      <c r="U1086" s="393"/>
      <c r="V1086" s="393"/>
      <c r="W1086" s="393"/>
      <c r="X1086" s="393"/>
      <c r="Y1086" s="393"/>
      <c r="Z1086" s="394"/>
      <c r="AA1086" s="394"/>
      <c r="AB1086" s="393"/>
      <c r="AC1086" s="393">
        <f>2.35+9.76-5.8</f>
        <v>6.31</v>
      </c>
      <c r="AD1086" s="393"/>
      <c r="AE1086" s="393">
        <f>9.76-5.8</f>
        <v>3.96</v>
      </c>
      <c r="AF1086" s="393">
        <v>3.96</v>
      </c>
      <c r="AG1086" s="394"/>
      <c r="AH1086" s="394"/>
      <c r="AI1086" s="394"/>
      <c r="AJ1086" s="394"/>
      <c r="AK1086" s="395">
        <f t="shared" si="173"/>
        <v>27</v>
      </c>
      <c r="AL1086" s="408">
        <f>AK1086</f>
        <v>27</v>
      </c>
      <c r="AM1086" s="409"/>
      <c r="AN1086" s="633">
        <f>SUM(AL1086:AM1087)</f>
        <v>27</v>
      </c>
    </row>
    <row r="1087" spans="3:40" ht="12.75" x14ac:dyDescent="0.2">
      <c r="C1087" s="580"/>
      <c r="D1087" s="577"/>
      <c r="E1087" s="404" t="s">
        <v>19</v>
      </c>
      <c r="F1087" s="396"/>
      <c r="G1087" s="404"/>
      <c r="H1087" s="404"/>
      <c r="I1087" s="404"/>
      <c r="J1087" s="396"/>
      <c r="K1087" s="404"/>
      <c r="L1087" s="404"/>
      <c r="M1087" s="404"/>
      <c r="N1087" s="396"/>
      <c r="O1087" s="396"/>
      <c r="P1087" s="396"/>
      <c r="Q1087" s="404"/>
      <c r="R1087" s="404"/>
      <c r="S1087" s="404"/>
      <c r="T1087" s="404"/>
      <c r="U1087" s="404"/>
      <c r="V1087" s="404"/>
      <c r="W1087" s="404"/>
      <c r="X1087" s="404"/>
      <c r="Y1087" s="396"/>
      <c r="Z1087" s="396"/>
      <c r="AA1087" s="404"/>
      <c r="AB1087" s="404"/>
      <c r="AC1087" s="404"/>
      <c r="AD1087" s="404"/>
      <c r="AE1087" s="404"/>
      <c r="AF1087" s="396"/>
      <c r="AG1087" s="396"/>
      <c r="AH1087" s="396"/>
      <c r="AI1087" s="396"/>
      <c r="AJ1087" s="396"/>
      <c r="AK1087" s="405">
        <f t="shared" si="173"/>
        <v>0</v>
      </c>
      <c r="AL1087" s="406"/>
      <c r="AM1087" s="407">
        <f>AK1087</f>
        <v>0</v>
      </c>
      <c r="AN1087" s="583"/>
    </row>
    <row r="1088" spans="3:40" ht="12.75" x14ac:dyDescent="0.2">
      <c r="C1088" s="580"/>
      <c r="D1088" s="643" t="s">
        <v>49</v>
      </c>
      <c r="E1088" s="393" t="s">
        <v>18</v>
      </c>
      <c r="F1088" s="393">
        <f>2.19*2</f>
        <v>4.38</v>
      </c>
      <c r="G1088" s="393"/>
      <c r="H1088" s="394"/>
      <c r="I1088" s="393">
        <v>6</v>
      </c>
      <c r="J1088" s="393"/>
      <c r="K1088" s="394"/>
      <c r="L1088" s="394">
        <f>2.19*2</f>
        <v>4.38</v>
      </c>
      <c r="M1088" s="393">
        <v>6</v>
      </c>
      <c r="N1088" s="394"/>
      <c r="O1088" s="393"/>
      <c r="P1088" s="393"/>
      <c r="Q1088" s="393">
        <v>8</v>
      </c>
      <c r="R1088" s="393"/>
      <c r="S1088" s="393"/>
      <c r="T1088" s="393"/>
      <c r="U1088" s="393"/>
      <c r="V1088" s="393"/>
      <c r="W1088" s="393"/>
      <c r="X1088" s="394"/>
      <c r="Y1088" s="394"/>
      <c r="Z1088" s="393"/>
      <c r="AA1088" s="393"/>
      <c r="AB1088" s="393"/>
      <c r="AC1088" s="393"/>
      <c r="AD1088" s="394"/>
      <c r="AE1088" s="393"/>
      <c r="AF1088" s="394"/>
      <c r="AG1088" s="394"/>
      <c r="AH1088" s="394"/>
      <c r="AI1088" s="394"/>
      <c r="AJ1088" s="394"/>
      <c r="AK1088" s="395">
        <f t="shared" si="173"/>
        <v>28.759999999999998</v>
      </c>
      <c r="AL1088" s="408">
        <f>AK1088</f>
        <v>28.759999999999998</v>
      </c>
      <c r="AM1088" s="409"/>
      <c r="AN1088" s="633">
        <f>SUM(AL1088:AM1089)</f>
        <v>28.759999999999998</v>
      </c>
    </row>
    <row r="1089" spans="3:40" ht="12.75" x14ac:dyDescent="0.2">
      <c r="C1089" s="580"/>
      <c r="D1089" s="577"/>
      <c r="E1089" s="404" t="s">
        <v>19</v>
      </c>
      <c r="F1089" s="396"/>
      <c r="G1089" s="396"/>
      <c r="H1089" s="404"/>
      <c r="I1089" s="404"/>
      <c r="J1089" s="404"/>
      <c r="K1089" s="404"/>
      <c r="L1089" s="404"/>
      <c r="M1089" s="404"/>
      <c r="N1089" s="404"/>
      <c r="O1089" s="404"/>
      <c r="P1089" s="404"/>
      <c r="Q1089" s="404"/>
      <c r="R1089" s="404"/>
      <c r="S1089" s="404"/>
      <c r="T1089" s="404"/>
      <c r="U1089" s="404"/>
      <c r="V1089" s="404"/>
      <c r="W1089" s="404"/>
      <c r="X1089" s="404"/>
      <c r="Y1089" s="404"/>
      <c r="Z1089" s="404"/>
      <c r="AA1089" s="396"/>
      <c r="AB1089" s="396"/>
      <c r="AC1089" s="396"/>
      <c r="AD1089" s="396"/>
      <c r="AE1089" s="404"/>
      <c r="AF1089" s="396"/>
      <c r="AG1089" s="396"/>
      <c r="AH1089" s="396"/>
      <c r="AI1089" s="396"/>
      <c r="AJ1089" s="396"/>
      <c r="AK1089" s="405">
        <f t="shared" si="173"/>
        <v>0</v>
      </c>
      <c r="AL1089" s="406"/>
      <c r="AM1089" s="407">
        <f>AK1089</f>
        <v>0</v>
      </c>
      <c r="AN1089" s="583"/>
    </row>
    <row r="1090" spans="3:40" ht="12.75" x14ac:dyDescent="0.2">
      <c r="C1090" s="580"/>
      <c r="D1090" s="643" t="s">
        <v>50</v>
      </c>
      <c r="E1090" s="393" t="s">
        <v>18</v>
      </c>
      <c r="F1090" s="393"/>
      <c r="G1090" s="393">
        <v>5.8</v>
      </c>
      <c r="H1090" s="393">
        <v>5.8</v>
      </c>
      <c r="I1090" s="393">
        <v>5.8</v>
      </c>
      <c r="J1090" s="393">
        <f>5.8*2</f>
        <v>11.6</v>
      </c>
      <c r="K1090" s="393">
        <v>5.8</v>
      </c>
      <c r="L1090" s="393"/>
      <c r="M1090" s="393">
        <v>5.8</v>
      </c>
      <c r="N1090" s="393">
        <v>5.8</v>
      </c>
      <c r="O1090" s="393">
        <v>5.8</v>
      </c>
      <c r="P1090" s="393">
        <v>5.8</v>
      </c>
      <c r="Q1090" s="393">
        <v>5.8</v>
      </c>
      <c r="R1090" s="393">
        <v>5.8</v>
      </c>
      <c r="S1090" s="393">
        <v>5.8</v>
      </c>
      <c r="T1090" s="393">
        <f>5.8*2</f>
        <v>11.6</v>
      </c>
      <c r="U1090" s="393"/>
      <c r="V1090" s="393">
        <v>5.8</v>
      </c>
      <c r="W1090" s="393">
        <v>5.8</v>
      </c>
      <c r="X1090" s="393"/>
      <c r="Y1090" s="393">
        <v>23.2</v>
      </c>
      <c r="Z1090" s="393"/>
      <c r="AA1090" s="393">
        <v>5.8</v>
      </c>
      <c r="AB1090" s="393"/>
      <c r="AC1090" s="393">
        <v>5.8</v>
      </c>
      <c r="AD1090" s="393">
        <v>6.1</v>
      </c>
      <c r="AE1090" s="393">
        <v>5.8</v>
      </c>
      <c r="AF1090" s="393">
        <f>6.1+5.8</f>
        <v>11.899999999999999</v>
      </c>
      <c r="AG1090" s="393">
        <v>5.8</v>
      </c>
      <c r="AH1090" s="393">
        <v>5.8</v>
      </c>
      <c r="AI1090" s="393">
        <v>5.8</v>
      </c>
      <c r="AJ1090" s="394">
        <f>5.8*2</f>
        <v>11.6</v>
      </c>
      <c r="AK1090" s="395">
        <f t="shared" si="173"/>
        <v>186.20000000000002</v>
      </c>
      <c r="AL1090" s="408">
        <f>AK1090</f>
        <v>186.20000000000002</v>
      </c>
      <c r="AM1090" s="409"/>
      <c r="AN1090" s="633">
        <f>SUM(AL1090:AM1091)</f>
        <v>186.20000000000002</v>
      </c>
    </row>
    <row r="1091" spans="3:40" ht="12.75" x14ac:dyDescent="0.2">
      <c r="C1091" s="580"/>
      <c r="D1091" s="577"/>
      <c r="E1091" s="404" t="s">
        <v>19</v>
      </c>
      <c r="F1091" s="404"/>
      <c r="G1091" s="404"/>
      <c r="H1091" s="404"/>
      <c r="I1091" s="404"/>
      <c r="J1091" s="404"/>
      <c r="K1091" s="404"/>
      <c r="L1091" s="404"/>
      <c r="M1091" s="404"/>
      <c r="N1091" s="404"/>
      <c r="O1091" s="404"/>
      <c r="P1091" s="404"/>
      <c r="Q1091" s="404"/>
      <c r="R1091" s="404"/>
      <c r="S1091" s="404"/>
      <c r="T1091" s="404"/>
      <c r="U1091" s="404"/>
      <c r="V1091" s="404"/>
      <c r="W1091" s="404"/>
      <c r="X1091" s="404"/>
      <c r="Y1091" s="404"/>
      <c r="Z1091" s="404"/>
      <c r="AA1091" s="404"/>
      <c r="AB1091" s="404"/>
      <c r="AC1091" s="404"/>
      <c r="AD1091" s="396"/>
      <c r="AE1091" s="396"/>
      <c r="AF1091" s="396"/>
      <c r="AG1091" s="396"/>
      <c r="AH1091" s="396"/>
      <c r="AI1091" s="396"/>
      <c r="AJ1091" s="396"/>
      <c r="AK1091" s="405">
        <f t="shared" si="173"/>
        <v>0</v>
      </c>
      <c r="AL1091" s="406"/>
      <c r="AM1091" s="407">
        <f>AK1091</f>
        <v>0</v>
      </c>
      <c r="AN1091" s="583"/>
    </row>
    <row r="1092" spans="3:40" ht="12.75" x14ac:dyDescent="0.2">
      <c r="C1092" s="580"/>
      <c r="D1092" s="643" t="s">
        <v>1</v>
      </c>
      <c r="E1092" s="393" t="s">
        <v>18</v>
      </c>
      <c r="F1092" s="394"/>
      <c r="G1092" s="394"/>
      <c r="H1092" s="394"/>
      <c r="I1092" s="393"/>
      <c r="J1092" s="393"/>
      <c r="K1092" s="393"/>
      <c r="L1092" s="393"/>
      <c r="M1092" s="394"/>
      <c r="N1092" s="394"/>
      <c r="O1092" s="394"/>
      <c r="P1092" s="394"/>
      <c r="Q1092" s="393"/>
      <c r="R1092" s="393"/>
      <c r="S1092" s="393"/>
      <c r="T1092" s="394"/>
      <c r="U1092" s="393"/>
      <c r="V1092" s="393"/>
      <c r="W1092" s="393"/>
      <c r="X1092" s="393">
        <v>2.09</v>
      </c>
      <c r="Y1092" s="393"/>
      <c r="Z1092" s="393"/>
      <c r="AA1092" s="393"/>
      <c r="AB1092" s="393"/>
      <c r="AC1092" s="393"/>
      <c r="AD1092" s="393"/>
      <c r="AE1092" s="394"/>
      <c r="AF1092" s="394"/>
      <c r="AG1092" s="394"/>
      <c r="AH1092" s="394"/>
      <c r="AI1092" s="394"/>
      <c r="AJ1092" s="394"/>
      <c r="AK1092" s="395">
        <f t="shared" si="173"/>
        <v>2.09</v>
      </c>
      <c r="AL1092" s="403">
        <f>AK1092</f>
        <v>2.09</v>
      </c>
      <c r="AM1092" s="396"/>
      <c r="AN1092" s="633">
        <f>SUM(AL1092:AM1093)</f>
        <v>2.09</v>
      </c>
    </row>
    <row r="1093" spans="3:40" ht="12.75" x14ac:dyDescent="0.2">
      <c r="C1093" s="580"/>
      <c r="D1093" s="577"/>
      <c r="E1093" s="404" t="s">
        <v>19</v>
      </c>
      <c r="F1093" s="396"/>
      <c r="G1093" s="396"/>
      <c r="H1093" s="404"/>
      <c r="I1093" s="404"/>
      <c r="J1093" s="396"/>
      <c r="K1093" s="396"/>
      <c r="L1093" s="396"/>
      <c r="M1093" s="396"/>
      <c r="N1093" s="396"/>
      <c r="O1093" s="396"/>
      <c r="P1093" s="396"/>
      <c r="Q1093" s="404"/>
      <c r="R1093" s="404"/>
      <c r="S1093" s="404"/>
      <c r="T1093" s="396"/>
      <c r="U1093" s="404"/>
      <c r="V1093" s="404"/>
      <c r="W1093" s="396"/>
      <c r="X1093" s="404"/>
      <c r="Y1093" s="404"/>
      <c r="Z1093" s="404"/>
      <c r="AA1093" s="404"/>
      <c r="AB1093" s="404"/>
      <c r="AC1093" s="404"/>
      <c r="AD1093" s="396"/>
      <c r="AE1093" s="396"/>
      <c r="AF1093" s="396"/>
      <c r="AG1093" s="396"/>
      <c r="AH1093" s="396"/>
      <c r="AI1093" s="396"/>
      <c r="AJ1093" s="396"/>
      <c r="AK1093" s="405">
        <f t="shared" si="173"/>
        <v>0</v>
      </c>
      <c r="AL1093" s="403"/>
      <c r="AM1093" s="396">
        <f>AK1093</f>
        <v>0</v>
      </c>
      <c r="AN1093" s="583"/>
    </row>
    <row r="1094" spans="3:40" ht="12.75" x14ac:dyDescent="0.2">
      <c r="C1094" s="580"/>
      <c r="D1094" s="643" t="s">
        <v>78</v>
      </c>
      <c r="E1094" s="393" t="s">
        <v>18</v>
      </c>
      <c r="F1094" s="394"/>
      <c r="G1094" s="394"/>
      <c r="H1094" s="394"/>
      <c r="I1094" s="394"/>
      <c r="J1094" s="394"/>
      <c r="K1094" s="393"/>
      <c r="L1094" s="393"/>
      <c r="M1094" s="393">
        <v>18.75</v>
      </c>
      <c r="N1094" s="393">
        <v>6.97</v>
      </c>
      <c r="O1094" s="393"/>
      <c r="P1094" s="393">
        <v>9.2899999999999991</v>
      </c>
      <c r="Q1094" s="394"/>
      <c r="R1094" s="394"/>
      <c r="S1094" s="394"/>
      <c r="T1094" s="394"/>
      <c r="U1094" s="394"/>
      <c r="V1094" s="394"/>
      <c r="W1094" s="393"/>
      <c r="X1094" s="393"/>
      <c r="Y1094" s="393"/>
      <c r="Z1094" s="393"/>
      <c r="AA1094" s="394"/>
      <c r="AB1094" s="394"/>
      <c r="AC1094" s="394"/>
      <c r="AD1094" s="394"/>
      <c r="AE1094" s="394"/>
      <c r="AF1094" s="394"/>
      <c r="AG1094" s="394"/>
      <c r="AH1094" s="394"/>
      <c r="AI1094" s="394"/>
      <c r="AJ1094" s="394"/>
      <c r="AK1094" s="395">
        <f t="shared" si="173"/>
        <v>35.01</v>
      </c>
      <c r="AL1094" s="408">
        <f>AK1094</f>
        <v>35.01</v>
      </c>
      <c r="AM1094" s="409"/>
      <c r="AN1094" s="634">
        <f>SUM(AL1094:AM1095)</f>
        <v>35.01</v>
      </c>
    </row>
    <row r="1095" spans="3:40" ht="12.75" x14ac:dyDescent="0.2">
      <c r="C1095" s="580"/>
      <c r="D1095" s="577"/>
      <c r="E1095" s="404" t="s">
        <v>19</v>
      </c>
      <c r="F1095" s="396"/>
      <c r="G1095" s="396"/>
      <c r="H1095" s="396"/>
      <c r="I1095" s="396"/>
      <c r="J1095" s="396"/>
      <c r="K1095" s="396"/>
      <c r="L1095" s="396"/>
      <c r="M1095" s="396"/>
      <c r="N1095" s="396"/>
      <c r="O1095" s="396"/>
      <c r="P1095" s="396"/>
      <c r="Q1095" s="396"/>
      <c r="R1095" s="396"/>
      <c r="S1095" s="396"/>
      <c r="T1095" s="396"/>
      <c r="U1095" s="396"/>
      <c r="V1095" s="396"/>
      <c r="W1095" s="396"/>
      <c r="X1095" s="396"/>
      <c r="Y1095" s="396"/>
      <c r="Z1095" s="396"/>
      <c r="AA1095" s="396"/>
      <c r="AB1095" s="396"/>
      <c r="AC1095" s="396"/>
      <c r="AD1095" s="396"/>
      <c r="AE1095" s="396"/>
      <c r="AF1095" s="396"/>
      <c r="AG1095" s="396"/>
      <c r="AH1095" s="396"/>
      <c r="AI1095" s="396"/>
      <c r="AJ1095" s="396"/>
      <c r="AK1095" s="405">
        <f t="shared" si="173"/>
        <v>0</v>
      </c>
      <c r="AL1095" s="406"/>
      <c r="AM1095" s="407">
        <f>AK1095</f>
        <v>0</v>
      </c>
      <c r="AN1095" s="583"/>
    </row>
    <row r="1096" spans="3:40" ht="12.75" x14ac:dyDescent="0.2">
      <c r="C1096" s="580"/>
      <c r="D1096" s="643" t="s">
        <v>52</v>
      </c>
      <c r="E1096" s="393" t="s">
        <v>18</v>
      </c>
      <c r="F1096" s="394"/>
      <c r="G1096" s="394"/>
      <c r="H1096" s="394"/>
      <c r="I1096" s="394"/>
      <c r="J1096" s="394"/>
      <c r="K1096" s="394"/>
      <c r="L1096" s="394"/>
      <c r="M1096" s="394"/>
      <c r="N1096" s="394"/>
      <c r="O1096" s="394"/>
      <c r="P1096" s="394"/>
      <c r="Q1096" s="394"/>
      <c r="R1096" s="394"/>
      <c r="S1096" s="394"/>
      <c r="T1096" s="394"/>
      <c r="U1096" s="394"/>
      <c r="V1096" s="394"/>
      <c r="W1096" s="394"/>
      <c r="X1096" s="394"/>
      <c r="Y1096" s="393"/>
      <c r="Z1096" s="393"/>
      <c r="AA1096" s="394"/>
      <c r="AB1096" s="394"/>
      <c r="AC1096" s="394"/>
      <c r="AD1096" s="394"/>
      <c r="AE1096" s="394"/>
      <c r="AF1096" s="394"/>
      <c r="AG1096" s="394"/>
      <c r="AH1096" s="394"/>
      <c r="AI1096" s="394"/>
      <c r="AJ1096" s="414"/>
      <c r="AK1096" s="395">
        <f t="shared" si="173"/>
        <v>0</v>
      </c>
      <c r="AL1096" s="408">
        <f>AK1096</f>
        <v>0</v>
      </c>
      <c r="AM1096" s="409"/>
      <c r="AN1096" s="633">
        <f>SUM(AL1096:AM1097)</f>
        <v>0</v>
      </c>
    </row>
    <row r="1097" spans="3:40" ht="12.75" x14ac:dyDescent="0.2">
      <c r="C1097" s="581"/>
      <c r="D1097" s="585"/>
      <c r="E1097" s="404" t="s">
        <v>19</v>
      </c>
      <c r="F1097" s="396"/>
      <c r="G1097" s="396"/>
      <c r="H1097" s="396"/>
      <c r="I1097" s="396"/>
      <c r="J1097" s="396"/>
      <c r="K1097" s="396"/>
      <c r="L1097" s="396"/>
      <c r="M1097" s="396"/>
      <c r="N1097" s="396"/>
      <c r="O1097" s="396"/>
      <c r="P1097" s="396"/>
      <c r="Q1097" s="396"/>
      <c r="R1097" s="396"/>
      <c r="S1097" s="396"/>
      <c r="T1097" s="396"/>
      <c r="U1097" s="396"/>
      <c r="V1097" s="396"/>
      <c r="W1097" s="396"/>
      <c r="X1097" s="396"/>
      <c r="Y1097" s="404"/>
      <c r="Z1097" s="404"/>
      <c r="AA1097" s="396"/>
      <c r="AB1097" s="396"/>
      <c r="AC1097" s="396"/>
      <c r="AD1097" s="396"/>
      <c r="AE1097" s="396"/>
      <c r="AF1097" s="396"/>
      <c r="AG1097" s="396"/>
      <c r="AH1097" s="396"/>
      <c r="AI1097" s="396"/>
      <c r="AJ1097" s="415"/>
      <c r="AK1097" s="405">
        <f t="shared" si="173"/>
        <v>0</v>
      </c>
      <c r="AL1097" s="406"/>
      <c r="AM1097" s="407">
        <f>AK1097</f>
        <v>0</v>
      </c>
      <c r="AN1097" s="583"/>
    </row>
    <row r="1098" spans="3:40" ht="12.75" x14ac:dyDescent="0.2">
      <c r="C1098" s="629" t="s">
        <v>53</v>
      </c>
      <c r="D1098" s="416" t="s">
        <v>54</v>
      </c>
      <c r="E1098" s="411" t="s">
        <v>18</v>
      </c>
      <c r="F1098" s="412"/>
      <c r="G1098" s="411"/>
      <c r="H1098" s="412"/>
      <c r="I1098" s="412"/>
      <c r="J1098" s="412"/>
      <c r="K1098" s="411"/>
      <c r="L1098" s="412"/>
      <c r="M1098" s="412"/>
      <c r="N1098" s="412"/>
      <c r="O1098" s="412"/>
      <c r="P1098" s="412"/>
      <c r="Q1098" s="412"/>
      <c r="R1098" s="412"/>
      <c r="S1098" s="412"/>
      <c r="T1098" s="412"/>
      <c r="U1098" s="412"/>
      <c r="V1098" s="412"/>
      <c r="W1098" s="412"/>
      <c r="X1098" s="412"/>
      <c r="Y1098" s="412"/>
      <c r="Z1098" s="412"/>
      <c r="AA1098" s="412"/>
      <c r="AB1098" s="412"/>
      <c r="AC1098" s="412"/>
      <c r="AD1098" s="411">
        <v>175.13</v>
      </c>
      <c r="AE1098" s="412"/>
      <c r="AF1098" s="412"/>
      <c r="AG1098" s="412"/>
      <c r="AH1098" s="412"/>
      <c r="AI1098" s="412"/>
      <c r="AJ1098" s="417"/>
      <c r="AK1098" s="395">
        <f t="shared" si="173"/>
        <v>175.13</v>
      </c>
      <c r="AL1098" s="394">
        <f t="shared" ref="AL1098:AL1099" si="176">AK1098</f>
        <v>175.13</v>
      </c>
      <c r="AM1098" s="396"/>
      <c r="AN1098" s="374">
        <f>AL1098</f>
        <v>175.13</v>
      </c>
    </row>
    <row r="1099" spans="3:40" ht="12.75" x14ac:dyDescent="0.2">
      <c r="C1099" s="580"/>
      <c r="D1099" s="643" t="s">
        <v>55</v>
      </c>
      <c r="E1099" s="393" t="s">
        <v>18</v>
      </c>
      <c r="F1099" s="394"/>
      <c r="G1099" s="394"/>
      <c r="H1099" s="393">
        <v>17.07</v>
      </c>
      <c r="I1099" s="394"/>
      <c r="J1099" s="394"/>
      <c r="K1099" s="394"/>
      <c r="L1099" s="393"/>
      <c r="M1099" s="394"/>
      <c r="N1099" s="393">
        <v>6.24</v>
      </c>
      <c r="O1099" s="394"/>
      <c r="P1099" s="394"/>
      <c r="Q1099" s="394"/>
      <c r="R1099" s="394"/>
      <c r="S1099" s="394"/>
      <c r="T1099" s="394"/>
      <c r="U1099" s="393"/>
      <c r="V1099" s="393">
        <v>25.85</v>
      </c>
      <c r="W1099" s="393">
        <v>41.07</v>
      </c>
      <c r="X1099" s="394"/>
      <c r="Y1099" s="394"/>
      <c r="Z1099" s="394"/>
      <c r="AA1099" s="394"/>
      <c r="AB1099" s="393">
        <v>52.69</v>
      </c>
      <c r="AC1099" s="393"/>
      <c r="AD1099" s="393">
        <f>256.58+80.54</f>
        <v>337.12</v>
      </c>
      <c r="AE1099" s="393">
        <v>46.43</v>
      </c>
      <c r="AF1099" s="394">
        <f>12.13+30.25+30.65+13.92</f>
        <v>86.95</v>
      </c>
      <c r="AG1099" s="393">
        <v>40.090000000000003</v>
      </c>
      <c r="AH1099" s="394"/>
      <c r="AI1099" s="394"/>
      <c r="AJ1099" s="414"/>
      <c r="AK1099" s="395">
        <f t="shared" si="173"/>
        <v>653.5100000000001</v>
      </c>
      <c r="AL1099" s="408">
        <f t="shared" si="176"/>
        <v>653.5100000000001</v>
      </c>
      <c r="AM1099" s="409"/>
      <c r="AN1099" s="633">
        <f>SUM(AL1099:AM1100)</f>
        <v>803.5100000000001</v>
      </c>
    </row>
    <row r="1100" spans="3:40" ht="12.75" x14ac:dyDescent="0.2">
      <c r="C1100" s="580"/>
      <c r="D1100" s="577"/>
      <c r="E1100" s="404" t="s">
        <v>19</v>
      </c>
      <c r="F1100" s="396"/>
      <c r="G1100" s="396"/>
      <c r="H1100" s="404"/>
      <c r="I1100" s="404">
        <v>150</v>
      </c>
      <c r="J1100" s="396"/>
      <c r="K1100" s="396"/>
      <c r="L1100" s="404"/>
      <c r="M1100" s="396"/>
      <c r="N1100" s="396"/>
      <c r="O1100" s="396"/>
      <c r="P1100" s="396"/>
      <c r="Q1100" s="396"/>
      <c r="R1100" s="396"/>
      <c r="S1100" s="396"/>
      <c r="T1100" s="396"/>
      <c r="U1100" s="404"/>
      <c r="V1100" s="404"/>
      <c r="W1100" s="396"/>
      <c r="X1100" s="396"/>
      <c r="Y1100" s="396"/>
      <c r="Z1100" s="396"/>
      <c r="AA1100" s="396"/>
      <c r="AB1100" s="396"/>
      <c r="AC1100" s="404"/>
      <c r="AD1100" s="396"/>
      <c r="AE1100" s="396"/>
      <c r="AF1100" s="396"/>
      <c r="AG1100" s="396"/>
      <c r="AH1100" s="396"/>
      <c r="AI1100" s="396"/>
      <c r="AJ1100" s="415"/>
      <c r="AK1100" s="405">
        <f t="shared" si="173"/>
        <v>150</v>
      </c>
      <c r="AL1100" s="406"/>
      <c r="AM1100" s="407">
        <f>AK1100</f>
        <v>150</v>
      </c>
      <c r="AN1100" s="583"/>
    </row>
    <row r="1101" spans="3:40" ht="12.75" x14ac:dyDescent="0.2">
      <c r="C1101" s="580"/>
      <c r="D1101" s="643" t="s">
        <v>56</v>
      </c>
      <c r="E1101" s="393" t="s">
        <v>18</v>
      </c>
      <c r="F1101" s="394"/>
      <c r="G1101" s="394"/>
      <c r="H1101" s="393"/>
      <c r="I1101" s="394"/>
      <c r="J1101" s="394"/>
      <c r="K1101" s="394"/>
      <c r="L1101" s="394"/>
      <c r="M1101" s="394"/>
      <c r="N1101" s="393"/>
      <c r="O1101" s="394"/>
      <c r="P1101" s="394"/>
      <c r="Q1101" s="394"/>
      <c r="R1101" s="394"/>
      <c r="S1101" s="394"/>
      <c r="T1101" s="393"/>
      <c r="U1101" s="393"/>
      <c r="V1101" s="394"/>
      <c r="W1101" s="394"/>
      <c r="X1101" s="394"/>
      <c r="Y1101" s="394"/>
      <c r="Z1101" s="394"/>
      <c r="AA1101" s="394"/>
      <c r="AB1101" s="394"/>
      <c r="AC1101" s="394"/>
      <c r="AD1101" s="394"/>
      <c r="AE1101" s="394"/>
      <c r="AF1101" s="394"/>
      <c r="AG1101" s="394"/>
      <c r="AH1101" s="394"/>
      <c r="AI1101" s="394"/>
      <c r="AJ1101" s="414"/>
      <c r="AK1101" s="395">
        <f t="shared" si="173"/>
        <v>0</v>
      </c>
      <c r="AL1101" s="408">
        <f>AK1101</f>
        <v>0</v>
      </c>
      <c r="AM1101" s="409"/>
      <c r="AN1101" s="633">
        <f>SUM(AL1101:AM1102)</f>
        <v>0</v>
      </c>
    </row>
    <row r="1102" spans="3:40" ht="12.75" x14ac:dyDescent="0.2">
      <c r="C1102" s="580"/>
      <c r="D1102" s="577"/>
      <c r="E1102" s="404" t="s">
        <v>19</v>
      </c>
      <c r="F1102" s="396"/>
      <c r="G1102" s="396"/>
      <c r="H1102" s="396"/>
      <c r="I1102" s="396"/>
      <c r="J1102" s="396"/>
      <c r="K1102" s="396"/>
      <c r="L1102" s="396"/>
      <c r="M1102" s="396"/>
      <c r="N1102" s="396"/>
      <c r="O1102" s="396"/>
      <c r="P1102" s="396"/>
      <c r="Q1102" s="396"/>
      <c r="R1102" s="396"/>
      <c r="S1102" s="396"/>
      <c r="T1102" s="396"/>
      <c r="U1102" s="396"/>
      <c r="V1102" s="396"/>
      <c r="W1102" s="396"/>
      <c r="X1102" s="396"/>
      <c r="Y1102" s="396"/>
      <c r="Z1102" s="396"/>
      <c r="AA1102" s="396"/>
      <c r="AB1102" s="396"/>
      <c r="AC1102" s="396"/>
      <c r="AD1102" s="396"/>
      <c r="AE1102" s="396"/>
      <c r="AF1102" s="396"/>
      <c r="AG1102" s="396"/>
      <c r="AH1102" s="396"/>
      <c r="AI1102" s="396"/>
      <c r="AJ1102" s="415"/>
      <c r="AK1102" s="405">
        <f t="shared" si="173"/>
        <v>0</v>
      </c>
      <c r="AL1102" s="406"/>
      <c r="AM1102" s="407">
        <f>AK1102</f>
        <v>0</v>
      </c>
      <c r="AN1102" s="583"/>
    </row>
    <row r="1103" spans="3:40" ht="12.75" x14ac:dyDescent="0.2">
      <c r="C1103" s="580"/>
      <c r="D1103" s="643" t="s">
        <v>57</v>
      </c>
      <c r="E1103" s="393" t="s">
        <v>18</v>
      </c>
      <c r="F1103" s="394"/>
      <c r="G1103" s="394"/>
      <c r="H1103" s="394"/>
      <c r="I1103" s="394"/>
      <c r="J1103" s="394"/>
      <c r="K1103" s="394"/>
      <c r="L1103" s="394"/>
      <c r="M1103" s="393"/>
      <c r="N1103" s="394"/>
      <c r="O1103" s="394"/>
      <c r="P1103" s="394"/>
      <c r="Q1103" s="394"/>
      <c r="R1103" s="394"/>
      <c r="S1103" s="394"/>
      <c r="T1103" s="393"/>
      <c r="U1103" s="394"/>
      <c r="V1103" s="394"/>
      <c r="W1103" s="394"/>
      <c r="X1103" s="394"/>
      <c r="Y1103" s="393"/>
      <c r="Z1103" s="394"/>
      <c r="AA1103" s="394"/>
      <c r="AB1103" s="394"/>
      <c r="AC1103" s="394"/>
      <c r="AD1103" s="394"/>
      <c r="AE1103" s="394"/>
      <c r="AF1103" s="394"/>
      <c r="AG1103" s="394"/>
      <c r="AH1103" s="394"/>
      <c r="AI1103" s="394"/>
      <c r="AJ1103" s="414"/>
      <c r="AK1103" s="395">
        <f t="shared" si="173"/>
        <v>0</v>
      </c>
      <c r="AL1103" s="408">
        <f>AK1103</f>
        <v>0</v>
      </c>
      <c r="AM1103" s="409"/>
      <c r="AN1103" s="633">
        <f>SUM(AL1103:AM1104)</f>
        <v>0</v>
      </c>
    </row>
    <row r="1104" spans="3:40" ht="12.75" x14ac:dyDescent="0.2">
      <c r="C1104" s="581"/>
      <c r="D1104" s="585"/>
      <c r="E1104" s="410" t="s">
        <v>19</v>
      </c>
      <c r="F1104" s="407"/>
      <c r="G1104" s="407"/>
      <c r="H1104" s="407"/>
      <c r="I1104" s="407"/>
      <c r="J1104" s="407"/>
      <c r="K1104" s="407"/>
      <c r="L1104" s="407"/>
      <c r="M1104" s="407"/>
      <c r="N1104" s="407"/>
      <c r="O1104" s="407"/>
      <c r="P1104" s="407"/>
      <c r="Q1104" s="407"/>
      <c r="R1104" s="407"/>
      <c r="S1104" s="407"/>
      <c r="T1104" s="410"/>
      <c r="U1104" s="407"/>
      <c r="V1104" s="407"/>
      <c r="W1104" s="407"/>
      <c r="X1104" s="407"/>
      <c r="Y1104" s="407"/>
      <c r="Z1104" s="407"/>
      <c r="AA1104" s="407"/>
      <c r="AB1104" s="407"/>
      <c r="AC1104" s="407"/>
      <c r="AD1104" s="407"/>
      <c r="AE1104" s="407"/>
      <c r="AF1104" s="407"/>
      <c r="AG1104" s="407"/>
      <c r="AH1104" s="407"/>
      <c r="AI1104" s="407"/>
      <c r="AJ1104" s="418"/>
      <c r="AK1104" s="405">
        <f t="shared" si="173"/>
        <v>0</v>
      </c>
      <c r="AL1104" s="406"/>
      <c r="AM1104" s="407">
        <f>AK1104</f>
        <v>0</v>
      </c>
      <c r="AN1104" s="583"/>
    </row>
    <row r="1105" spans="3:40" ht="12.75" x14ac:dyDescent="0.2">
      <c r="C1105" s="629" t="s">
        <v>58</v>
      </c>
      <c r="D1105" s="644" t="s">
        <v>59</v>
      </c>
      <c r="E1105" s="411" t="s">
        <v>18</v>
      </c>
      <c r="F1105" s="412"/>
      <c r="G1105" s="412"/>
      <c r="H1105" s="412"/>
      <c r="I1105" s="412"/>
      <c r="J1105" s="412"/>
      <c r="K1105" s="411"/>
      <c r="L1105" s="411"/>
      <c r="M1105" s="411"/>
      <c r="N1105" s="412"/>
      <c r="O1105" s="412"/>
      <c r="P1105" s="412"/>
      <c r="Q1105" s="412"/>
      <c r="R1105" s="412"/>
      <c r="S1105" s="411"/>
      <c r="T1105" s="412"/>
      <c r="U1105" s="412"/>
      <c r="V1105" s="412"/>
      <c r="W1105" s="412"/>
      <c r="X1105" s="411">
        <f>9+4+31.18</f>
        <v>44.18</v>
      </c>
      <c r="Y1105" s="411"/>
      <c r="Z1105" s="411"/>
      <c r="AA1105" s="412"/>
      <c r="AB1105" s="412"/>
      <c r="AC1105" s="412"/>
      <c r="AD1105" s="412"/>
      <c r="AE1105" s="412"/>
      <c r="AF1105" s="412"/>
      <c r="AG1105" s="411">
        <v>8.99</v>
      </c>
      <c r="AH1105" s="412"/>
      <c r="AI1105" s="412"/>
      <c r="AJ1105" s="417">
        <f>43.26-11.6</f>
        <v>31.659999999999997</v>
      </c>
      <c r="AK1105" s="395">
        <f t="shared" si="173"/>
        <v>84.83</v>
      </c>
      <c r="AL1105" s="408">
        <f>AK1105</f>
        <v>84.83</v>
      </c>
      <c r="AM1105" s="409"/>
      <c r="AN1105" s="635">
        <f>SUM(AL1105:AM1106)</f>
        <v>109.83</v>
      </c>
    </row>
    <row r="1106" spans="3:40" ht="12.75" x14ac:dyDescent="0.2">
      <c r="C1106" s="580"/>
      <c r="D1106" s="577"/>
      <c r="E1106" s="404" t="s">
        <v>19</v>
      </c>
      <c r="F1106" s="396"/>
      <c r="G1106" s="396"/>
      <c r="H1106" s="396"/>
      <c r="I1106" s="396"/>
      <c r="J1106" s="396"/>
      <c r="K1106" s="404"/>
      <c r="L1106" s="396"/>
      <c r="M1106" s="396"/>
      <c r="N1106" s="404">
        <v>25</v>
      </c>
      <c r="O1106" s="404"/>
      <c r="P1106" s="396"/>
      <c r="Q1106" s="396"/>
      <c r="R1106" s="396"/>
      <c r="S1106" s="396"/>
      <c r="T1106" s="396"/>
      <c r="U1106" s="396"/>
      <c r="V1106" s="396"/>
      <c r="W1106" s="404"/>
      <c r="X1106" s="396"/>
      <c r="Y1106" s="396"/>
      <c r="Z1106" s="396"/>
      <c r="AA1106" s="396"/>
      <c r="AB1106" s="396"/>
      <c r="AC1106" s="396"/>
      <c r="AD1106" s="396"/>
      <c r="AE1106" s="396"/>
      <c r="AF1106" s="396"/>
      <c r="AG1106" s="396"/>
      <c r="AH1106" s="396"/>
      <c r="AI1106" s="396"/>
      <c r="AJ1106" s="415"/>
      <c r="AK1106" s="405">
        <f t="shared" si="173"/>
        <v>25</v>
      </c>
      <c r="AL1106" s="406"/>
      <c r="AM1106" s="407">
        <f>AK1106</f>
        <v>25</v>
      </c>
      <c r="AN1106" s="585"/>
    </row>
    <row r="1107" spans="3:40" ht="12.75" x14ac:dyDescent="0.2">
      <c r="C1107" s="580"/>
      <c r="D1107" s="643" t="s">
        <v>60</v>
      </c>
      <c r="E1107" s="393" t="s">
        <v>18</v>
      </c>
      <c r="F1107" s="394"/>
      <c r="G1107" s="394"/>
      <c r="H1107" s="394"/>
      <c r="I1107" s="394"/>
      <c r="J1107" s="394">
        <f>38.84</f>
        <v>38.840000000000003</v>
      </c>
      <c r="K1107" s="393"/>
      <c r="L1107" s="394"/>
      <c r="M1107" s="393"/>
      <c r="N1107" s="393"/>
      <c r="O1107" s="394"/>
      <c r="P1107" s="394"/>
      <c r="Q1107" s="394"/>
      <c r="R1107" s="394"/>
      <c r="S1107" s="393"/>
      <c r="T1107" s="394"/>
      <c r="U1107" s="394"/>
      <c r="V1107" s="394"/>
      <c r="W1107" s="394"/>
      <c r="X1107" s="394"/>
      <c r="Y1107" s="394"/>
      <c r="Z1107" s="394"/>
      <c r="AA1107" s="394"/>
      <c r="AB1107" s="394"/>
      <c r="AC1107" s="394"/>
      <c r="AD1107" s="394"/>
      <c r="AE1107" s="394"/>
      <c r="AF1107" s="394"/>
      <c r="AG1107" s="394"/>
      <c r="AH1107" s="394"/>
      <c r="AI1107" s="394"/>
      <c r="AJ1107" s="414"/>
      <c r="AK1107" s="395">
        <f t="shared" si="173"/>
        <v>38.840000000000003</v>
      </c>
      <c r="AL1107" s="403">
        <f>AK1107</f>
        <v>38.840000000000003</v>
      </c>
      <c r="AM1107" s="396"/>
      <c r="AN1107" s="633">
        <f>SUM(AL1107:AM1108)</f>
        <v>38.840000000000003</v>
      </c>
    </row>
    <row r="1108" spans="3:40" ht="12.75" x14ac:dyDescent="0.2">
      <c r="C1108" s="580"/>
      <c r="D1108" s="577"/>
      <c r="E1108" s="404" t="s">
        <v>19</v>
      </c>
      <c r="F1108" s="396"/>
      <c r="G1108" s="396"/>
      <c r="H1108" s="396"/>
      <c r="I1108" s="396"/>
      <c r="J1108" s="396"/>
      <c r="K1108" s="404"/>
      <c r="L1108" s="396"/>
      <c r="M1108" s="396"/>
      <c r="N1108" s="396"/>
      <c r="O1108" s="396"/>
      <c r="P1108" s="396"/>
      <c r="Q1108" s="404"/>
      <c r="R1108" s="396"/>
      <c r="S1108" s="396"/>
      <c r="T1108" s="396"/>
      <c r="U1108" s="396"/>
      <c r="V1108" s="396"/>
      <c r="W1108" s="396"/>
      <c r="X1108" s="396"/>
      <c r="Y1108" s="396"/>
      <c r="Z1108" s="396"/>
      <c r="AA1108" s="396"/>
      <c r="AB1108" s="396"/>
      <c r="AC1108" s="396"/>
      <c r="AD1108" s="396"/>
      <c r="AE1108" s="396"/>
      <c r="AF1108" s="396"/>
      <c r="AG1108" s="396"/>
      <c r="AH1108" s="396"/>
      <c r="AI1108" s="396"/>
      <c r="AJ1108" s="415"/>
      <c r="AK1108" s="405">
        <f t="shared" si="173"/>
        <v>0</v>
      </c>
      <c r="AL1108" s="403"/>
      <c r="AM1108" s="396">
        <f>AK1108</f>
        <v>0</v>
      </c>
      <c r="AN1108" s="583"/>
    </row>
    <row r="1109" spans="3:40" ht="12.75" x14ac:dyDescent="0.2">
      <c r="C1109" s="580"/>
      <c r="D1109" s="643" t="s">
        <v>61</v>
      </c>
      <c r="E1109" s="393" t="s">
        <v>18</v>
      </c>
      <c r="F1109" s="393"/>
      <c r="G1109" s="394"/>
      <c r="H1109" s="394"/>
      <c r="I1109" s="394"/>
      <c r="J1109" s="394"/>
      <c r="K1109" s="394"/>
      <c r="L1109" s="394"/>
      <c r="M1109" s="394"/>
      <c r="N1109" s="394"/>
      <c r="O1109" s="394"/>
      <c r="P1109" s="394"/>
      <c r="Q1109" s="394"/>
      <c r="R1109" s="394"/>
      <c r="S1109" s="393">
        <v>111</v>
      </c>
      <c r="T1109" s="394"/>
      <c r="U1109" s="394"/>
      <c r="V1109" s="394"/>
      <c r="W1109" s="394"/>
      <c r="X1109" s="394"/>
      <c r="Y1109" s="394"/>
      <c r="Z1109" s="394"/>
      <c r="AA1109" s="394"/>
      <c r="AB1109" s="394"/>
      <c r="AC1109" s="393"/>
      <c r="AD1109" s="394"/>
      <c r="AE1109" s="394"/>
      <c r="AF1109" s="393"/>
      <c r="AG1109" s="394"/>
      <c r="AH1109" s="394"/>
      <c r="AI1109" s="394"/>
      <c r="AJ1109" s="414"/>
      <c r="AK1109" s="414">
        <f t="shared" si="173"/>
        <v>111</v>
      </c>
      <c r="AL1109" s="408">
        <f>AK1109</f>
        <v>111</v>
      </c>
      <c r="AM1109" s="409"/>
      <c r="AN1109" s="635">
        <f>SUM(AL1109:AM1110)</f>
        <v>111</v>
      </c>
    </row>
    <row r="1110" spans="3:40" ht="12.75" x14ac:dyDescent="0.2">
      <c r="C1110" s="580"/>
      <c r="D1110" s="577"/>
      <c r="E1110" s="404" t="s">
        <v>19</v>
      </c>
      <c r="F1110" s="396"/>
      <c r="G1110" s="396"/>
      <c r="H1110" s="396"/>
      <c r="I1110" s="396"/>
      <c r="J1110" s="396"/>
      <c r="K1110" s="396"/>
      <c r="L1110" s="396"/>
      <c r="M1110" s="396"/>
      <c r="N1110" s="396"/>
      <c r="O1110" s="396"/>
      <c r="P1110" s="396"/>
      <c r="Q1110" s="396"/>
      <c r="R1110" s="396"/>
      <c r="S1110" s="396"/>
      <c r="T1110" s="396"/>
      <c r="U1110" s="396"/>
      <c r="V1110" s="396"/>
      <c r="W1110" s="404"/>
      <c r="X1110" s="396"/>
      <c r="Y1110" s="404"/>
      <c r="Z1110" s="396"/>
      <c r="AA1110" s="396"/>
      <c r="AB1110" s="396"/>
      <c r="AC1110" s="396"/>
      <c r="AD1110" s="396"/>
      <c r="AE1110" s="396"/>
      <c r="AF1110" s="396"/>
      <c r="AG1110" s="396"/>
      <c r="AH1110" s="396"/>
      <c r="AI1110" s="396"/>
      <c r="AJ1110" s="415"/>
      <c r="AK1110" s="415">
        <f t="shared" si="173"/>
        <v>0</v>
      </c>
      <c r="AL1110" s="406"/>
      <c r="AM1110" s="407">
        <f>AK1110</f>
        <v>0</v>
      </c>
      <c r="AN1110" s="585"/>
    </row>
    <row r="1111" spans="3:40" ht="12.75" x14ac:dyDescent="0.2">
      <c r="C1111" s="580"/>
      <c r="D1111" s="643" t="s">
        <v>62</v>
      </c>
      <c r="E1111" s="393" t="s">
        <v>18</v>
      </c>
      <c r="F1111" s="394"/>
      <c r="G1111" s="394"/>
      <c r="H1111" s="393">
        <v>10</v>
      </c>
      <c r="I1111" s="393"/>
      <c r="J1111" s="394"/>
      <c r="K1111" s="394"/>
      <c r="L1111" s="394"/>
      <c r="M1111" s="394"/>
      <c r="N1111" s="393"/>
      <c r="O1111" s="394"/>
      <c r="P1111" s="393"/>
      <c r="Q1111" s="393"/>
      <c r="R1111" s="394"/>
      <c r="S1111" s="394"/>
      <c r="T1111" s="394"/>
      <c r="U1111" s="394"/>
      <c r="V1111" s="393"/>
      <c r="W1111" s="393"/>
      <c r="X1111" s="393"/>
      <c r="Y1111" s="393"/>
      <c r="Z1111" s="394"/>
      <c r="AA1111" s="394"/>
      <c r="AB1111" s="394"/>
      <c r="AC1111" s="394"/>
      <c r="AD1111" s="394"/>
      <c r="AE1111" s="394"/>
      <c r="AF1111" s="394"/>
      <c r="AG1111" s="394"/>
      <c r="AH1111" s="394"/>
      <c r="AI1111" s="394"/>
      <c r="AJ1111" s="414"/>
      <c r="AK1111" s="414">
        <f t="shared" si="173"/>
        <v>10</v>
      </c>
      <c r="AL1111" s="408">
        <f>AK1111</f>
        <v>10</v>
      </c>
      <c r="AM1111" s="409"/>
      <c r="AN1111" s="633">
        <f>SUM(AL1111:AM1112)</f>
        <v>10</v>
      </c>
    </row>
    <row r="1112" spans="3:40" ht="12.75" x14ac:dyDescent="0.2">
      <c r="C1112" s="581"/>
      <c r="D1112" s="577"/>
      <c r="E1112" s="404" t="s">
        <v>19</v>
      </c>
      <c r="F1112" s="396"/>
      <c r="G1112" s="396"/>
      <c r="H1112" s="404"/>
      <c r="I1112" s="396"/>
      <c r="J1112" s="396"/>
      <c r="K1112" s="396"/>
      <c r="L1112" s="404"/>
      <c r="M1112" s="396"/>
      <c r="N1112" s="396"/>
      <c r="O1112" s="396"/>
      <c r="P1112" s="404"/>
      <c r="Q1112" s="396"/>
      <c r="R1112" s="396"/>
      <c r="S1112" s="404"/>
      <c r="T1112" s="396"/>
      <c r="U1112" s="396"/>
      <c r="V1112" s="404"/>
      <c r="W1112" s="404"/>
      <c r="X1112" s="396"/>
      <c r="Y1112" s="404"/>
      <c r="Z1112" s="396"/>
      <c r="AA1112" s="396"/>
      <c r="AB1112" s="396"/>
      <c r="AC1112" s="396"/>
      <c r="AD1112" s="396"/>
      <c r="AE1112" s="396"/>
      <c r="AF1112" s="396"/>
      <c r="AG1112" s="396"/>
      <c r="AH1112" s="396"/>
      <c r="AI1112" s="396"/>
      <c r="AJ1112" s="415"/>
      <c r="AK1112" s="415">
        <f t="shared" si="173"/>
        <v>0</v>
      </c>
      <c r="AL1112" s="406"/>
      <c r="AM1112" s="407">
        <f>AK1112</f>
        <v>0</v>
      </c>
      <c r="AN1112" s="583"/>
    </row>
    <row r="1113" spans="3:40" ht="12.75" x14ac:dyDescent="0.2">
      <c r="C1113" s="629" t="s">
        <v>63</v>
      </c>
      <c r="D1113" s="644" t="s">
        <v>75</v>
      </c>
      <c r="E1113" s="411" t="s">
        <v>18</v>
      </c>
      <c r="F1113" s="412"/>
      <c r="G1113" s="412"/>
      <c r="H1113" s="412"/>
      <c r="I1113" s="412"/>
      <c r="J1113" s="412"/>
      <c r="K1113" s="412"/>
      <c r="L1113" s="412"/>
      <c r="M1113" s="412"/>
      <c r="N1113" s="412"/>
      <c r="O1113" s="412"/>
      <c r="P1113" s="412"/>
      <c r="Q1113" s="412"/>
      <c r="R1113" s="412"/>
      <c r="S1113" s="412"/>
      <c r="T1113" s="412"/>
      <c r="U1113" s="412"/>
      <c r="V1113" s="412"/>
      <c r="W1113" s="411"/>
      <c r="X1113" s="412"/>
      <c r="Y1113" s="411"/>
      <c r="Z1113" s="412"/>
      <c r="AA1113" s="412"/>
      <c r="AB1113" s="412"/>
      <c r="AC1113" s="412"/>
      <c r="AD1113" s="412"/>
      <c r="AE1113" s="412"/>
      <c r="AF1113" s="412"/>
      <c r="AG1113" s="412"/>
      <c r="AH1113" s="412"/>
      <c r="AI1113" s="412"/>
      <c r="AJ1113" s="417"/>
      <c r="AK1113" s="395">
        <f t="shared" si="173"/>
        <v>0</v>
      </c>
      <c r="AL1113" s="412">
        <f>AK1113</f>
        <v>0</v>
      </c>
      <c r="AM1113" s="409"/>
      <c r="AN1113" s="633">
        <f>SUM(AL1113:AM1114)</f>
        <v>0</v>
      </c>
    </row>
    <row r="1114" spans="3:40" ht="12.75" x14ac:dyDescent="0.2">
      <c r="C1114" s="580"/>
      <c r="D1114" s="577"/>
      <c r="E1114" s="404" t="s">
        <v>19</v>
      </c>
      <c r="F1114" s="396"/>
      <c r="G1114" s="396"/>
      <c r="H1114" s="396"/>
      <c r="I1114" s="396"/>
      <c r="J1114" s="396"/>
      <c r="K1114" s="396"/>
      <c r="L1114" s="396"/>
      <c r="M1114" s="396"/>
      <c r="N1114" s="396"/>
      <c r="O1114" s="396"/>
      <c r="P1114" s="396"/>
      <c r="Q1114" s="396"/>
      <c r="R1114" s="396"/>
      <c r="S1114" s="396"/>
      <c r="T1114" s="396"/>
      <c r="U1114" s="396"/>
      <c r="V1114" s="396"/>
      <c r="W1114" s="396"/>
      <c r="X1114" s="404"/>
      <c r="Y1114" s="396"/>
      <c r="Z1114" s="396"/>
      <c r="AA1114" s="396"/>
      <c r="AB1114" s="396"/>
      <c r="AC1114" s="396"/>
      <c r="AD1114" s="396"/>
      <c r="AE1114" s="396"/>
      <c r="AF1114" s="396"/>
      <c r="AG1114" s="396"/>
      <c r="AH1114" s="396"/>
      <c r="AI1114" s="396"/>
      <c r="AJ1114" s="415"/>
      <c r="AK1114" s="405">
        <f t="shared" si="173"/>
        <v>0</v>
      </c>
      <c r="AL1114" s="406"/>
      <c r="AM1114" s="407">
        <f>AK1114</f>
        <v>0</v>
      </c>
      <c r="AN1114" s="583"/>
    </row>
    <row r="1115" spans="3:40" ht="12.75" x14ac:dyDescent="0.2">
      <c r="C1115" s="580"/>
      <c r="D1115" s="643" t="s">
        <v>65</v>
      </c>
      <c r="E1115" s="393" t="s">
        <v>18</v>
      </c>
      <c r="F1115" s="394"/>
      <c r="G1115" s="394"/>
      <c r="H1115" s="394"/>
      <c r="I1115" s="394"/>
      <c r="J1115" s="394"/>
      <c r="K1115" s="394"/>
      <c r="L1115" s="394"/>
      <c r="M1115" s="394"/>
      <c r="N1115" s="394"/>
      <c r="O1115" s="394"/>
      <c r="P1115" s="394"/>
      <c r="Q1115" s="394"/>
      <c r="R1115" s="394"/>
      <c r="S1115" s="394"/>
      <c r="T1115" s="394"/>
      <c r="U1115" s="394"/>
      <c r="V1115" s="394"/>
      <c r="W1115" s="394"/>
      <c r="X1115" s="394"/>
      <c r="Y1115" s="394"/>
      <c r="Z1115" s="394"/>
      <c r="AA1115" s="394"/>
      <c r="AB1115" s="394"/>
      <c r="AC1115" s="394"/>
      <c r="AD1115" s="394"/>
      <c r="AE1115" s="394"/>
      <c r="AF1115" s="394"/>
      <c r="AG1115" s="394"/>
      <c r="AH1115" s="394"/>
      <c r="AI1115" s="394"/>
      <c r="AJ1115" s="414"/>
      <c r="AK1115" s="395">
        <f t="shared" si="173"/>
        <v>0</v>
      </c>
      <c r="AL1115" s="408">
        <f>AK1115</f>
        <v>0</v>
      </c>
      <c r="AM1115" s="409"/>
      <c r="AN1115" s="633">
        <f>SUM(AL1115:AM1116)</f>
        <v>0</v>
      </c>
    </row>
    <row r="1116" spans="3:40" ht="12.75" x14ac:dyDescent="0.2">
      <c r="C1116" s="581"/>
      <c r="D1116" s="585"/>
      <c r="E1116" s="410" t="s">
        <v>19</v>
      </c>
      <c r="F1116" s="407"/>
      <c r="G1116" s="407"/>
      <c r="H1116" s="407"/>
      <c r="I1116" s="407"/>
      <c r="J1116" s="410"/>
      <c r="K1116" s="407"/>
      <c r="L1116" s="407"/>
      <c r="M1116" s="407"/>
      <c r="N1116" s="407"/>
      <c r="O1116" s="407"/>
      <c r="P1116" s="407"/>
      <c r="Q1116" s="407"/>
      <c r="R1116" s="407"/>
      <c r="S1116" s="407"/>
      <c r="T1116" s="407"/>
      <c r="U1116" s="410"/>
      <c r="V1116" s="410"/>
      <c r="W1116" s="407"/>
      <c r="X1116" s="407"/>
      <c r="Y1116" s="407"/>
      <c r="Z1116" s="407"/>
      <c r="AA1116" s="407"/>
      <c r="AB1116" s="407"/>
      <c r="AC1116" s="407"/>
      <c r="AD1116" s="407"/>
      <c r="AE1116" s="407"/>
      <c r="AF1116" s="407"/>
      <c r="AG1116" s="407"/>
      <c r="AH1116" s="407"/>
      <c r="AI1116" s="407"/>
      <c r="AJ1116" s="418"/>
      <c r="AK1116" s="419">
        <f t="shared" si="173"/>
        <v>0</v>
      </c>
      <c r="AL1116" s="406"/>
      <c r="AM1116" s="407">
        <f>AK1116</f>
        <v>0</v>
      </c>
      <c r="AN1116" s="583"/>
    </row>
    <row r="1117" spans="3:40" ht="12.75" x14ac:dyDescent="0.2">
      <c r="C1117" s="420" t="s">
        <v>32</v>
      </c>
      <c r="D1117" s="396"/>
      <c r="E1117" s="396"/>
      <c r="F1117" s="396">
        <f t="shared" ref="F1117:AM1117" si="177">SUM(F1067:F1116)</f>
        <v>4.38</v>
      </c>
      <c r="G1117" s="396">
        <f t="shared" si="177"/>
        <v>8.15</v>
      </c>
      <c r="H1117" s="396">
        <f t="shared" si="177"/>
        <v>59.14</v>
      </c>
      <c r="I1117" s="396">
        <f t="shared" si="177"/>
        <v>173.27</v>
      </c>
      <c r="J1117" s="396">
        <f t="shared" si="177"/>
        <v>83.54</v>
      </c>
      <c r="K1117" s="396">
        <f t="shared" si="177"/>
        <v>106.47</v>
      </c>
      <c r="L1117" s="396">
        <f t="shared" si="177"/>
        <v>68.69</v>
      </c>
      <c r="M1117" s="396">
        <f t="shared" si="177"/>
        <v>42.430000000000007</v>
      </c>
      <c r="N1117" s="396">
        <f t="shared" si="177"/>
        <v>58.559999999999995</v>
      </c>
      <c r="O1117" s="396">
        <f t="shared" si="177"/>
        <v>16.149999999999999</v>
      </c>
      <c r="P1117" s="396">
        <f t="shared" si="177"/>
        <v>70.819999999999993</v>
      </c>
      <c r="Q1117" s="396">
        <f t="shared" si="177"/>
        <v>25.88</v>
      </c>
      <c r="R1117" s="396">
        <f t="shared" si="177"/>
        <v>31.830000000000002</v>
      </c>
      <c r="S1117" s="396">
        <f t="shared" si="177"/>
        <v>160.80000000000001</v>
      </c>
      <c r="T1117" s="396">
        <f t="shared" si="177"/>
        <v>17.34</v>
      </c>
      <c r="U1117" s="396">
        <f t="shared" si="177"/>
        <v>0</v>
      </c>
      <c r="V1117" s="396">
        <f t="shared" si="177"/>
        <v>56.46</v>
      </c>
      <c r="W1117" s="396">
        <f t="shared" si="177"/>
        <v>68.400000000000006</v>
      </c>
      <c r="X1117" s="396">
        <f t="shared" si="177"/>
        <v>69.28</v>
      </c>
      <c r="Y1117" s="396">
        <f t="shared" si="177"/>
        <v>41.56</v>
      </c>
      <c r="Z1117" s="396">
        <f t="shared" si="177"/>
        <v>33.5</v>
      </c>
      <c r="AA1117" s="396">
        <f t="shared" si="177"/>
        <v>26.91</v>
      </c>
      <c r="AB1117" s="396">
        <f t="shared" si="177"/>
        <v>106.38999999999999</v>
      </c>
      <c r="AC1117" s="396">
        <f t="shared" si="177"/>
        <v>12.11</v>
      </c>
      <c r="AD1117" s="396">
        <f t="shared" si="177"/>
        <v>535.9</v>
      </c>
      <c r="AE1117" s="396">
        <f t="shared" si="177"/>
        <v>56.19</v>
      </c>
      <c r="AF1117" s="396">
        <f t="shared" si="177"/>
        <v>119.71000000000001</v>
      </c>
      <c r="AG1117" s="396">
        <f t="shared" si="177"/>
        <v>89.84</v>
      </c>
      <c r="AH1117" s="396">
        <f t="shared" si="177"/>
        <v>28.67</v>
      </c>
      <c r="AI1117" s="396">
        <f t="shared" si="177"/>
        <v>26.49</v>
      </c>
      <c r="AJ1117" s="396">
        <f t="shared" si="177"/>
        <v>69.66</v>
      </c>
      <c r="AK1117" s="421">
        <f t="shared" si="177"/>
        <v>2268.5200000000004</v>
      </c>
      <c r="AL1117" s="394">
        <f t="shared" si="177"/>
        <v>1998.5200000000002</v>
      </c>
      <c r="AM1117" s="396">
        <f t="shared" si="177"/>
        <v>270</v>
      </c>
    </row>
    <row r="1120" spans="3:40" ht="12.75" x14ac:dyDescent="0.2">
      <c r="F1120" s="642" t="s">
        <v>87</v>
      </c>
      <c r="G1120" s="577"/>
      <c r="H1120" s="577"/>
      <c r="I1120" s="577"/>
      <c r="J1120" s="577"/>
      <c r="K1120" s="577"/>
      <c r="L1120" s="577"/>
      <c r="M1120" s="577"/>
      <c r="N1120" s="577"/>
      <c r="O1120" s="577"/>
      <c r="P1120" s="577"/>
      <c r="Q1120" s="577"/>
      <c r="R1120" s="577"/>
      <c r="S1120" s="577"/>
      <c r="T1120" s="577"/>
      <c r="U1120" s="577"/>
      <c r="V1120" s="577"/>
      <c r="W1120" s="577"/>
      <c r="X1120" s="577"/>
      <c r="Y1120" s="577"/>
      <c r="Z1120" s="577"/>
      <c r="AA1120" s="577"/>
      <c r="AB1120" s="577"/>
      <c r="AC1120" s="577"/>
      <c r="AD1120" s="577"/>
      <c r="AE1120" s="577"/>
      <c r="AF1120" s="577"/>
      <c r="AG1120" s="577"/>
      <c r="AH1120" s="577"/>
      <c r="AI1120" s="577"/>
      <c r="AJ1120" s="577"/>
    </row>
    <row r="1121" spans="3:45" ht="12.75" x14ac:dyDescent="0.2">
      <c r="E1121" s="362" t="s">
        <v>9</v>
      </c>
      <c r="F1121" s="362" t="s">
        <v>15</v>
      </c>
      <c r="G1121" s="362" t="s">
        <v>16</v>
      </c>
      <c r="H1121" s="362" t="s">
        <v>10</v>
      </c>
      <c r="I1121" s="362" t="s">
        <v>11</v>
      </c>
      <c r="J1121" s="362" t="s">
        <v>12</v>
      </c>
      <c r="K1121" s="362" t="s">
        <v>13</v>
      </c>
      <c r="L1121" s="362" t="s">
        <v>14</v>
      </c>
      <c r="M1121" s="362" t="s">
        <v>15</v>
      </c>
      <c r="N1121" s="362" t="s">
        <v>16</v>
      </c>
      <c r="O1121" s="362" t="s">
        <v>10</v>
      </c>
      <c r="P1121" s="362" t="s">
        <v>11</v>
      </c>
      <c r="Q1121" s="362" t="s">
        <v>12</v>
      </c>
      <c r="R1121" s="362" t="s">
        <v>13</v>
      </c>
      <c r="S1121" s="362" t="s">
        <v>14</v>
      </c>
      <c r="T1121" s="362" t="s">
        <v>15</v>
      </c>
      <c r="U1121" s="362" t="s">
        <v>16</v>
      </c>
      <c r="V1121" s="362" t="s">
        <v>10</v>
      </c>
      <c r="W1121" s="362" t="s">
        <v>11</v>
      </c>
      <c r="X1121" s="362" t="s">
        <v>12</v>
      </c>
      <c r="Y1121" s="362" t="s">
        <v>13</v>
      </c>
      <c r="Z1121" s="362" t="s">
        <v>14</v>
      </c>
      <c r="AA1121" s="362" t="s">
        <v>15</v>
      </c>
      <c r="AB1121" s="362" t="s">
        <v>16</v>
      </c>
      <c r="AC1121" s="362" t="s">
        <v>10</v>
      </c>
      <c r="AD1121" s="362" t="s">
        <v>11</v>
      </c>
      <c r="AE1121" s="362" t="s">
        <v>12</v>
      </c>
      <c r="AF1121" s="362" t="s">
        <v>13</v>
      </c>
      <c r="AG1121" s="362" t="s">
        <v>14</v>
      </c>
      <c r="AH1121" s="362" t="s">
        <v>15</v>
      </c>
      <c r="AI1121" s="362" t="s">
        <v>16</v>
      </c>
      <c r="AJ1121" s="362"/>
      <c r="AK1121" s="362"/>
      <c r="AL1121" s="363"/>
      <c r="AM1121" s="364"/>
      <c r="AN1121" s="365"/>
      <c r="AP1121" s="366"/>
      <c r="AQ1121" s="367" t="s">
        <v>17</v>
      </c>
      <c r="AR1121" s="367" t="s">
        <v>18</v>
      </c>
      <c r="AS1121" s="367" t="s">
        <v>19</v>
      </c>
    </row>
    <row r="1122" spans="3:45" ht="12.75" x14ac:dyDescent="0.2">
      <c r="E1122" s="362" t="s">
        <v>20</v>
      </c>
      <c r="F1122" s="362">
        <v>1</v>
      </c>
      <c r="G1122" s="362">
        <v>2</v>
      </c>
      <c r="H1122" s="362">
        <v>3</v>
      </c>
      <c r="I1122" s="362">
        <v>4</v>
      </c>
      <c r="J1122" s="362">
        <v>5</v>
      </c>
      <c r="K1122" s="362">
        <v>6</v>
      </c>
      <c r="L1122" s="362">
        <v>7</v>
      </c>
      <c r="M1122" s="362">
        <v>8</v>
      </c>
      <c r="N1122" s="362">
        <v>9</v>
      </c>
      <c r="O1122" s="362">
        <v>10</v>
      </c>
      <c r="P1122" s="362">
        <v>11</v>
      </c>
      <c r="Q1122" s="362">
        <v>12</v>
      </c>
      <c r="R1122" s="362">
        <v>13</v>
      </c>
      <c r="S1122" s="362">
        <v>14</v>
      </c>
      <c r="T1122" s="362">
        <v>15</v>
      </c>
      <c r="U1122" s="362">
        <v>16</v>
      </c>
      <c r="V1122" s="362">
        <v>17</v>
      </c>
      <c r="W1122" s="362">
        <v>18</v>
      </c>
      <c r="X1122" s="362">
        <v>19</v>
      </c>
      <c r="Y1122" s="362">
        <v>20</v>
      </c>
      <c r="Z1122" s="362">
        <v>21</v>
      </c>
      <c r="AA1122" s="362">
        <v>22</v>
      </c>
      <c r="AB1122" s="362">
        <v>23</v>
      </c>
      <c r="AC1122" s="362">
        <v>24</v>
      </c>
      <c r="AD1122" s="362">
        <v>25</v>
      </c>
      <c r="AE1122" s="362">
        <v>26</v>
      </c>
      <c r="AF1122" s="362">
        <v>27</v>
      </c>
      <c r="AG1122" s="362">
        <v>28</v>
      </c>
      <c r="AH1122" s="362">
        <v>29</v>
      </c>
      <c r="AI1122" s="362">
        <v>30</v>
      </c>
      <c r="AJ1122" s="362"/>
      <c r="AK1122" s="362" t="s">
        <v>21</v>
      </c>
      <c r="AL1122" s="363" t="s">
        <v>18</v>
      </c>
      <c r="AM1122" s="364" t="s">
        <v>19</v>
      </c>
      <c r="AN1122" s="368" t="s">
        <v>22</v>
      </c>
      <c r="AP1122" s="367" t="s">
        <v>23</v>
      </c>
      <c r="AQ1122" s="369">
        <f>AK1133-AK1186</f>
        <v>-409.86999999999989</v>
      </c>
      <c r="AR1122" s="369">
        <f>(AL1133-AL1186)-AL1134+AM1135</f>
        <v>-249.86999999999989</v>
      </c>
      <c r="AS1122" s="369">
        <f>(AM1133-AM1186)+AL1134-AM1135-AM1136</f>
        <v>-160</v>
      </c>
    </row>
    <row r="1123" spans="3:45" ht="12.75" x14ac:dyDescent="0.2">
      <c r="C1123" s="628" t="s">
        <v>24</v>
      </c>
      <c r="D1123" s="370" t="s">
        <v>25</v>
      </c>
      <c r="E1123" s="371" t="s">
        <v>18</v>
      </c>
      <c r="F1123" s="372"/>
      <c r="G1123" s="372"/>
      <c r="H1123" s="371"/>
      <c r="I1123" s="371"/>
      <c r="J1123" s="371">
        <v>980</v>
      </c>
      <c r="K1123" s="372"/>
      <c r="L1123" s="372"/>
      <c r="M1123" s="372"/>
      <c r="N1123" s="372"/>
      <c r="O1123" s="372"/>
      <c r="P1123" s="372"/>
      <c r="Q1123" s="372"/>
      <c r="R1123" s="372"/>
      <c r="S1123" s="372"/>
      <c r="T1123" s="371"/>
      <c r="U1123" s="372"/>
      <c r="V1123" s="372"/>
      <c r="W1123" s="371"/>
      <c r="X1123" s="371"/>
      <c r="Y1123" s="371">
        <v>525</v>
      </c>
      <c r="Z1123" s="372"/>
      <c r="AA1123" s="372"/>
      <c r="AB1123" s="372"/>
      <c r="AC1123" s="372"/>
      <c r="AD1123" s="372"/>
      <c r="AE1123" s="372"/>
      <c r="AF1123" s="372"/>
      <c r="AG1123" s="372"/>
      <c r="AH1123" s="372"/>
      <c r="AI1123" s="372"/>
      <c r="AJ1123" s="372"/>
      <c r="AK1123" s="373">
        <f t="shared" ref="AK1123:AK1132" si="178">SUM(F1123:AJ1123)</f>
        <v>1505</v>
      </c>
      <c r="AL1123" s="366">
        <f t="shared" ref="AL1123:AL1124" si="179">AK1123</f>
        <v>1505</v>
      </c>
      <c r="AM1123" s="369"/>
      <c r="AN1123" s="374">
        <f>AL1123</f>
        <v>1505</v>
      </c>
    </row>
    <row r="1124" spans="3:45" ht="12.75" x14ac:dyDescent="0.2">
      <c r="C1124" s="580"/>
      <c r="D1124" s="645" t="s">
        <v>26</v>
      </c>
      <c r="E1124" s="363" t="s">
        <v>18</v>
      </c>
      <c r="F1124" s="366"/>
      <c r="G1124" s="366"/>
      <c r="H1124" s="366"/>
      <c r="I1124" s="366"/>
      <c r="J1124" s="366"/>
      <c r="K1124" s="366"/>
      <c r="L1124" s="366"/>
      <c r="M1124" s="366"/>
      <c r="N1124" s="366"/>
      <c r="O1124" s="366"/>
      <c r="P1124" s="366"/>
      <c r="Q1124" s="366"/>
      <c r="R1124" s="366"/>
      <c r="S1124" s="366"/>
      <c r="T1124" s="366"/>
      <c r="U1124" s="366"/>
      <c r="V1124" s="366"/>
      <c r="W1124" s="366"/>
      <c r="X1124" s="366"/>
      <c r="Y1124" s="366"/>
      <c r="Z1124" s="366"/>
      <c r="AA1124" s="366"/>
      <c r="AB1124" s="366"/>
      <c r="AC1124" s="366"/>
      <c r="AD1124" s="366"/>
      <c r="AE1124" s="366"/>
      <c r="AF1124" s="366"/>
      <c r="AG1124" s="366"/>
      <c r="AH1124" s="366"/>
      <c r="AI1124" s="366"/>
      <c r="AJ1124" s="366"/>
      <c r="AK1124" s="376">
        <f t="shared" si="178"/>
        <v>0</v>
      </c>
      <c r="AL1124" s="377">
        <f t="shared" si="179"/>
        <v>0</v>
      </c>
      <c r="AM1124" s="378"/>
      <c r="AN1124" s="633">
        <f>SUM(AL1124:AM1125)</f>
        <v>0</v>
      </c>
    </row>
    <row r="1125" spans="3:45" ht="12.75" x14ac:dyDescent="0.2">
      <c r="C1125" s="580"/>
      <c r="D1125" s="577"/>
      <c r="E1125" s="364" t="s">
        <v>19</v>
      </c>
      <c r="F1125" s="369"/>
      <c r="G1125" s="369"/>
      <c r="H1125" s="369"/>
      <c r="I1125" s="369"/>
      <c r="J1125" s="369"/>
      <c r="K1125" s="369"/>
      <c r="L1125" s="369"/>
      <c r="M1125" s="369"/>
      <c r="N1125" s="369"/>
      <c r="O1125" s="369"/>
      <c r="P1125" s="369"/>
      <c r="Q1125" s="369"/>
      <c r="R1125" s="369"/>
      <c r="S1125" s="369"/>
      <c r="T1125" s="369"/>
      <c r="U1125" s="369"/>
      <c r="V1125" s="369"/>
      <c r="W1125" s="369"/>
      <c r="X1125" s="369"/>
      <c r="Y1125" s="369"/>
      <c r="Z1125" s="369"/>
      <c r="AA1125" s="369"/>
      <c r="AB1125" s="369"/>
      <c r="AC1125" s="369"/>
      <c r="AD1125" s="369"/>
      <c r="AE1125" s="369"/>
      <c r="AF1125" s="369"/>
      <c r="AG1125" s="369"/>
      <c r="AH1125" s="369"/>
      <c r="AI1125" s="369"/>
      <c r="AJ1125" s="369"/>
      <c r="AK1125" s="379">
        <f t="shared" si="178"/>
        <v>0</v>
      </c>
      <c r="AL1125" s="380"/>
      <c r="AM1125" s="381">
        <f t="shared" ref="AM1125:AM1126" si="180">AK1125</f>
        <v>0</v>
      </c>
      <c r="AN1125" s="583"/>
    </row>
    <row r="1126" spans="3:45" ht="12.75" x14ac:dyDescent="0.2">
      <c r="C1126" s="580"/>
      <c r="D1126" s="375" t="s">
        <v>27</v>
      </c>
      <c r="E1126" s="364" t="s">
        <v>19</v>
      </c>
      <c r="F1126" s="369"/>
      <c r="G1126" s="369"/>
      <c r="H1126" s="369"/>
      <c r="I1126" s="369"/>
      <c r="J1126" s="369"/>
      <c r="K1126" s="369"/>
      <c r="L1126" s="369"/>
      <c r="M1126" s="369"/>
      <c r="N1126" s="369"/>
      <c r="O1126" s="369"/>
      <c r="P1126" s="369"/>
      <c r="Q1126" s="369"/>
      <c r="R1126" s="369"/>
      <c r="S1126" s="369"/>
      <c r="T1126" s="369"/>
      <c r="U1126" s="369"/>
      <c r="V1126" s="369"/>
      <c r="W1126" s="369"/>
      <c r="X1126" s="369"/>
      <c r="Y1126" s="369"/>
      <c r="Z1126" s="369"/>
      <c r="AA1126" s="369"/>
      <c r="AB1126" s="369"/>
      <c r="AC1126" s="369"/>
      <c r="AD1126" s="369"/>
      <c r="AE1126" s="369"/>
      <c r="AF1126" s="369"/>
      <c r="AG1126" s="369"/>
      <c r="AH1126" s="369"/>
      <c r="AI1126" s="369"/>
      <c r="AJ1126" s="369"/>
      <c r="AK1126" s="379">
        <f t="shared" si="178"/>
        <v>0</v>
      </c>
      <c r="AL1126" s="366"/>
      <c r="AM1126" s="369">
        <f t="shared" si="180"/>
        <v>0</v>
      </c>
      <c r="AN1126" s="374">
        <f>AM1126</f>
        <v>0</v>
      </c>
    </row>
    <row r="1127" spans="3:45" ht="12.75" x14ac:dyDescent="0.2">
      <c r="C1127" s="580"/>
      <c r="D1127" s="645" t="s">
        <v>28</v>
      </c>
      <c r="E1127" s="363" t="s">
        <v>18</v>
      </c>
      <c r="F1127" s="363"/>
      <c r="G1127" s="366"/>
      <c r="H1127" s="366"/>
      <c r="I1127" s="366"/>
      <c r="J1127" s="366"/>
      <c r="K1127" s="363"/>
      <c r="L1127" s="366"/>
      <c r="M1127" s="366"/>
      <c r="N1127" s="366"/>
      <c r="O1127" s="366"/>
      <c r="P1127" s="366"/>
      <c r="Q1127" s="366"/>
      <c r="R1127" s="366"/>
      <c r="S1127" s="366"/>
      <c r="T1127" s="366"/>
      <c r="U1127" s="366"/>
      <c r="V1127" s="366"/>
      <c r="W1127" s="366"/>
      <c r="X1127" s="366"/>
      <c r="Y1127" s="366"/>
      <c r="Z1127" s="366"/>
      <c r="AA1127" s="366"/>
      <c r="AB1127" s="366"/>
      <c r="AC1127" s="366"/>
      <c r="AD1127" s="366"/>
      <c r="AE1127" s="366"/>
      <c r="AF1127" s="366"/>
      <c r="AG1127" s="366"/>
      <c r="AH1127" s="366"/>
      <c r="AI1127" s="366"/>
      <c r="AJ1127" s="366"/>
      <c r="AK1127" s="376">
        <f t="shared" si="178"/>
        <v>0</v>
      </c>
      <c r="AL1127" s="377">
        <f>AK1127</f>
        <v>0</v>
      </c>
      <c r="AM1127" s="378"/>
      <c r="AN1127" s="633">
        <f>SUM(AL1127:AM1128)</f>
        <v>5</v>
      </c>
    </row>
    <row r="1128" spans="3:45" ht="12.75" x14ac:dyDescent="0.2">
      <c r="C1128" s="580"/>
      <c r="D1128" s="577"/>
      <c r="E1128" s="364" t="s">
        <v>19</v>
      </c>
      <c r="F1128" s="364"/>
      <c r="G1128" s="364"/>
      <c r="H1128" s="364"/>
      <c r="I1128" s="369"/>
      <c r="J1128" s="364"/>
      <c r="K1128" s="364"/>
      <c r="L1128" s="364">
        <v>5</v>
      </c>
      <c r="M1128" s="369"/>
      <c r="N1128" s="369"/>
      <c r="O1128" s="369"/>
      <c r="P1128" s="369"/>
      <c r="Q1128" s="369"/>
      <c r="R1128" s="369"/>
      <c r="S1128" s="364"/>
      <c r="T1128" s="369"/>
      <c r="U1128" s="369"/>
      <c r="V1128" s="369"/>
      <c r="W1128" s="364"/>
      <c r="X1128" s="364"/>
      <c r="Y1128" s="369"/>
      <c r="Z1128" s="369"/>
      <c r="AA1128" s="369"/>
      <c r="AB1128" s="369"/>
      <c r="AC1128" s="369"/>
      <c r="AD1128" s="369"/>
      <c r="AE1128" s="369"/>
      <c r="AF1128" s="369"/>
      <c r="AG1128" s="369"/>
      <c r="AH1128" s="369"/>
      <c r="AI1128" s="364"/>
      <c r="AJ1128" s="369"/>
      <c r="AK1128" s="379">
        <f t="shared" si="178"/>
        <v>5</v>
      </c>
      <c r="AL1128" s="380"/>
      <c r="AM1128" s="381">
        <f>AK1128</f>
        <v>5</v>
      </c>
      <c r="AN1128" s="583"/>
    </row>
    <row r="1129" spans="3:45" ht="12.75" x14ac:dyDescent="0.2">
      <c r="C1129" s="580"/>
      <c r="D1129" s="645" t="s">
        <v>29</v>
      </c>
      <c r="E1129" s="363" t="s">
        <v>18</v>
      </c>
      <c r="F1129" s="366"/>
      <c r="G1129" s="366"/>
      <c r="H1129" s="366"/>
      <c r="I1129" s="366"/>
      <c r="J1129" s="366"/>
      <c r="K1129" s="366"/>
      <c r="L1129" s="366"/>
      <c r="M1129" s="363"/>
      <c r="N1129" s="363">
        <v>28</v>
      </c>
      <c r="O1129" s="366"/>
      <c r="P1129" s="366"/>
      <c r="Q1129" s="366"/>
      <c r="R1129" s="366"/>
      <c r="S1129" s="366"/>
      <c r="T1129" s="366"/>
      <c r="U1129" s="366"/>
      <c r="V1129" s="366"/>
      <c r="W1129" s="366"/>
      <c r="X1129" s="366"/>
      <c r="Y1129" s="366"/>
      <c r="Z1129" s="366"/>
      <c r="AA1129" s="366"/>
      <c r="AB1129" s="363"/>
      <c r="AC1129" s="366"/>
      <c r="AD1129" s="363">
        <v>140</v>
      </c>
      <c r="AE1129" s="366"/>
      <c r="AF1129" s="366"/>
      <c r="AG1129" s="363">
        <v>10.5</v>
      </c>
      <c r="AH1129" s="366"/>
      <c r="AI1129" s="363">
        <v>45</v>
      </c>
      <c r="AJ1129" s="366"/>
      <c r="AK1129" s="376">
        <f t="shared" si="178"/>
        <v>223.5</v>
      </c>
      <c r="AL1129" s="377">
        <f>AK1129</f>
        <v>223.5</v>
      </c>
      <c r="AM1129" s="378"/>
      <c r="AN1129" s="633">
        <f>SUM(AL1129:AM1130)</f>
        <v>223.5</v>
      </c>
    </row>
    <row r="1130" spans="3:45" ht="12.75" x14ac:dyDescent="0.2">
      <c r="C1130" s="580"/>
      <c r="D1130" s="577"/>
      <c r="E1130" s="364" t="s">
        <v>19</v>
      </c>
      <c r="F1130" s="369"/>
      <c r="G1130" s="369"/>
      <c r="H1130" s="369"/>
      <c r="I1130" s="369"/>
      <c r="J1130" s="369"/>
      <c r="K1130" s="369"/>
      <c r="L1130" s="369"/>
      <c r="M1130" s="369"/>
      <c r="N1130" s="369"/>
      <c r="O1130" s="369"/>
      <c r="P1130" s="369"/>
      <c r="Q1130" s="369"/>
      <c r="R1130" s="369"/>
      <c r="S1130" s="369"/>
      <c r="T1130" s="369"/>
      <c r="U1130" s="369"/>
      <c r="V1130" s="369"/>
      <c r="W1130" s="369"/>
      <c r="X1130" s="369"/>
      <c r="Y1130" s="369"/>
      <c r="Z1130" s="369"/>
      <c r="AA1130" s="369"/>
      <c r="AB1130" s="364"/>
      <c r="AC1130" s="369"/>
      <c r="AD1130" s="369"/>
      <c r="AE1130" s="369"/>
      <c r="AF1130" s="369"/>
      <c r="AG1130" s="369"/>
      <c r="AH1130" s="369"/>
      <c r="AI1130" s="369"/>
      <c r="AJ1130" s="369"/>
      <c r="AK1130" s="379">
        <f t="shared" si="178"/>
        <v>0</v>
      </c>
      <c r="AL1130" s="380"/>
      <c r="AM1130" s="381">
        <f>AK1130</f>
        <v>0</v>
      </c>
      <c r="AN1130" s="583"/>
    </row>
    <row r="1131" spans="3:45" ht="12.75" x14ac:dyDescent="0.2">
      <c r="C1131" s="580"/>
      <c r="D1131" s="645" t="s">
        <v>31</v>
      </c>
      <c r="E1131" s="363" t="s">
        <v>18</v>
      </c>
      <c r="F1131" s="366"/>
      <c r="G1131" s="366"/>
      <c r="H1131" s="366"/>
      <c r="I1131" s="366"/>
      <c r="J1131" s="366"/>
      <c r="K1131" s="366"/>
      <c r="L1131" s="366"/>
      <c r="M1131" s="366"/>
      <c r="N1131" s="366"/>
      <c r="O1131" s="366"/>
      <c r="P1131" s="366"/>
      <c r="Q1131" s="366"/>
      <c r="R1131" s="366"/>
      <c r="S1131" s="366"/>
      <c r="T1131" s="366"/>
      <c r="U1131" s="366"/>
      <c r="V1131" s="366"/>
      <c r="W1131" s="366"/>
      <c r="X1131" s="366"/>
      <c r="Y1131" s="366"/>
      <c r="Z1131" s="366"/>
      <c r="AA1131" s="366"/>
      <c r="AB1131" s="366"/>
      <c r="AC1131" s="366"/>
      <c r="AD1131" s="366"/>
      <c r="AE1131" s="366"/>
      <c r="AF1131" s="366"/>
      <c r="AG1131" s="366"/>
      <c r="AH1131" s="363">
        <v>100</v>
      </c>
      <c r="AI1131" s="366"/>
      <c r="AJ1131" s="366"/>
      <c r="AK1131" s="376">
        <f t="shared" si="178"/>
        <v>100</v>
      </c>
      <c r="AL1131" s="377">
        <f>AK1131</f>
        <v>100</v>
      </c>
      <c r="AM1131" s="378"/>
      <c r="AN1131" s="633">
        <f>SUM(AL1131:AM1132)</f>
        <v>100</v>
      </c>
    </row>
    <row r="1132" spans="3:45" ht="12.75" x14ac:dyDescent="0.2">
      <c r="C1132" s="581"/>
      <c r="D1132" s="585"/>
      <c r="E1132" s="382" t="s">
        <v>19</v>
      </c>
      <c r="F1132" s="381"/>
      <c r="G1132" s="381"/>
      <c r="H1132" s="381"/>
      <c r="I1132" s="381"/>
      <c r="J1132" s="381"/>
      <c r="K1132" s="382"/>
      <c r="L1132" s="381"/>
      <c r="M1132" s="382"/>
      <c r="N1132" s="382"/>
      <c r="O1132" s="382"/>
      <c r="P1132" s="381"/>
      <c r="Q1132" s="381"/>
      <c r="R1132" s="381"/>
      <c r="S1132" s="381"/>
      <c r="T1132" s="381"/>
      <c r="U1132" s="381"/>
      <c r="V1132" s="381"/>
      <c r="W1132" s="381"/>
      <c r="X1132" s="382"/>
      <c r="Y1132" s="381"/>
      <c r="Z1132" s="382"/>
      <c r="AA1132" s="381"/>
      <c r="AB1132" s="381"/>
      <c r="AC1132" s="381"/>
      <c r="AD1132" s="381"/>
      <c r="AE1132" s="381"/>
      <c r="AF1132" s="381"/>
      <c r="AG1132" s="381"/>
      <c r="AH1132" s="381"/>
      <c r="AI1132" s="381"/>
      <c r="AJ1132" s="381"/>
      <c r="AK1132" s="383">
        <f t="shared" si="178"/>
        <v>0</v>
      </c>
      <c r="AL1132" s="380"/>
      <c r="AM1132" s="381">
        <f>AK1132</f>
        <v>0</v>
      </c>
      <c r="AN1132" s="583"/>
    </row>
    <row r="1133" spans="3:45" ht="12.75" x14ac:dyDescent="0.2">
      <c r="C1133" s="362" t="s">
        <v>32</v>
      </c>
      <c r="D1133" s="384"/>
      <c r="E1133" s="369"/>
      <c r="F1133" s="369"/>
      <c r="G1133" s="369"/>
      <c r="H1133" s="369"/>
      <c r="I1133" s="369"/>
      <c r="J1133" s="369"/>
      <c r="K1133" s="369"/>
      <c r="L1133" s="369"/>
      <c r="M1133" s="369"/>
      <c r="N1133" s="369"/>
      <c r="O1133" s="369"/>
      <c r="P1133" s="369"/>
      <c r="Q1133" s="369"/>
      <c r="R1133" s="369"/>
      <c r="S1133" s="369"/>
      <c r="T1133" s="369"/>
      <c r="U1133" s="369"/>
      <c r="V1133" s="369"/>
      <c r="W1133" s="369"/>
      <c r="X1133" s="369"/>
      <c r="Y1133" s="369"/>
      <c r="Z1133" s="369"/>
      <c r="AA1133" s="369"/>
      <c r="AB1133" s="369"/>
      <c r="AC1133" s="369"/>
      <c r="AD1133" s="369"/>
      <c r="AE1133" s="369"/>
      <c r="AF1133" s="369"/>
      <c r="AG1133" s="369"/>
      <c r="AH1133" s="369"/>
      <c r="AI1133" s="369"/>
      <c r="AJ1133" s="369"/>
      <c r="AK1133" s="385">
        <f t="shared" ref="AK1133:AM1133" si="181">SUM(AK1123:AK1132)</f>
        <v>1833.5</v>
      </c>
      <c r="AL1133" s="366">
        <f t="shared" si="181"/>
        <v>1828.5</v>
      </c>
      <c r="AM1133" s="369">
        <f t="shared" si="181"/>
        <v>5</v>
      </c>
      <c r="AN1133" s="374"/>
    </row>
    <row r="1134" spans="3:45" ht="12.75" x14ac:dyDescent="0.2">
      <c r="C1134" s="630" t="s">
        <v>83</v>
      </c>
      <c r="D1134" s="423" t="s">
        <v>84</v>
      </c>
      <c r="E1134" s="424" t="s">
        <v>18</v>
      </c>
      <c r="F1134" s="425"/>
      <c r="G1134" s="425"/>
      <c r="H1134" s="425"/>
      <c r="I1134" s="425"/>
      <c r="J1134" s="424"/>
      <c r="K1134" s="424"/>
      <c r="L1134" s="425"/>
      <c r="M1134" s="424"/>
      <c r="N1134" s="425"/>
      <c r="O1134" s="424"/>
      <c r="P1134" s="425"/>
      <c r="Q1134" s="425"/>
      <c r="R1134" s="425"/>
      <c r="S1134" s="425"/>
      <c r="T1134" s="425"/>
      <c r="U1134" s="424"/>
      <c r="V1134" s="425"/>
      <c r="W1134" s="425"/>
      <c r="X1134" s="425"/>
      <c r="Y1134" s="425"/>
      <c r="Z1134" s="425"/>
      <c r="AA1134" s="425"/>
      <c r="AB1134" s="425"/>
      <c r="AC1134" s="425"/>
      <c r="AD1134" s="425"/>
      <c r="AE1134" s="425"/>
      <c r="AF1134" s="425"/>
      <c r="AG1134" s="425"/>
      <c r="AH1134" s="425"/>
      <c r="AI1134" s="425"/>
      <c r="AJ1134" s="426"/>
      <c r="AK1134" s="425"/>
      <c r="AL1134" s="427">
        <f>SUM(F1134:AJ1134)</f>
        <v>0</v>
      </c>
      <c r="AM1134" s="427"/>
      <c r="AN1134" s="374"/>
    </row>
    <row r="1135" spans="3:45" ht="12.75" x14ac:dyDescent="0.2">
      <c r="C1135" s="580"/>
      <c r="D1135" s="413" t="s">
        <v>85</v>
      </c>
      <c r="E1135" s="428" t="s">
        <v>19</v>
      </c>
      <c r="F1135" s="427"/>
      <c r="G1135" s="427"/>
      <c r="H1135" s="427"/>
      <c r="I1135" s="427"/>
      <c r="J1135" s="427"/>
      <c r="K1135" s="427"/>
      <c r="L1135" s="427"/>
      <c r="M1135" s="427"/>
      <c r="N1135" s="427"/>
      <c r="O1135" s="427"/>
      <c r="P1135" s="427"/>
      <c r="Q1135" s="427"/>
      <c r="R1135" s="427"/>
      <c r="S1135" s="427"/>
      <c r="T1135" s="427"/>
      <c r="U1135" s="428"/>
      <c r="V1135" s="427"/>
      <c r="W1135" s="427"/>
      <c r="X1135" s="427"/>
      <c r="Y1135" s="427"/>
      <c r="Z1135" s="427"/>
      <c r="AA1135" s="427"/>
      <c r="AB1135" s="427"/>
      <c r="AC1135" s="427"/>
      <c r="AD1135" s="427"/>
      <c r="AE1135" s="427"/>
      <c r="AF1135" s="427"/>
      <c r="AG1135" s="427"/>
      <c r="AH1135" s="427"/>
      <c r="AI1135" s="427"/>
      <c r="AJ1135" s="429"/>
      <c r="AK1135" s="427"/>
      <c r="AL1135" s="427"/>
      <c r="AM1135" s="427">
        <f t="shared" ref="AM1135:AM1136" si="182">SUM(F1135:AJ1135)</f>
        <v>0</v>
      </c>
      <c r="AN1135" s="374"/>
    </row>
    <row r="1136" spans="3:45" ht="12.75" x14ac:dyDescent="0.2">
      <c r="C1136" s="581"/>
      <c r="D1136" s="430" t="s">
        <v>86</v>
      </c>
      <c r="E1136" s="431" t="s">
        <v>19</v>
      </c>
      <c r="F1136" s="432"/>
      <c r="G1136" s="432"/>
      <c r="H1136" s="432"/>
      <c r="I1136" s="432"/>
      <c r="J1136" s="432"/>
      <c r="K1136" s="432"/>
      <c r="L1136" s="432"/>
      <c r="M1136" s="432"/>
      <c r="N1136" s="432"/>
      <c r="O1136" s="431"/>
      <c r="P1136" s="432"/>
      <c r="Q1136" s="432"/>
      <c r="R1136" s="432"/>
      <c r="S1136" s="432"/>
      <c r="T1136" s="432"/>
      <c r="U1136" s="431"/>
      <c r="V1136" s="432"/>
      <c r="W1136" s="432"/>
      <c r="X1136" s="432"/>
      <c r="Y1136" s="432"/>
      <c r="Z1136" s="432"/>
      <c r="AA1136" s="432"/>
      <c r="AB1136" s="432"/>
      <c r="AC1136" s="432"/>
      <c r="AD1136" s="432"/>
      <c r="AE1136" s="432"/>
      <c r="AF1136" s="432"/>
      <c r="AG1136" s="432"/>
      <c r="AH1136" s="432"/>
      <c r="AI1136" s="432"/>
      <c r="AJ1136" s="433"/>
      <c r="AK1136" s="427"/>
      <c r="AL1136" s="427"/>
      <c r="AM1136" s="427">
        <f t="shared" si="182"/>
        <v>0</v>
      </c>
      <c r="AN1136" s="374"/>
    </row>
    <row r="1137" spans="3:40" ht="12.75" x14ac:dyDescent="0.2">
      <c r="C1137" s="629" t="s">
        <v>33</v>
      </c>
      <c r="D1137" s="386" t="s">
        <v>34</v>
      </c>
      <c r="E1137" s="387" t="s">
        <v>19</v>
      </c>
      <c r="F1137" s="388"/>
      <c r="G1137" s="388"/>
      <c r="H1137" s="388"/>
      <c r="I1137" s="388"/>
      <c r="J1137" s="436"/>
      <c r="K1137" s="388"/>
      <c r="L1137" s="388"/>
      <c r="M1137" s="388"/>
      <c r="N1137" s="388"/>
      <c r="O1137" s="388"/>
      <c r="P1137" s="388"/>
      <c r="Q1137" s="388"/>
      <c r="R1137" s="388"/>
      <c r="S1137" s="388"/>
      <c r="T1137" s="388"/>
      <c r="U1137" s="388"/>
      <c r="V1137" s="388"/>
      <c r="W1137" s="388"/>
      <c r="X1137" s="388"/>
      <c r="Y1137" s="388"/>
      <c r="Z1137" s="388"/>
      <c r="AA1137" s="388"/>
      <c r="AB1137" s="388"/>
      <c r="AC1137" s="388"/>
      <c r="AD1137" s="388"/>
      <c r="AE1137" s="388"/>
      <c r="AF1137" s="388"/>
      <c r="AG1137" s="388"/>
      <c r="AH1137" s="388"/>
      <c r="AI1137" s="388"/>
      <c r="AJ1137" s="388"/>
      <c r="AK1137" s="389">
        <f t="shared" ref="AK1137:AK1185" si="183">SUM(F1137:AJ1137)</f>
        <v>0</v>
      </c>
      <c r="AL1137" s="390"/>
      <c r="AM1137" s="388">
        <f>AK1137</f>
        <v>0</v>
      </c>
      <c r="AN1137" s="391">
        <f>AM1137</f>
        <v>0</v>
      </c>
    </row>
    <row r="1138" spans="3:40" ht="12.75" x14ac:dyDescent="0.2">
      <c r="C1138" s="580"/>
      <c r="D1138" s="392" t="s">
        <v>35</v>
      </c>
      <c r="E1138" s="393" t="s">
        <v>18</v>
      </c>
      <c r="F1138" s="394"/>
      <c r="G1138" s="394"/>
      <c r="H1138" s="394"/>
      <c r="I1138" s="393"/>
      <c r="J1138" s="437"/>
      <c r="K1138" s="394"/>
      <c r="L1138" s="394"/>
      <c r="M1138" s="394"/>
      <c r="N1138" s="394"/>
      <c r="O1138" s="394"/>
      <c r="P1138" s="394"/>
      <c r="Q1138" s="394"/>
      <c r="R1138" s="394"/>
      <c r="S1138" s="394"/>
      <c r="T1138" s="394"/>
      <c r="U1138" s="394"/>
      <c r="V1138" s="394"/>
      <c r="W1138" s="394"/>
      <c r="X1138" s="394"/>
      <c r="Y1138" s="393"/>
      <c r="Z1138" s="394"/>
      <c r="AA1138" s="394"/>
      <c r="AB1138" s="394"/>
      <c r="AC1138" s="394"/>
      <c r="AD1138" s="394"/>
      <c r="AE1138" s="394"/>
      <c r="AF1138" s="394"/>
      <c r="AG1138" s="394"/>
      <c r="AH1138" s="394"/>
      <c r="AI1138" s="394"/>
      <c r="AJ1138" s="394"/>
      <c r="AK1138" s="395">
        <f t="shared" si="183"/>
        <v>0</v>
      </c>
      <c r="AL1138" s="394">
        <f>AK1138</f>
        <v>0</v>
      </c>
      <c r="AM1138" s="396"/>
      <c r="AN1138" s="397">
        <f>AL1138</f>
        <v>0</v>
      </c>
    </row>
    <row r="1139" spans="3:40" ht="12.75" x14ac:dyDescent="0.2">
      <c r="C1139" s="580"/>
      <c r="D1139" s="434" t="s">
        <v>36</v>
      </c>
      <c r="E1139" s="398" t="s">
        <v>19</v>
      </c>
      <c r="F1139" s="399"/>
      <c r="G1139" s="399"/>
      <c r="H1139" s="399"/>
      <c r="I1139" s="399"/>
      <c r="J1139" s="438"/>
      <c r="K1139" s="399"/>
      <c r="L1139" s="399"/>
      <c r="M1139" s="399"/>
      <c r="N1139" s="399"/>
      <c r="O1139" s="399"/>
      <c r="P1139" s="399"/>
      <c r="Q1139" s="399"/>
      <c r="R1139" s="399"/>
      <c r="S1139" s="399"/>
      <c r="T1139" s="399"/>
      <c r="U1139" s="399"/>
      <c r="V1139" s="399"/>
      <c r="W1139" s="399"/>
      <c r="X1139" s="399"/>
      <c r="Y1139" s="399"/>
      <c r="Z1139" s="399"/>
      <c r="AA1139" s="399"/>
      <c r="AB1139" s="399"/>
      <c r="AC1139" s="399"/>
      <c r="AD1139" s="399"/>
      <c r="AE1139" s="399"/>
      <c r="AF1139" s="399"/>
      <c r="AG1139" s="399"/>
      <c r="AH1139" s="399"/>
      <c r="AI1139" s="399"/>
      <c r="AJ1139" s="399"/>
      <c r="AK1139" s="400">
        <f t="shared" si="183"/>
        <v>0</v>
      </c>
      <c r="AL1139" s="401"/>
      <c r="AM1139" s="399">
        <f>AK1139</f>
        <v>0</v>
      </c>
      <c r="AN1139" s="435">
        <f>AM1139</f>
        <v>0</v>
      </c>
    </row>
    <row r="1140" spans="3:40" ht="12.75" x14ac:dyDescent="0.2">
      <c r="C1140" s="580"/>
      <c r="D1140" s="643" t="s">
        <v>37</v>
      </c>
      <c r="E1140" s="393" t="s">
        <v>18</v>
      </c>
      <c r="F1140" s="393">
        <v>5</v>
      </c>
      <c r="G1140" s="393"/>
      <c r="H1140" s="394"/>
      <c r="I1140" s="393"/>
      <c r="J1140" s="394"/>
      <c r="K1140" s="394"/>
      <c r="L1140" s="394"/>
      <c r="M1140" s="394"/>
      <c r="N1140" s="393"/>
      <c r="O1140" s="393"/>
      <c r="P1140" s="394"/>
      <c r="Q1140" s="393"/>
      <c r="R1140" s="393"/>
      <c r="S1140" s="394"/>
      <c r="T1140" s="393"/>
      <c r="U1140" s="394"/>
      <c r="V1140" s="393"/>
      <c r="W1140" s="393"/>
      <c r="X1140" s="394"/>
      <c r="Y1140" s="393"/>
      <c r="Z1140" s="393"/>
      <c r="AA1140" s="394"/>
      <c r="AB1140" s="394"/>
      <c r="AC1140" s="394"/>
      <c r="AD1140" s="393"/>
      <c r="AE1140" s="394"/>
      <c r="AF1140" s="393"/>
      <c r="AG1140" s="394"/>
      <c r="AH1140" s="394"/>
      <c r="AI1140" s="393">
        <v>9.6</v>
      </c>
      <c r="AJ1140" s="394"/>
      <c r="AK1140" s="395">
        <f t="shared" si="183"/>
        <v>14.6</v>
      </c>
      <c r="AL1140" s="403">
        <f>AK1140</f>
        <v>14.6</v>
      </c>
      <c r="AM1140" s="396"/>
      <c r="AN1140" s="634">
        <f>SUM(AL1140:AM1141)</f>
        <v>14.6</v>
      </c>
    </row>
    <row r="1141" spans="3:40" ht="12.75" x14ac:dyDescent="0.2">
      <c r="C1141" s="580"/>
      <c r="D1141" s="577"/>
      <c r="E1141" s="404" t="s">
        <v>19</v>
      </c>
      <c r="F1141" s="396"/>
      <c r="G1141" s="396"/>
      <c r="H1141" s="404"/>
      <c r="I1141" s="396"/>
      <c r="J1141" s="396"/>
      <c r="K1141" s="396"/>
      <c r="L1141" s="404"/>
      <c r="M1141" s="396"/>
      <c r="N1141" s="404"/>
      <c r="O1141" s="396"/>
      <c r="P1141" s="396"/>
      <c r="Q1141" s="396"/>
      <c r="R1141" s="396"/>
      <c r="S1141" s="396"/>
      <c r="T1141" s="404"/>
      <c r="U1141" s="404"/>
      <c r="V1141" s="404"/>
      <c r="W1141" s="404"/>
      <c r="X1141" s="404"/>
      <c r="Y1141" s="396"/>
      <c r="Z1141" s="396"/>
      <c r="AA1141" s="404"/>
      <c r="AB1141" s="404"/>
      <c r="AC1141" s="404"/>
      <c r="AD1141" s="404"/>
      <c r="AE1141" s="404"/>
      <c r="AF1141" s="396"/>
      <c r="AG1141" s="396"/>
      <c r="AH1141" s="396"/>
      <c r="AI1141" s="396"/>
      <c r="AJ1141" s="396"/>
      <c r="AK1141" s="405">
        <f t="shared" si="183"/>
        <v>0</v>
      </c>
      <c r="AL1141" s="406"/>
      <c r="AM1141" s="407">
        <f>AK1141</f>
        <v>0</v>
      </c>
      <c r="AN1141" s="583"/>
    </row>
    <row r="1142" spans="3:40" ht="12.75" x14ac:dyDescent="0.2">
      <c r="C1142" s="580"/>
      <c r="D1142" s="402" t="s">
        <v>38</v>
      </c>
      <c r="E1142" s="393" t="s">
        <v>18</v>
      </c>
      <c r="F1142" s="394"/>
      <c r="G1142" s="394"/>
      <c r="H1142" s="394"/>
      <c r="I1142" s="394"/>
      <c r="J1142" s="394"/>
      <c r="K1142" s="394"/>
      <c r="L1142" s="394"/>
      <c r="M1142" s="394"/>
      <c r="N1142" s="394"/>
      <c r="O1142" s="394"/>
      <c r="P1142" s="394"/>
      <c r="Q1142" s="394"/>
      <c r="R1142" s="394"/>
      <c r="S1142" s="394"/>
      <c r="T1142" s="394"/>
      <c r="U1142" s="394"/>
      <c r="V1142" s="394"/>
      <c r="W1142" s="394"/>
      <c r="X1142" s="394"/>
      <c r="Y1142" s="394"/>
      <c r="Z1142" s="393">
        <v>58.9</v>
      </c>
      <c r="AA1142" s="393"/>
      <c r="AB1142" s="393"/>
      <c r="AC1142" s="393"/>
      <c r="AD1142" s="394"/>
      <c r="AE1142" s="394"/>
      <c r="AF1142" s="394"/>
      <c r="AG1142" s="394"/>
      <c r="AH1142" s="394"/>
      <c r="AI1142" s="394"/>
      <c r="AJ1142" s="394"/>
      <c r="AK1142" s="395">
        <f t="shared" si="183"/>
        <v>58.9</v>
      </c>
      <c r="AL1142" s="394">
        <f t="shared" ref="AL1142:AL1144" si="184">AK1142</f>
        <v>58.9</v>
      </c>
      <c r="AM1142" s="396"/>
      <c r="AN1142" s="374">
        <f t="shared" ref="AN1142:AN1143" si="185">AL1142</f>
        <v>58.9</v>
      </c>
    </row>
    <row r="1143" spans="3:40" ht="12.75" x14ac:dyDescent="0.2">
      <c r="C1143" s="580"/>
      <c r="D1143" s="402" t="s">
        <v>39</v>
      </c>
      <c r="E1143" s="393" t="s">
        <v>18</v>
      </c>
      <c r="F1143" s="394"/>
      <c r="G1143" s="394"/>
      <c r="H1143" s="394"/>
      <c r="I1143" s="394"/>
      <c r="J1143" s="394"/>
      <c r="K1143" s="394"/>
      <c r="L1143" s="394"/>
      <c r="M1143" s="393"/>
      <c r="N1143" s="394"/>
      <c r="O1143" s="394"/>
      <c r="P1143" s="394"/>
      <c r="Q1143" s="394"/>
      <c r="R1143" s="394"/>
      <c r="S1143" s="394"/>
      <c r="T1143" s="394"/>
      <c r="U1143" s="394"/>
      <c r="V1143" s="394"/>
      <c r="W1143" s="394"/>
      <c r="X1143" s="394"/>
      <c r="Y1143" s="394"/>
      <c r="Z1143" s="394"/>
      <c r="AA1143" s="394"/>
      <c r="AB1143" s="394"/>
      <c r="AC1143" s="394"/>
      <c r="AD1143" s="394"/>
      <c r="AE1143" s="394"/>
      <c r="AF1143" s="394"/>
      <c r="AG1143" s="394"/>
      <c r="AH1143" s="394"/>
      <c r="AI1143" s="394"/>
      <c r="AJ1143" s="394"/>
      <c r="AK1143" s="395">
        <f t="shared" si="183"/>
        <v>0</v>
      </c>
      <c r="AL1143" s="394">
        <f t="shared" si="184"/>
        <v>0</v>
      </c>
      <c r="AM1143" s="396"/>
      <c r="AN1143" s="374">
        <f t="shared" si="185"/>
        <v>0</v>
      </c>
    </row>
    <row r="1144" spans="3:40" ht="12.75" x14ac:dyDescent="0.2">
      <c r="C1144" s="580"/>
      <c r="D1144" s="643" t="s">
        <v>40</v>
      </c>
      <c r="E1144" s="393" t="s">
        <v>18</v>
      </c>
      <c r="F1144" s="394"/>
      <c r="G1144" s="394"/>
      <c r="H1144" s="394"/>
      <c r="I1144" s="394"/>
      <c r="J1144" s="394"/>
      <c r="K1144" s="394"/>
      <c r="L1144" s="394"/>
      <c r="M1144" s="394"/>
      <c r="N1144" s="394"/>
      <c r="O1144" s="394"/>
      <c r="P1144" s="394"/>
      <c r="Q1144" s="394"/>
      <c r="R1144" s="394"/>
      <c r="S1144" s="394"/>
      <c r="T1144" s="394"/>
      <c r="U1144" s="394"/>
      <c r="V1144" s="394"/>
      <c r="W1144" s="394"/>
      <c r="X1144" s="394"/>
      <c r="Y1144" s="394"/>
      <c r="Z1144" s="394"/>
      <c r="AA1144" s="394"/>
      <c r="AB1144" s="394"/>
      <c r="AC1144" s="394"/>
      <c r="AD1144" s="394"/>
      <c r="AE1144" s="394"/>
      <c r="AF1144" s="394"/>
      <c r="AG1144" s="394"/>
      <c r="AH1144" s="394"/>
      <c r="AI1144" s="394"/>
      <c r="AJ1144" s="394"/>
      <c r="AK1144" s="395">
        <f t="shared" si="183"/>
        <v>0</v>
      </c>
      <c r="AL1144" s="408">
        <f t="shared" si="184"/>
        <v>0</v>
      </c>
      <c r="AM1144" s="409"/>
      <c r="AN1144" s="633">
        <f>SUM(AL1144:AM1145)</f>
        <v>0</v>
      </c>
    </row>
    <row r="1145" spans="3:40" ht="12.75" x14ac:dyDescent="0.2">
      <c r="C1145" s="580"/>
      <c r="D1145" s="577"/>
      <c r="E1145" s="404" t="s">
        <v>19</v>
      </c>
      <c r="F1145" s="396"/>
      <c r="G1145" s="396"/>
      <c r="H1145" s="396"/>
      <c r="I1145" s="396"/>
      <c r="J1145" s="396"/>
      <c r="K1145" s="396"/>
      <c r="L1145" s="396"/>
      <c r="M1145" s="396"/>
      <c r="N1145" s="396"/>
      <c r="O1145" s="396"/>
      <c r="P1145" s="396"/>
      <c r="Q1145" s="396"/>
      <c r="R1145" s="396"/>
      <c r="S1145" s="396"/>
      <c r="T1145" s="396"/>
      <c r="U1145" s="396"/>
      <c r="V1145" s="396"/>
      <c r="W1145" s="396"/>
      <c r="X1145" s="396"/>
      <c r="Y1145" s="396"/>
      <c r="Z1145" s="396"/>
      <c r="AA1145" s="396"/>
      <c r="AB1145" s="396"/>
      <c r="AC1145" s="396"/>
      <c r="AD1145" s="396"/>
      <c r="AE1145" s="396"/>
      <c r="AF1145" s="396"/>
      <c r="AG1145" s="396"/>
      <c r="AH1145" s="396"/>
      <c r="AI1145" s="396"/>
      <c r="AJ1145" s="396"/>
      <c r="AK1145" s="405">
        <f t="shared" si="183"/>
        <v>0</v>
      </c>
      <c r="AL1145" s="406"/>
      <c r="AM1145" s="407">
        <f>AK1145</f>
        <v>0</v>
      </c>
      <c r="AN1145" s="583"/>
    </row>
    <row r="1146" spans="3:40" ht="12.75" x14ac:dyDescent="0.2">
      <c r="C1146" s="580"/>
      <c r="D1146" s="643" t="s">
        <v>41</v>
      </c>
      <c r="E1146" s="393" t="s">
        <v>18</v>
      </c>
      <c r="F1146" s="393"/>
      <c r="G1146" s="393">
        <v>52.5</v>
      </c>
      <c r="H1146" s="394"/>
      <c r="I1146" s="394"/>
      <c r="J1146" s="394"/>
      <c r="K1146" s="394"/>
      <c r="L1146" s="393"/>
      <c r="M1146" s="394"/>
      <c r="N1146" s="394"/>
      <c r="O1146" s="394"/>
      <c r="P1146" s="394"/>
      <c r="Q1146" s="394"/>
      <c r="R1146" s="394"/>
      <c r="S1146" s="394"/>
      <c r="T1146" s="394"/>
      <c r="U1146" s="394"/>
      <c r="V1146" s="394"/>
      <c r="W1146" s="394"/>
      <c r="X1146" s="394"/>
      <c r="Y1146" s="394"/>
      <c r="Z1146" s="394"/>
      <c r="AA1146" s="393"/>
      <c r="AB1146" s="394"/>
      <c r="AC1146" s="394"/>
      <c r="AD1146" s="394"/>
      <c r="AE1146" s="394"/>
      <c r="AF1146" s="394"/>
      <c r="AG1146" s="394"/>
      <c r="AH1146" s="394"/>
      <c r="AI1146" s="394"/>
      <c r="AJ1146" s="394"/>
      <c r="AK1146" s="395">
        <f t="shared" si="183"/>
        <v>52.5</v>
      </c>
      <c r="AL1146" s="408">
        <f>AK1146</f>
        <v>52.5</v>
      </c>
      <c r="AM1146" s="409"/>
      <c r="AN1146" s="633">
        <f>SUM(AL1146:AM1147)</f>
        <v>52.5</v>
      </c>
    </row>
    <row r="1147" spans="3:40" ht="12.75" x14ac:dyDescent="0.2">
      <c r="C1147" s="580"/>
      <c r="D1147" s="577"/>
      <c r="E1147" s="404" t="s">
        <v>19</v>
      </c>
      <c r="F1147" s="396"/>
      <c r="G1147" s="396"/>
      <c r="H1147" s="396"/>
      <c r="I1147" s="396"/>
      <c r="J1147" s="404"/>
      <c r="K1147" s="396"/>
      <c r="L1147" s="396"/>
      <c r="M1147" s="404"/>
      <c r="N1147" s="396"/>
      <c r="O1147" s="396"/>
      <c r="P1147" s="396"/>
      <c r="Q1147" s="404"/>
      <c r="R1147" s="404"/>
      <c r="S1147" s="404"/>
      <c r="T1147" s="396"/>
      <c r="U1147" s="404"/>
      <c r="V1147" s="396"/>
      <c r="W1147" s="396"/>
      <c r="X1147" s="396"/>
      <c r="Y1147" s="396"/>
      <c r="Z1147" s="396"/>
      <c r="AA1147" s="396"/>
      <c r="AB1147" s="396"/>
      <c r="AC1147" s="396"/>
      <c r="AD1147" s="396"/>
      <c r="AE1147" s="404"/>
      <c r="AF1147" s="396"/>
      <c r="AG1147" s="396"/>
      <c r="AH1147" s="396"/>
      <c r="AI1147" s="396"/>
      <c r="AJ1147" s="396"/>
      <c r="AK1147" s="405">
        <f t="shared" si="183"/>
        <v>0</v>
      </c>
      <c r="AL1147" s="406"/>
      <c r="AM1147" s="407">
        <f>AK1147</f>
        <v>0</v>
      </c>
      <c r="AN1147" s="583"/>
    </row>
    <row r="1148" spans="3:40" ht="12.75" x14ac:dyDescent="0.2">
      <c r="C1148" s="580"/>
      <c r="D1148" s="402" t="s">
        <v>42</v>
      </c>
      <c r="E1148" s="393" t="s">
        <v>18</v>
      </c>
      <c r="F1148" s="394"/>
      <c r="G1148" s="394"/>
      <c r="H1148" s="394"/>
      <c r="I1148" s="393"/>
      <c r="J1148" s="394"/>
      <c r="K1148" s="394"/>
      <c r="L1148" s="393"/>
      <c r="M1148" s="393"/>
      <c r="N1148" s="394"/>
      <c r="O1148" s="393"/>
      <c r="P1148" s="394">
        <f>5+19</f>
        <v>24</v>
      </c>
      <c r="Q1148" s="393"/>
      <c r="R1148" s="393">
        <v>13</v>
      </c>
      <c r="S1148" s="394"/>
      <c r="T1148" s="394"/>
      <c r="U1148" s="394"/>
      <c r="V1148" s="394"/>
      <c r="W1148" s="394"/>
      <c r="X1148" s="394"/>
      <c r="Y1148" s="394"/>
      <c r="Z1148" s="394"/>
      <c r="AA1148" s="394"/>
      <c r="AB1148" s="394"/>
      <c r="AC1148" s="394"/>
      <c r="AD1148" s="394"/>
      <c r="AE1148" s="394"/>
      <c r="AF1148" s="393">
        <v>3</v>
      </c>
      <c r="AG1148" s="394"/>
      <c r="AH1148" s="393">
        <v>10</v>
      </c>
      <c r="AI1148" s="393"/>
      <c r="AJ1148" s="394"/>
      <c r="AK1148" s="395">
        <f t="shared" si="183"/>
        <v>50</v>
      </c>
      <c r="AL1148" s="394">
        <f>AK1148</f>
        <v>50</v>
      </c>
      <c r="AM1148" s="396"/>
      <c r="AN1148" s="374">
        <f>AL1148</f>
        <v>50</v>
      </c>
    </row>
    <row r="1149" spans="3:40" ht="12.75" x14ac:dyDescent="0.2">
      <c r="C1149" s="580"/>
      <c r="D1149" s="402" t="s">
        <v>43</v>
      </c>
      <c r="E1149" s="404" t="s">
        <v>19</v>
      </c>
      <c r="F1149" s="396"/>
      <c r="G1149" s="396"/>
      <c r="H1149" s="396"/>
      <c r="I1149" s="396"/>
      <c r="J1149" s="396"/>
      <c r="K1149" s="396"/>
      <c r="L1149" s="396"/>
      <c r="M1149" s="396"/>
      <c r="N1149" s="396"/>
      <c r="O1149" s="396"/>
      <c r="P1149" s="396"/>
      <c r="Q1149" s="396"/>
      <c r="R1149" s="396"/>
      <c r="S1149" s="396"/>
      <c r="T1149" s="396"/>
      <c r="U1149" s="396"/>
      <c r="V1149" s="396"/>
      <c r="W1149" s="396"/>
      <c r="X1149" s="396"/>
      <c r="Y1149" s="396"/>
      <c r="Z1149" s="396"/>
      <c r="AA1149" s="396"/>
      <c r="AB1149" s="396"/>
      <c r="AC1149" s="396"/>
      <c r="AD1149" s="396"/>
      <c r="AE1149" s="396"/>
      <c r="AF1149" s="396"/>
      <c r="AG1149" s="396"/>
      <c r="AH1149" s="396"/>
      <c r="AI1149" s="396"/>
      <c r="AJ1149" s="396"/>
      <c r="AK1149" s="405">
        <f t="shared" si="183"/>
        <v>0</v>
      </c>
      <c r="AL1149" s="394"/>
      <c r="AM1149" s="396">
        <f>AK1149</f>
        <v>0</v>
      </c>
      <c r="AN1149" s="374">
        <f>AM1149</f>
        <v>0</v>
      </c>
    </row>
    <row r="1150" spans="3:40" ht="12.75" x14ac:dyDescent="0.2">
      <c r="C1150" s="580"/>
      <c r="D1150" s="643" t="s">
        <v>44</v>
      </c>
      <c r="E1150" s="393" t="s">
        <v>18</v>
      </c>
      <c r="F1150" s="393"/>
      <c r="G1150" s="394"/>
      <c r="H1150" s="394"/>
      <c r="I1150" s="394"/>
      <c r="J1150" s="394"/>
      <c r="K1150" s="394"/>
      <c r="L1150" s="394"/>
      <c r="M1150" s="393"/>
      <c r="N1150" s="394"/>
      <c r="O1150" s="394"/>
      <c r="P1150" s="394"/>
      <c r="Q1150" s="394"/>
      <c r="R1150" s="394"/>
      <c r="S1150" s="394"/>
      <c r="T1150" s="393"/>
      <c r="U1150" s="394"/>
      <c r="V1150" s="394"/>
      <c r="W1150" s="394"/>
      <c r="X1150" s="394"/>
      <c r="Y1150" s="394"/>
      <c r="Z1150" s="394"/>
      <c r="AA1150" s="394"/>
      <c r="AB1150" s="394"/>
      <c r="AC1150" s="394"/>
      <c r="AD1150" s="393"/>
      <c r="AE1150" s="394"/>
      <c r="AF1150" s="394"/>
      <c r="AG1150" s="394"/>
      <c r="AH1150" s="394"/>
      <c r="AI1150" s="394"/>
      <c r="AJ1150" s="394"/>
      <c r="AK1150" s="395">
        <f t="shared" si="183"/>
        <v>0</v>
      </c>
      <c r="AL1150" s="408">
        <f>AK1150</f>
        <v>0</v>
      </c>
      <c r="AM1150" s="409"/>
      <c r="AN1150" s="633">
        <f>SUM(AL1150:AM1151)</f>
        <v>5</v>
      </c>
    </row>
    <row r="1151" spans="3:40" ht="12.75" x14ac:dyDescent="0.2">
      <c r="C1151" s="581"/>
      <c r="D1151" s="585"/>
      <c r="E1151" s="404" t="s">
        <v>19</v>
      </c>
      <c r="F1151" s="407"/>
      <c r="G1151" s="407"/>
      <c r="H1151" s="407"/>
      <c r="I1151" s="407"/>
      <c r="J1151" s="407"/>
      <c r="K1151" s="407"/>
      <c r="L1151" s="407"/>
      <c r="M1151" s="407"/>
      <c r="N1151" s="407"/>
      <c r="O1151" s="407"/>
      <c r="P1151" s="407"/>
      <c r="Q1151" s="407"/>
      <c r="R1151" s="407"/>
      <c r="S1151" s="407"/>
      <c r="T1151" s="407"/>
      <c r="U1151" s="407"/>
      <c r="V1151" s="407"/>
      <c r="W1151" s="407"/>
      <c r="X1151" s="407"/>
      <c r="Y1151" s="407"/>
      <c r="Z1151" s="410">
        <v>5</v>
      </c>
      <c r="AA1151" s="407"/>
      <c r="AB1151" s="407"/>
      <c r="AC1151" s="407"/>
      <c r="AD1151" s="407"/>
      <c r="AE1151" s="407"/>
      <c r="AF1151" s="407"/>
      <c r="AG1151" s="407"/>
      <c r="AH1151" s="407"/>
      <c r="AI1151" s="407"/>
      <c r="AJ1151" s="407"/>
      <c r="AK1151" s="405">
        <f t="shared" si="183"/>
        <v>5</v>
      </c>
      <c r="AL1151" s="406"/>
      <c r="AM1151" s="407">
        <f>AK1151</f>
        <v>5</v>
      </c>
      <c r="AN1151" s="583"/>
    </row>
    <row r="1152" spans="3:40" ht="12.75" x14ac:dyDescent="0.2">
      <c r="C1152" s="629" t="s">
        <v>45</v>
      </c>
      <c r="D1152" s="644" t="s">
        <v>46</v>
      </c>
      <c r="E1152" s="411" t="s">
        <v>18</v>
      </c>
      <c r="F1152" s="412"/>
      <c r="G1152" s="411"/>
      <c r="H1152" s="412"/>
      <c r="I1152" s="411"/>
      <c r="J1152" s="412">
        <f>2.44+9.25</f>
        <v>11.69</v>
      </c>
      <c r="K1152" s="412"/>
      <c r="L1152" s="411"/>
      <c r="M1152" s="412"/>
      <c r="N1152" s="411">
        <v>4.79</v>
      </c>
      <c r="O1152" s="412">
        <f>8.11+3.89</f>
        <v>12</v>
      </c>
      <c r="P1152" s="412">
        <f>3.19+0.14</f>
        <v>3.33</v>
      </c>
      <c r="Q1152" s="411"/>
      <c r="R1152" s="411"/>
      <c r="S1152" s="411"/>
      <c r="T1152" s="411">
        <f>0.14+8.55+3.27</f>
        <v>11.96</v>
      </c>
      <c r="U1152" s="411">
        <v>29.99</v>
      </c>
      <c r="V1152" s="411">
        <v>1.1100000000000001</v>
      </c>
      <c r="W1152" s="411">
        <f>1.15+3.34</f>
        <v>4.49</v>
      </c>
      <c r="X1152" s="411">
        <f>0.14+9.29</f>
        <v>9.43</v>
      </c>
      <c r="Y1152" s="412"/>
      <c r="Z1152" s="412"/>
      <c r="AA1152" s="412">
        <f>1.37+4.35+4.69</f>
        <v>10.41</v>
      </c>
      <c r="AB1152" s="411"/>
      <c r="AC1152" s="411"/>
      <c r="AD1152" s="411">
        <f>0.15+9.43+1.79+2.31+3.99</f>
        <v>17.670000000000002</v>
      </c>
      <c r="AE1152" s="412"/>
      <c r="AF1152" s="411"/>
      <c r="AG1152" s="412"/>
      <c r="AH1152" s="412"/>
      <c r="AI1152" s="412"/>
      <c r="AJ1152" s="412"/>
      <c r="AK1152" s="395">
        <f t="shared" si="183"/>
        <v>116.86999999999999</v>
      </c>
      <c r="AL1152" s="408">
        <f>AK1152</f>
        <v>116.86999999999999</v>
      </c>
      <c r="AM1152" s="409"/>
      <c r="AN1152" s="633">
        <f>SUM(AL1152:AM1153)</f>
        <v>116.86999999999999</v>
      </c>
    </row>
    <row r="1153" spans="3:40" ht="12.75" x14ac:dyDescent="0.2">
      <c r="C1153" s="580"/>
      <c r="D1153" s="577"/>
      <c r="E1153" s="404" t="s">
        <v>19</v>
      </c>
      <c r="F1153" s="404"/>
      <c r="G1153" s="404"/>
      <c r="H1153" s="404"/>
      <c r="I1153" s="396"/>
      <c r="J1153" s="396"/>
      <c r="K1153" s="396"/>
      <c r="L1153" s="404"/>
      <c r="M1153" s="396"/>
      <c r="N1153" s="396"/>
      <c r="O1153" s="396"/>
      <c r="P1153" s="396"/>
      <c r="Q1153" s="396"/>
      <c r="R1153" s="396"/>
      <c r="S1153" s="404"/>
      <c r="T1153" s="404"/>
      <c r="U1153" s="396"/>
      <c r="V1153" s="404"/>
      <c r="W1153" s="396"/>
      <c r="X1153" s="404"/>
      <c r="Y1153" s="396"/>
      <c r="Z1153" s="404"/>
      <c r="AA1153" s="396"/>
      <c r="AB1153" s="404"/>
      <c r="AC1153" s="404"/>
      <c r="AD1153" s="404"/>
      <c r="AE1153" s="396"/>
      <c r="AF1153" s="396"/>
      <c r="AG1153" s="396"/>
      <c r="AH1153" s="396"/>
      <c r="AI1153" s="396"/>
      <c r="AJ1153" s="396"/>
      <c r="AK1153" s="405">
        <f t="shared" si="183"/>
        <v>0</v>
      </c>
      <c r="AL1153" s="406"/>
      <c r="AM1153" s="407">
        <f>AK1153</f>
        <v>0</v>
      </c>
      <c r="AN1153" s="583"/>
    </row>
    <row r="1154" spans="3:40" ht="12.75" x14ac:dyDescent="0.2">
      <c r="C1154" s="580"/>
      <c r="D1154" s="643" t="s">
        <v>47</v>
      </c>
      <c r="E1154" s="393" t="s">
        <v>18</v>
      </c>
      <c r="F1154" s="394">
        <f>2.1-0.1+4.96-0.27</f>
        <v>6.6899999999999995</v>
      </c>
      <c r="G1154" s="393">
        <v>10.9</v>
      </c>
      <c r="H1154" s="393">
        <v>17.93</v>
      </c>
      <c r="I1154" s="393">
        <f>0.99+2.59</f>
        <v>3.58</v>
      </c>
      <c r="J1154" s="393">
        <f>2.74+(0.75*4)+2.79</f>
        <v>8.5300000000000011</v>
      </c>
      <c r="K1154" s="394"/>
      <c r="L1154" s="393">
        <v>11.37</v>
      </c>
      <c r="M1154" s="393">
        <f>2.49+2.92</f>
        <v>5.41</v>
      </c>
      <c r="N1154" s="393">
        <f>3.86-0.58+3.47+1.52+1.52</f>
        <v>9.7899999999999991</v>
      </c>
      <c r="O1154" s="393">
        <f>0.72*3</f>
        <v>2.16</v>
      </c>
      <c r="P1154" s="393">
        <f>3.27+(0.75*3)</f>
        <v>5.52</v>
      </c>
      <c r="Q1154" s="393">
        <v>4.6900000000000004</v>
      </c>
      <c r="R1154" s="393">
        <v>10.82</v>
      </c>
      <c r="S1154" s="393"/>
      <c r="T1154" s="393">
        <f>4.98+(0.79*4)</f>
        <v>8.14</v>
      </c>
      <c r="U1154" s="393">
        <f>3.29+3.89+1.35+1.35+(0.79*4)+1.95</f>
        <v>14.989999999999998</v>
      </c>
      <c r="V1154" s="393">
        <f>13.84-1.11</f>
        <v>12.73</v>
      </c>
      <c r="W1154" s="394">
        <f>1.52+(0.79*4)</f>
        <v>4.68</v>
      </c>
      <c r="X1154" s="393">
        <v>3.05</v>
      </c>
      <c r="Y1154" s="393">
        <v>11.59</v>
      </c>
      <c r="Z1154" s="393">
        <v>9.76</v>
      </c>
      <c r="AA1154" s="393">
        <f>2.89</f>
        <v>2.89</v>
      </c>
      <c r="AB1154" s="393">
        <v>7.62</v>
      </c>
      <c r="AC1154" s="393"/>
      <c r="AD1154" s="393">
        <v>1.69</v>
      </c>
      <c r="AE1154" s="393">
        <f>3.69+4.05+0.79+0.79+3.66+3.99</f>
        <v>16.97</v>
      </c>
      <c r="AF1154" s="393">
        <v>9.15</v>
      </c>
      <c r="AG1154" s="393"/>
      <c r="AH1154" s="393">
        <v>6.49</v>
      </c>
      <c r="AI1154" s="394"/>
      <c r="AJ1154" s="394"/>
      <c r="AK1154" s="395">
        <f t="shared" si="183"/>
        <v>207.14</v>
      </c>
      <c r="AL1154" s="408">
        <f>AK1154</f>
        <v>207.14</v>
      </c>
      <c r="AM1154" s="409"/>
      <c r="AN1154" s="633">
        <f>SUM(AL1154:AM1155)</f>
        <v>207.14</v>
      </c>
    </row>
    <row r="1155" spans="3:40" ht="12.75" x14ac:dyDescent="0.2">
      <c r="C1155" s="580"/>
      <c r="D1155" s="577"/>
      <c r="E1155" s="404" t="s">
        <v>19</v>
      </c>
      <c r="F1155" s="396"/>
      <c r="G1155" s="396"/>
      <c r="H1155" s="404"/>
      <c r="I1155" s="404"/>
      <c r="J1155" s="404"/>
      <c r="K1155" s="396"/>
      <c r="L1155" s="396"/>
      <c r="M1155" s="396"/>
      <c r="N1155" s="396"/>
      <c r="O1155" s="396"/>
      <c r="P1155" s="404"/>
      <c r="Q1155" s="404"/>
      <c r="R1155" s="404"/>
      <c r="S1155" s="404"/>
      <c r="T1155" s="404"/>
      <c r="U1155" s="404"/>
      <c r="V1155" s="404"/>
      <c r="W1155" s="404"/>
      <c r="X1155" s="404"/>
      <c r="Y1155" s="396"/>
      <c r="Z1155" s="404"/>
      <c r="AA1155" s="396"/>
      <c r="AB1155" s="404"/>
      <c r="AC1155" s="396"/>
      <c r="AD1155" s="396"/>
      <c r="AE1155" s="396"/>
      <c r="AF1155" s="396"/>
      <c r="AG1155" s="396"/>
      <c r="AH1155" s="396"/>
      <c r="AI1155" s="396"/>
      <c r="AJ1155" s="396"/>
      <c r="AK1155" s="405">
        <f t="shared" si="183"/>
        <v>0</v>
      </c>
      <c r="AL1155" s="406"/>
      <c r="AM1155" s="407">
        <f>AK1155</f>
        <v>0</v>
      </c>
      <c r="AN1155" s="583"/>
    </row>
    <row r="1156" spans="3:40" ht="12.75" x14ac:dyDescent="0.2">
      <c r="C1156" s="580"/>
      <c r="D1156" s="643" t="s">
        <v>48</v>
      </c>
      <c r="E1156" s="393" t="s">
        <v>18</v>
      </c>
      <c r="F1156" s="393">
        <f>2.11+8.95-5.8+2.11</f>
        <v>7.3699999999999992</v>
      </c>
      <c r="G1156" s="393"/>
      <c r="H1156" s="393"/>
      <c r="I1156" s="393">
        <f>5.21+2.11</f>
        <v>7.32</v>
      </c>
      <c r="J1156" s="393">
        <f>2.11+3.96</f>
        <v>6.07</v>
      </c>
      <c r="K1156" s="393">
        <v>2.11</v>
      </c>
      <c r="L1156" s="393"/>
      <c r="M1156" s="394"/>
      <c r="N1156" s="394"/>
      <c r="O1156" s="393"/>
      <c r="P1156" s="393">
        <v>2.11</v>
      </c>
      <c r="Q1156" s="393">
        <f>2.11*2</f>
        <v>4.22</v>
      </c>
      <c r="R1156" s="393">
        <v>2.11</v>
      </c>
      <c r="S1156" s="393">
        <v>2.11</v>
      </c>
      <c r="T1156" s="393">
        <v>2.11</v>
      </c>
      <c r="U1156" s="393"/>
      <c r="V1156" s="393"/>
      <c r="W1156" s="393">
        <v>2.11</v>
      </c>
      <c r="X1156" s="393">
        <v>5.21</v>
      </c>
      <c r="Y1156" s="393">
        <v>5.21</v>
      </c>
      <c r="Z1156" s="394"/>
      <c r="AA1156" s="394"/>
      <c r="AB1156" s="393"/>
      <c r="AC1156" s="394"/>
      <c r="AD1156" s="393">
        <v>5.45</v>
      </c>
      <c r="AE1156" s="393">
        <f>2.11+3.1</f>
        <v>5.21</v>
      </c>
      <c r="AF1156" s="393">
        <f>5.21+11.5</f>
        <v>16.71</v>
      </c>
      <c r="AG1156" s="393">
        <v>2.11</v>
      </c>
      <c r="AH1156" s="394"/>
      <c r="AI1156" s="394"/>
      <c r="AJ1156" s="394"/>
      <c r="AK1156" s="395">
        <f t="shared" si="183"/>
        <v>77.540000000000006</v>
      </c>
      <c r="AL1156" s="408">
        <f>AK1156</f>
        <v>77.540000000000006</v>
      </c>
      <c r="AM1156" s="409"/>
      <c r="AN1156" s="633">
        <f>SUM(AL1156:AM1157)</f>
        <v>77.540000000000006</v>
      </c>
    </row>
    <row r="1157" spans="3:40" ht="12.75" x14ac:dyDescent="0.2">
      <c r="C1157" s="580"/>
      <c r="D1157" s="577"/>
      <c r="E1157" s="404" t="s">
        <v>19</v>
      </c>
      <c r="F1157" s="396"/>
      <c r="G1157" s="404"/>
      <c r="H1157" s="404"/>
      <c r="I1157" s="404"/>
      <c r="J1157" s="396"/>
      <c r="K1157" s="404"/>
      <c r="L1157" s="404"/>
      <c r="M1157" s="404"/>
      <c r="N1157" s="396"/>
      <c r="O1157" s="396"/>
      <c r="P1157" s="396"/>
      <c r="Q1157" s="404"/>
      <c r="R1157" s="404"/>
      <c r="S1157" s="404"/>
      <c r="T1157" s="404"/>
      <c r="U1157" s="404"/>
      <c r="V1157" s="404"/>
      <c r="W1157" s="404"/>
      <c r="X1157" s="404"/>
      <c r="Y1157" s="396"/>
      <c r="Z1157" s="396"/>
      <c r="AA1157" s="404"/>
      <c r="AB1157" s="404"/>
      <c r="AC1157" s="404"/>
      <c r="AD1157" s="404"/>
      <c r="AE1157" s="404"/>
      <c r="AF1157" s="396"/>
      <c r="AG1157" s="396"/>
      <c r="AH1157" s="396"/>
      <c r="AI1157" s="396"/>
      <c r="AJ1157" s="396"/>
      <c r="AK1157" s="405">
        <f t="shared" si="183"/>
        <v>0</v>
      </c>
      <c r="AL1157" s="406"/>
      <c r="AM1157" s="407">
        <f>AK1157</f>
        <v>0</v>
      </c>
      <c r="AN1157" s="583"/>
    </row>
    <row r="1158" spans="3:40" ht="12.75" x14ac:dyDescent="0.2">
      <c r="C1158" s="580"/>
      <c r="D1158" s="643" t="s">
        <v>49</v>
      </c>
      <c r="E1158" s="393" t="s">
        <v>18</v>
      </c>
      <c r="F1158" s="393"/>
      <c r="G1158" s="393"/>
      <c r="H1158" s="394"/>
      <c r="I1158" s="394"/>
      <c r="J1158" s="393"/>
      <c r="K1158" s="394"/>
      <c r="L1158" s="394"/>
      <c r="M1158" s="393"/>
      <c r="N1158" s="394"/>
      <c r="O1158" s="393">
        <v>2.19</v>
      </c>
      <c r="P1158" s="393"/>
      <c r="Q1158" s="393"/>
      <c r="R1158" s="393"/>
      <c r="S1158" s="393"/>
      <c r="T1158" s="393"/>
      <c r="U1158" s="393"/>
      <c r="V1158" s="393">
        <v>6.48</v>
      </c>
      <c r="W1158" s="393"/>
      <c r="X1158" s="394"/>
      <c r="Y1158" s="394"/>
      <c r="Z1158" s="393"/>
      <c r="AA1158" s="393"/>
      <c r="AB1158" s="393">
        <v>1.88</v>
      </c>
      <c r="AC1158" s="393"/>
      <c r="AD1158" s="394"/>
      <c r="AE1158" s="393"/>
      <c r="AF1158" s="394"/>
      <c r="AG1158" s="394"/>
      <c r="AH1158" s="394"/>
      <c r="AI1158" s="394"/>
      <c r="AJ1158" s="394"/>
      <c r="AK1158" s="395">
        <f t="shared" si="183"/>
        <v>10.55</v>
      </c>
      <c r="AL1158" s="408">
        <f>AK1158</f>
        <v>10.55</v>
      </c>
      <c r="AM1158" s="409"/>
      <c r="AN1158" s="633">
        <f>SUM(AL1158:AM1159)</f>
        <v>10.55</v>
      </c>
    </row>
    <row r="1159" spans="3:40" ht="12.75" x14ac:dyDescent="0.2">
      <c r="C1159" s="580"/>
      <c r="D1159" s="577"/>
      <c r="E1159" s="404" t="s">
        <v>19</v>
      </c>
      <c r="F1159" s="396"/>
      <c r="G1159" s="396"/>
      <c r="H1159" s="404"/>
      <c r="I1159" s="404"/>
      <c r="J1159" s="404"/>
      <c r="K1159" s="404"/>
      <c r="L1159" s="404"/>
      <c r="M1159" s="404"/>
      <c r="N1159" s="404"/>
      <c r="O1159" s="404"/>
      <c r="P1159" s="404"/>
      <c r="Q1159" s="404"/>
      <c r="R1159" s="404"/>
      <c r="S1159" s="404"/>
      <c r="T1159" s="404"/>
      <c r="U1159" s="404"/>
      <c r="V1159" s="404"/>
      <c r="W1159" s="404"/>
      <c r="X1159" s="404"/>
      <c r="Y1159" s="404"/>
      <c r="Z1159" s="404"/>
      <c r="AA1159" s="396"/>
      <c r="AB1159" s="396"/>
      <c r="AC1159" s="396"/>
      <c r="AD1159" s="396"/>
      <c r="AE1159" s="404"/>
      <c r="AF1159" s="396"/>
      <c r="AG1159" s="396"/>
      <c r="AH1159" s="396"/>
      <c r="AI1159" s="396"/>
      <c r="AJ1159" s="396"/>
      <c r="AK1159" s="405">
        <f t="shared" si="183"/>
        <v>0</v>
      </c>
      <c r="AL1159" s="406"/>
      <c r="AM1159" s="407">
        <f>AK1159</f>
        <v>0</v>
      </c>
      <c r="AN1159" s="583"/>
    </row>
    <row r="1160" spans="3:40" ht="12.75" x14ac:dyDescent="0.2">
      <c r="C1160" s="580"/>
      <c r="D1160" s="643" t="s">
        <v>50</v>
      </c>
      <c r="E1160" s="393" t="s">
        <v>18</v>
      </c>
      <c r="F1160" s="393">
        <f>5.8*2</f>
        <v>11.6</v>
      </c>
      <c r="G1160" s="393">
        <v>5.8</v>
      </c>
      <c r="H1160" s="393">
        <v>5.8</v>
      </c>
      <c r="I1160" s="393">
        <v>5.8</v>
      </c>
      <c r="J1160" s="393">
        <v>5.8</v>
      </c>
      <c r="K1160" s="393">
        <f>5.8+7.5</f>
        <v>13.3</v>
      </c>
      <c r="L1160" s="393">
        <v>5.8</v>
      </c>
      <c r="M1160" s="393">
        <v>5.8</v>
      </c>
      <c r="N1160" s="393">
        <v>5.8</v>
      </c>
      <c r="O1160" s="393">
        <v>5.8</v>
      </c>
      <c r="P1160" s="393">
        <v>5.8</v>
      </c>
      <c r="Q1160" s="393">
        <f>5.8*2</f>
        <v>11.6</v>
      </c>
      <c r="R1160" s="393">
        <v>5.8</v>
      </c>
      <c r="S1160" s="393"/>
      <c r="T1160" s="393">
        <f>5.8*2</f>
        <v>11.6</v>
      </c>
      <c r="U1160" s="393">
        <v>5.8</v>
      </c>
      <c r="V1160" s="393">
        <v>5.8</v>
      </c>
      <c r="W1160" s="393">
        <v>5.8</v>
      </c>
      <c r="X1160" s="393">
        <v>5.8</v>
      </c>
      <c r="Y1160" s="393">
        <v>5.8</v>
      </c>
      <c r="Z1160" s="393">
        <v>5.8</v>
      </c>
      <c r="AA1160" s="393">
        <v>5.8</v>
      </c>
      <c r="AB1160" s="393"/>
      <c r="AC1160" s="393"/>
      <c r="AD1160" s="393">
        <v>5.8</v>
      </c>
      <c r="AE1160" s="393">
        <v>5.8</v>
      </c>
      <c r="AF1160" s="393">
        <v>5.8</v>
      </c>
      <c r="AG1160" s="394"/>
      <c r="AH1160" s="393">
        <f>5.8*2</f>
        <v>11.6</v>
      </c>
      <c r="AI1160" s="393">
        <v>5.8</v>
      </c>
      <c r="AJ1160" s="394"/>
      <c r="AK1160" s="395">
        <f t="shared" si="183"/>
        <v>181.50000000000003</v>
      </c>
      <c r="AL1160" s="408">
        <f>AK1160</f>
        <v>181.50000000000003</v>
      </c>
      <c r="AM1160" s="409"/>
      <c r="AN1160" s="633">
        <f>SUM(AL1160:AM1161)</f>
        <v>181.50000000000003</v>
      </c>
    </row>
    <row r="1161" spans="3:40" ht="12.75" x14ac:dyDescent="0.2">
      <c r="C1161" s="580"/>
      <c r="D1161" s="577"/>
      <c r="E1161" s="404" t="s">
        <v>19</v>
      </c>
      <c r="F1161" s="404"/>
      <c r="G1161" s="404"/>
      <c r="H1161" s="404"/>
      <c r="I1161" s="404"/>
      <c r="J1161" s="404"/>
      <c r="K1161" s="404"/>
      <c r="L1161" s="404"/>
      <c r="M1161" s="404"/>
      <c r="N1161" s="404"/>
      <c r="O1161" s="404"/>
      <c r="P1161" s="404"/>
      <c r="Q1161" s="404"/>
      <c r="R1161" s="404"/>
      <c r="S1161" s="404"/>
      <c r="T1161" s="404"/>
      <c r="U1161" s="404"/>
      <c r="V1161" s="404"/>
      <c r="W1161" s="404"/>
      <c r="X1161" s="404"/>
      <c r="Y1161" s="404"/>
      <c r="Z1161" s="404"/>
      <c r="AA1161" s="404"/>
      <c r="AB1161" s="404"/>
      <c r="AC1161" s="404"/>
      <c r="AD1161" s="396"/>
      <c r="AE1161" s="396"/>
      <c r="AF1161" s="396"/>
      <c r="AG1161" s="396"/>
      <c r="AH1161" s="396"/>
      <c r="AI1161" s="396"/>
      <c r="AJ1161" s="396"/>
      <c r="AK1161" s="405">
        <f t="shared" si="183"/>
        <v>0</v>
      </c>
      <c r="AL1161" s="406"/>
      <c r="AM1161" s="407">
        <f>AK1161</f>
        <v>0</v>
      </c>
      <c r="AN1161" s="583"/>
    </row>
    <row r="1162" spans="3:40" ht="12.75" x14ac:dyDescent="0.2">
      <c r="C1162" s="580"/>
      <c r="D1162" s="643" t="s">
        <v>1</v>
      </c>
      <c r="E1162" s="393" t="s">
        <v>18</v>
      </c>
      <c r="F1162" s="394"/>
      <c r="G1162" s="394"/>
      <c r="H1162" s="394"/>
      <c r="I1162" s="393">
        <v>2.89</v>
      </c>
      <c r="J1162" s="393"/>
      <c r="K1162" s="393">
        <v>14.28</v>
      </c>
      <c r="L1162" s="393"/>
      <c r="M1162" s="394"/>
      <c r="N1162" s="394"/>
      <c r="O1162" s="394"/>
      <c r="P1162" s="394"/>
      <c r="Q1162" s="393"/>
      <c r="R1162" s="393"/>
      <c r="S1162" s="393"/>
      <c r="T1162" s="394"/>
      <c r="U1162" s="393"/>
      <c r="V1162" s="393"/>
      <c r="W1162" s="393"/>
      <c r="X1162" s="393"/>
      <c r="Y1162" s="393"/>
      <c r="Z1162" s="393"/>
      <c r="AA1162" s="393"/>
      <c r="AB1162" s="393"/>
      <c r="AC1162" s="393"/>
      <c r="AD1162" s="393"/>
      <c r="AE1162" s="394"/>
      <c r="AF1162" s="394"/>
      <c r="AG1162" s="394"/>
      <c r="AH1162" s="394"/>
      <c r="AI1162" s="394"/>
      <c r="AJ1162" s="394"/>
      <c r="AK1162" s="395">
        <f t="shared" si="183"/>
        <v>17.169999999999998</v>
      </c>
      <c r="AL1162" s="403">
        <f>AK1162</f>
        <v>17.169999999999998</v>
      </c>
      <c r="AM1162" s="396"/>
      <c r="AN1162" s="633">
        <f>SUM(AL1162:AM1163)</f>
        <v>17.169999999999998</v>
      </c>
    </row>
    <row r="1163" spans="3:40" ht="12.75" x14ac:dyDescent="0.2">
      <c r="C1163" s="580"/>
      <c r="D1163" s="577"/>
      <c r="E1163" s="404" t="s">
        <v>19</v>
      </c>
      <c r="F1163" s="396"/>
      <c r="G1163" s="396"/>
      <c r="H1163" s="404"/>
      <c r="I1163" s="404"/>
      <c r="J1163" s="396"/>
      <c r="K1163" s="396"/>
      <c r="L1163" s="396"/>
      <c r="M1163" s="396"/>
      <c r="N1163" s="396"/>
      <c r="O1163" s="396"/>
      <c r="P1163" s="396"/>
      <c r="Q1163" s="404"/>
      <c r="R1163" s="404"/>
      <c r="S1163" s="404"/>
      <c r="T1163" s="396"/>
      <c r="U1163" s="404"/>
      <c r="V1163" s="404"/>
      <c r="W1163" s="396"/>
      <c r="X1163" s="404"/>
      <c r="Y1163" s="404"/>
      <c r="Z1163" s="404"/>
      <c r="AA1163" s="404"/>
      <c r="AB1163" s="404"/>
      <c r="AC1163" s="404"/>
      <c r="AD1163" s="396"/>
      <c r="AE1163" s="396"/>
      <c r="AF1163" s="396"/>
      <c r="AG1163" s="396"/>
      <c r="AH1163" s="396"/>
      <c r="AI1163" s="396"/>
      <c r="AJ1163" s="396"/>
      <c r="AK1163" s="405">
        <f t="shared" si="183"/>
        <v>0</v>
      </c>
      <c r="AL1163" s="403"/>
      <c r="AM1163" s="396">
        <f>AK1163</f>
        <v>0</v>
      </c>
      <c r="AN1163" s="583"/>
    </row>
    <row r="1164" spans="3:40" ht="12.75" x14ac:dyDescent="0.2">
      <c r="C1164" s="580"/>
      <c r="D1164" s="643" t="s">
        <v>78</v>
      </c>
      <c r="E1164" s="393" t="s">
        <v>18</v>
      </c>
      <c r="F1164" s="394"/>
      <c r="G1164" s="394"/>
      <c r="H1164" s="394"/>
      <c r="I1164" s="394"/>
      <c r="J1164" s="394"/>
      <c r="K1164" s="393"/>
      <c r="L1164" s="393"/>
      <c r="M1164" s="394"/>
      <c r="N1164" s="394"/>
      <c r="O1164" s="393"/>
      <c r="P1164" s="393"/>
      <c r="Q1164" s="394"/>
      <c r="R1164" s="394"/>
      <c r="S1164" s="394"/>
      <c r="T1164" s="394"/>
      <c r="U1164" s="394"/>
      <c r="V1164" s="394"/>
      <c r="W1164" s="393"/>
      <c r="X1164" s="393"/>
      <c r="Y1164" s="393"/>
      <c r="Z1164" s="393"/>
      <c r="AA1164" s="394"/>
      <c r="AB1164" s="394"/>
      <c r="AC1164" s="394"/>
      <c r="AD1164" s="394"/>
      <c r="AE1164" s="394"/>
      <c r="AF1164" s="394"/>
      <c r="AG1164" s="394"/>
      <c r="AH1164" s="394"/>
      <c r="AI1164" s="394"/>
      <c r="AJ1164" s="394"/>
      <c r="AK1164" s="395">
        <f t="shared" si="183"/>
        <v>0</v>
      </c>
      <c r="AL1164" s="408">
        <f>AK1164</f>
        <v>0</v>
      </c>
      <c r="AM1164" s="409"/>
      <c r="AN1164" s="634">
        <f>SUM(AL1164:AM1165)</f>
        <v>0</v>
      </c>
    </row>
    <row r="1165" spans="3:40" ht="12.75" x14ac:dyDescent="0.2">
      <c r="C1165" s="580"/>
      <c r="D1165" s="577"/>
      <c r="E1165" s="404" t="s">
        <v>19</v>
      </c>
      <c r="F1165" s="396"/>
      <c r="G1165" s="396"/>
      <c r="H1165" s="396"/>
      <c r="I1165" s="396"/>
      <c r="J1165" s="396"/>
      <c r="K1165" s="396"/>
      <c r="L1165" s="396"/>
      <c r="M1165" s="396"/>
      <c r="N1165" s="396"/>
      <c r="O1165" s="396"/>
      <c r="P1165" s="396"/>
      <c r="Q1165" s="396"/>
      <c r="R1165" s="396"/>
      <c r="S1165" s="396"/>
      <c r="T1165" s="396"/>
      <c r="U1165" s="396"/>
      <c r="V1165" s="396"/>
      <c r="W1165" s="396"/>
      <c r="X1165" s="396"/>
      <c r="Y1165" s="396"/>
      <c r="Z1165" s="396"/>
      <c r="AA1165" s="396"/>
      <c r="AB1165" s="396"/>
      <c r="AC1165" s="396"/>
      <c r="AD1165" s="396"/>
      <c r="AE1165" s="396"/>
      <c r="AF1165" s="396"/>
      <c r="AG1165" s="396"/>
      <c r="AH1165" s="396"/>
      <c r="AI1165" s="396"/>
      <c r="AJ1165" s="396"/>
      <c r="AK1165" s="405">
        <f t="shared" si="183"/>
        <v>0</v>
      </c>
      <c r="AL1165" s="406"/>
      <c r="AM1165" s="407">
        <f>AK1165</f>
        <v>0</v>
      </c>
      <c r="AN1165" s="583"/>
    </row>
    <row r="1166" spans="3:40" ht="12.75" x14ac:dyDescent="0.2">
      <c r="C1166" s="580"/>
      <c r="D1166" s="643" t="s">
        <v>52</v>
      </c>
      <c r="E1166" s="393" t="s">
        <v>18</v>
      </c>
      <c r="F1166" s="394"/>
      <c r="G1166" s="394"/>
      <c r="H1166" s="394"/>
      <c r="I1166" s="394"/>
      <c r="J1166" s="394"/>
      <c r="K1166" s="394"/>
      <c r="L1166" s="394"/>
      <c r="M1166" s="394"/>
      <c r="N1166" s="394"/>
      <c r="O1166" s="394"/>
      <c r="P1166" s="394"/>
      <c r="Q1166" s="394"/>
      <c r="R1166" s="394"/>
      <c r="S1166" s="394"/>
      <c r="T1166" s="394"/>
      <c r="U1166" s="394"/>
      <c r="V1166" s="394"/>
      <c r="W1166" s="394"/>
      <c r="X1166" s="394"/>
      <c r="Y1166" s="393"/>
      <c r="Z1166" s="393"/>
      <c r="AA1166" s="394"/>
      <c r="AB1166" s="394"/>
      <c r="AC1166" s="394"/>
      <c r="AD1166" s="394"/>
      <c r="AE1166" s="394"/>
      <c r="AF1166" s="394"/>
      <c r="AG1166" s="394"/>
      <c r="AH1166" s="394"/>
      <c r="AI1166" s="394"/>
      <c r="AJ1166" s="414"/>
      <c r="AK1166" s="395">
        <f t="shared" si="183"/>
        <v>0</v>
      </c>
      <c r="AL1166" s="408">
        <f>AK1166</f>
        <v>0</v>
      </c>
      <c r="AM1166" s="409"/>
      <c r="AN1166" s="633">
        <f>SUM(AL1166:AM1167)</f>
        <v>0</v>
      </c>
    </row>
    <row r="1167" spans="3:40" ht="12.75" x14ac:dyDescent="0.2">
      <c r="C1167" s="581"/>
      <c r="D1167" s="585"/>
      <c r="E1167" s="404" t="s">
        <v>19</v>
      </c>
      <c r="F1167" s="396"/>
      <c r="G1167" s="396"/>
      <c r="H1167" s="396"/>
      <c r="I1167" s="396"/>
      <c r="J1167" s="396"/>
      <c r="K1167" s="396"/>
      <c r="L1167" s="396"/>
      <c r="M1167" s="396"/>
      <c r="N1167" s="396"/>
      <c r="O1167" s="396"/>
      <c r="P1167" s="396"/>
      <c r="Q1167" s="396"/>
      <c r="R1167" s="396"/>
      <c r="S1167" s="396"/>
      <c r="T1167" s="396"/>
      <c r="U1167" s="396"/>
      <c r="V1167" s="396"/>
      <c r="W1167" s="396"/>
      <c r="X1167" s="396"/>
      <c r="Y1167" s="404"/>
      <c r="Z1167" s="404"/>
      <c r="AA1167" s="396"/>
      <c r="AB1167" s="396"/>
      <c r="AC1167" s="396"/>
      <c r="AD1167" s="396"/>
      <c r="AE1167" s="396"/>
      <c r="AF1167" s="396"/>
      <c r="AG1167" s="396"/>
      <c r="AH1167" s="396"/>
      <c r="AI1167" s="396"/>
      <c r="AJ1167" s="415"/>
      <c r="AK1167" s="405">
        <f t="shared" si="183"/>
        <v>0</v>
      </c>
      <c r="AL1167" s="406"/>
      <c r="AM1167" s="407">
        <f>AK1167</f>
        <v>0</v>
      </c>
      <c r="AN1167" s="583"/>
    </row>
    <row r="1168" spans="3:40" ht="12.75" x14ac:dyDescent="0.2">
      <c r="C1168" s="629" t="s">
        <v>53</v>
      </c>
      <c r="D1168" s="416" t="s">
        <v>54</v>
      </c>
      <c r="E1168" s="411" t="s">
        <v>18</v>
      </c>
      <c r="F1168" s="412"/>
      <c r="G1168" s="411">
        <v>7</v>
      </c>
      <c r="H1168" s="412"/>
      <c r="I1168" s="412"/>
      <c r="J1168" s="412"/>
      <c r="K1168" s="411"/>
      <c r="L1168" s="412"/>
      <c r="M1168" s="412"/>
      <c r="N1168" s="412"/>
      <c r="O1168" s="412"/>
      <c r="P1168" s="412"/>
      <c r="Q1168" s="412"/>
      <c r="R1168" s="412"/>
      <c r="S1168" s="412"/>
      <c r="T1168" s="412"/>
      <c r="U1168" s="412"/>
      <c r="V1168" s="412"/>
      <c r="W1168" s="412"/>
      <c r="X1168" s="412"/>
      <c r="Y1168" s="412"/>
      <c r="Z1168" s="412"/>
      <c r="AA1168" s="412"/>
      <c r="AB1168" s="412"/>
      <c r="AC1168" s="412"/>
      <c r="AD1168" s="412"/>
      <c r="AE1168" s="412"/>
      <c r="AF1168" s="412"/>
      <c r="AG1168" s="412"/>
      <c r="AH1168" s="412"/>
      <c r="AI1168" s="412"/>
      <c r="AJ1168" s="417"/>
      <c r="AK1168" s="395">
        <f t="shared" si="183"/>
        <v>7</v>
      </c>
      <c r="AL1168" s="394">
        <f t="shared" ref="AL1168:AL1170" si="186">AK1168</f>
        <v>7</v>
      </c>
      <c r="AM1168" s="396"/>
      <c r="AN1168" s="374">
        <f t="shared" ref="AN1168:AN1169" si="187">AL1168</f>
        <v>7</v>
      </c>
    </row>
    <row r="1169" spans="3:40" ht="12.75" x14ac:dyDescent="0.2">
      <c r="C1169" s="580"/>
      <c r="D1169" s="402" t="s">
        <v>55</v>
      </c>
      <c r="E1169" s="393" t="s">
        <v>18</v>
      </c>
      <c r="F1169" s="394"/>
      <c r="G1169" s="394"/>
      <c r="H1169" s="394"/>
      <c r="I1169" s="394"/>
      <c r="J1169" s="394"/>
      <c r="K1169" s="394"/>
      <c r="L1169" s="393">
        <v>53.75</v>
      </c>
      <c r="M1169" s="394"/>
      <c r="N1169" s="394"/>
      <c r="O1169" s="394"/>
      <c r="P1169" s="394"/>
      <c r="Q1169" s="394"/>
      <c r="R1169" s="394"/>
      <c r="S1169" s="394"/>
      <c r="T1169" s="394"/>
      <c r="U1169" s="393"/>
      <c r="V1169" s="393"/>
      <c r="W1169" s="394"/>
      <c r="X1169" s="394"/>
      <c r="Y1169" s="394"/>
      <c r="Z1169" s="394"/>
      <c r="AA1169" s="394"/>
      <c r="AB1169" s="394"/>
      <c r="AC1169" s="393"/>
      <c r="AD1169" s="394"/>
      <c r="AE1169" s="394"/>
      <c r="AF1169" s="393">
        <v>20.88</v>
      </c>
      <c r="AG1169" s="394"/>
      <c r="AH1169" s="394"/>
      <c r="AI1169" s="394"/>
      <c r="AJ1169" s="414"/>
      <c r="AK1169" s="395">
        <f t="shared" si="183"/>
        <v>74.63</v>
      </c>
      <c r="AL1169" s="394">
        <f t="shared" si="186"/>
        <v>74.63</v>
      </c>
      <c r="AM1169" s="396"/>
      <c r="AN1169" s="374">
        <f t="shared" si="187"/>
        <v>74.63</v>
      </c>
    </row>
    <row r="1170" spans="3:40" ht="12.75" x14ac:dyDescent="0.2">
      <c r="C1170" s="580"/>
      <c r="D1170" s="643" t="s">
        <v>56</v>
      </c>
      <c r="E1170" s="393" t="s">
        <v>18</v>
      </c>
      <c r="F1170" s="394"/>
      <c r="G1170" s="394"/>
      <c r="H1170" s="393"/>
      <c r="I1170" s="394"/>
      <c r="J1170" s="394"/>
      <c r="K1170" s="394"/>
      <c r="L1170" s="394"/>
      <c r="M1170" s="394"/>
      <c r="N1170" s="393"/>
      <c r="O1170" s="394"/>
      <c r="P1170" s="394"/>
      <c r="Q1170" s="394"/>
      <c r="R1170" s="394"/>
      <c r="S1170" s="394"/>
      <c r="T1170" s="393"/>
      <c r="U1170" s="393"/>
      <c r="V1170" s="394"/>
      <c r="W1170" s="394"/>
      <c r="X1170" s="394"/>
      <c r="Y1170" s="394"/>
      <c r="Z1170" s="394"/>
      <c r="AA1170" s="394"/>
      <c r="AB1170" s="394"/>
      <c r="AC1170" s="394"/>
      <c r="AD1170" s="394"/>
      <c r="AE1170" s="394"/>
      <c r="AF1170" s="394"/>
      <c r="AG1170" s="394"/>
      <c r="AH1170" s="394"/>
      <c r="AI1170" s="394"/>
      <c r="AJ1170" s="414"/>
      <c r="AK1170" s="395">
        <f t="shared" si="183"/>
        <v>0</v>
      </c>
      <c r="AL1170" s="408">
        <f t="shared" si="186"/>
        <v>0</v>
      </c>
      <c r="AM1170" s="409"/>
      <c r="AN1170" s="633">
        <f>SUM(AL1170:AM1171)</f>
        <v>0</v>
      </c>
    </row>
    <row r="1171" spans="3:40" ht="12.75" x14ac:dyDescent="0.2">
      <c r="C1171" s="580"/>
      <c r="D1171" s="577"/>
      <c r="E1171" s="404" t="s">
        <v>19</v>
      </c>
      <c r="F1171" s="396"/>
      <c r="G1171" s="396"/>
      <c r="H1171" s="396"/>
      <c r="I1171" s="396"/>
      <c r="J1171" s="396"/>
      <c r="K1171" s="396"/>
      <c r="L1171" s="396"/>
      <c r="M1171" s="396"/>
      <c r="N1171" s="396"/>
      <c r="O1171" s="396"/>
      <c r="P1171" s="396"/>
      <c r="Q1171" s="396"/>
      <c r="R1171" s="396"/>
      <c r="S1171" s="396"/>
      <c r="T1171" s="396"/>
      <c r="U1171" s="396"/>
      <c r="V1171" s="396"/>
      <c r="W1171" s="396"/>
      <c r="X1171" s="396"/>
      <c r="Y1171" s="396"/>
      <c r="Z1171" s="396"/>
      <c r="AA1171" s="396"/>
      <c r="AB1171" s="396"/>
      <c r="AC1171" s="396"/>
      <c r="AD1171" s="396"/>
      <c r="AE1171" s="396"/>
      <c r="AF1171" s="396"/>
      <c r="AG1171" s="396"/>
      <c r="AH1171" s="396"/>
      <c r="AI1171" s="396"/>
      <c r="AJ1171" s="415"/>
      <c r="AK1171" s="405">
        <f t="shared" si="183"/>
        <v>0</v>
      </c>
      <c r="AL1171" s="406"/>
      <c r="AM1171" s="407">
        <f>AK1171</f>
        <v>0</v>
      </c>
      <c r="AN1171" s="583"/>
    </row>
    <row r="1172" spans="3:40" ht="12.75" x14ac:dyDescent="0.2">
      <c r="C1172" s="580"/>
      <c r="D1172" s="643" t="s">
        <v>57</v>
      </c>
      <c r="E1172" s="393" t="s">
        <v>18</v>
      </c>
      <c r="F1172" s="394"/>
      <c r="G1172" s="394"/>
      <c r="H1172" s="394"/>
      <c r="I1172" s="394"/>
      <c r="J1172" s="394"/>
      <c r="K1172" s="394"/>
      <c r="L1172" s="394"/>
      <c r="M1172" s="393"/>
      <c r="N1172" s="394"/>
      <c r="O1172" s="394"/>
      <c r="P1172" s="394"/>
      <c r="Q1172" s="394"/>
      <c r="R1172" s="394"/>
      <c r="S1172" s="394"/>
      <c r="T1172" s="393"/>
      <c r="U1172" s="394"/>
      <c r="V1172" s="394"/>
      <c r="W1172" s="394"/>
      <c r="X1172" s="394"/>
      <c r="Y1172" s="393"/>
      <c r="Z1172" s="394"/>
      <c r="AA1172" s="394"/>
      <c r="AB1172" s="394"/>
      <c r="AC1172" s="394"/>
      <c r="AD1172" s="394"/>
      <c r="AE1172" s="394"/>
      <c r="AF1172" s="394"/>
      <c r="AG1172" s="394"/>
      <c r="AH1172" s="394"/>
      <c r="AI1172" s="394"/>
      <c r="AJ1172" s="414"/>
      <c r="AK1172" s="395">
        <f t="shared" si="183"/>
        <v>0</v>
      </c>
      <c r="AL1172" s="408">
        <f>AK1172</f>
        <v>0</v>
      </c>
      <c r="AM1172" s="409"/>
      <c r="AN1172" s="633">
        <f>SUM(AL1172:AM1173)</f>
        <v>0</v>
      </c>
    </row>
    <row r="1173" spans="3:40" ht="12.75" x14ac:dyDescent="0.2">
      <c r="C1173" s="581"/>
      <c r="D1173" s="585"/>
      <c r="E1173" s="410" t="s">
        <v>19</v>
      </c>
      <c r="F1173" s="407"/>
      <c r="G1173" s="407"/>
      <c r="H1173" s="407"/>
      <c r="I1173" s="407"/>
      <c r="J1173" s="407"/>
      <c r="K1173" s="407"/>
      <c r="L1173" s="407"/>
      <c r="M1173" s="407"/>
      <c r="N1173" s="407"/>
      <c r="O1173" s="407"/>
      <c r="P1173" s="407"/>
      <c r="Q1173" s="407"/>
      <c r="R1173" s="407"/>
      <c r="S1173" s="407"/>
      <c r="T1173" s="410"/>
      <c r="U1173" s="407"/>
      <c r="V1173" s="407"/>
      <c r="W1173" s="407"/>
      <c r="X1173" s="407"/>
      <c r="Y1173" s="407"/>
      <c r="Z1173" s="407"/>
      <c r="AA1173" s="407"/>
      <c r="AB1173" s="407"/>
      <c r="AC1173" s="407"/>
      <c r="AD1173" s="407"/>
      <c r="AE1173" s="407"/>
      <c r="AF1173" s="407"/>
      <c r="AG1173" s="407"/>
      <c r="AH1173" s="407"/>
      <c r="AI1173" s="407"/>
      <c r="AJ1173" s="418"/>
      <c r="AK1173" s="405">
        <f t="shared" si="183"/>
        <v>0</v>
      </c>
      <c r="AL1173" s="406"/>
      <c r="AM1173" s="407">
        <f>AK1173</f>
        <v>0</v>
      </c>
      <c r="AN1173" s="583"/>
    </row>
    <row r="1174" spans="3:40" ht="12.75" x14ac:dyDescent="0.2">
      <c r="C1174" s="629" t="s">
        <v>58</v>
      </c>
      <c r="D1174" s="644" t="s">
        <v>88</v>
      </c>
      <c r="E1174" s="411" t="s">
        <v>18</v>
      </c>
      <c r="F1174" s="412"/>
      <c r="G1174" s="412"/>
      <c r="H1174" s="412"/>
      <c r="I1174" s="412"/>
      <c r="J1174" s="412"/>
      <c r="K1174" s="411">
        <v>25</v>
      </c>
      <c r="L1174" s="411">
        <v>103.1</v>
      </c>
      <c r="M1174" s="411"/>
      <c r="N1174" s="412"/>
      <c r="O1174" s="412"/>
      <c r="P1174" s="412"/>
      <c r="Q1174" s="412"/>
      <c r="R1174" s="412"/>
      <c r="S1174" s="411"/>
      <c r="T1174" s="412"/>
      <c r="U1174" s="412"/>
      <c r="V1174" s="412"/>
      <c r="W1174" s="412"/>
      <c r="X1174" s="411"/>
      <c r="Y1174" s="411"/>
      <c r="Z1174" s="411">
        <v>18.489999999999998</v>
      </c>
      <c r="AA1174" s="412"/>
      <c r="AB1174" s="412"/>
      <c r="AC1174" s="412"/>
      <c r="AD1174" s="412"/>
      <c r="AE1174" s="412">
        <f>9.29+60</f>
        <v>69.289999999999992</v>
      </c>
      <c r="AF1174" s="412"/>
      <c r="AG1174" s="411">
        <f>281.93+20.99</f>
        <v>302.92</v>
      </c>
      <c r="AH1174" s="412"/>
      <c r="AI1174" s="412">
        <f>15+88.96+92.99+113.96+116.67-5.8</f>
        <v>421.78</v>
      </c>
      <c r="AJ1174" s="417"/>
      <c r="AK1174" s="395">
        <f t="shared" si="183"/>
        <v>940.57999999999993</v>
      </c>
      <c r="AL1174" s="408">
        <f>AK1174</f>
        <v>940.57999999999993</v>
      </c>
      <c r="AM1174" s="409"/>
      <c r="AN1174" s="635">
        <f>SUM(AL1174:AM1175)</f>
        <v>1060.58</v>
      </c>
    </row>
    <row r="1175" spans="3:40" ht="12.75" x14ac:dyDescent="0.2">
      <c r="C1175" s="580"/>
      <c r="D1175" s="577"/>
      <c r="E1175" s="404" t="s">
        <v>19</v>
      </c>
      <c r="F1175" s="396"/>
      <c r="G1175" s="396"/>
      <c r="H1175" s="396"/>
      <c r="I1175" s="396"/>
      <c r="J1175" s="396"/>
      <c r="K1175" s="404"/>
      <c r="L1175" s="396"/>
      <c r="M1175" s="396"/>
      <c r="N1175" s="396"/>
      <c r="O1175" s="404"/>
      <c r="P1175" s="396"/>
      <c r="Q1175" s="396"/>
      <c r="R1175" s="396"/>
      <c r="S1175" s="396"/>
      <c r="T1175" s="396"/>
      <c r="U1175" s="396"/>
      <c r="V1175" s="396"/>
      <c r="W1175" s="404"/>
      <c r="X1175" s="396"/>
      <c r="Y1175" s="396"/>
      <c r="Z1175" s="396"/>
      <c r="AA1175" s="396"/>
      <c r="AB1175" s="396"/>
      <c r="AC1175" s="396"/>
      <c r="AD1175" s="396"/>
      <c r="AE1175" s="396"/>
      <c r="AF1175" s="396"/>
      <c r="AG1175" s="396"/>
      <c r="AH1175" s="396"/>
      <c r="AI1175" s="396">
        <f>120</f>
        <v>120</v>
      </c>
      <c r="AJ1175" s="415"/>
      <c r="AK1175" s="405">
        <f t="shared" si="183"/>
        <v>120</v>
      </c>
      <c r="AL1175" s="406"/>
      <c r="AM1175" s="407">
        <f>AK1175</f>
        <v>120</v>
      </c>
      <c r="AN1175" s="585"/>
    </row>
    <row r="1176" spans="3:40" ht="12.75" x14ac:dyDescent="0.2">
      <c r="C1176" s="580"/>
      <c r="D1176" s="643" t="s">
        <v>60</v>
      </c>
      <c r="E1176" s="393" t="s">
        <v>18</v>
      </c>
      <c r="F1176" s="394"/>
      <c r="G1176" s="394"/>
      <c r="H1176" s="394"/>
      <c r="I1176" s="394"/>
      <c r="J1176" s="394"/>
      <c r="K1176" s="393"/>
      <c r="L1176" s="394"/>
      <c r="M1176" s="393"/>
      <c r="N1176" s="393"/>
      <c r="O1176" s="394"/>
      <c r="P1176" s="394"/>
      <c r="Q1176" s="394"/>
      <c r="R1176" s="394"/>
      <c r="S1176" s="393"/>
      <c r="T1176" s="394"/>
      <c r="U1176" s="394"/>
      <c r="V1176" s="394"/>
      <c r="W1176" s="394"/>
      <c r="X1176" s="394"/>
      <c r="Y1176" s="394"/>
      <c r="Z1176" s="394"/>
      <c r="AA1176" s="394"/>
      <c r="AB1176" s="394"/>
      <c r="AC1176" s="394"/>
      <c r="AD1176" s="394"/>
      <c r="AE1176" s="394"/>
      <c r="AF1176" s="394"/>
      <c r="AG1176" s="394"/>
      <c r="AH1176" s="394"/>
      <c r="AI1176" s="394"/>
      <c r="AJ1176" s="414"/>
      <c r="AK1176" s="395">
        <f t="shared" si="183"/>
        <v>0</v>
      </c>
      <c r="AL1176" s="403">
        <f>AK1176</f>
        <v>0</v>
      </c>
      <c r="AM1176" s="396"/>
      <c r="AN1176" s="633">
        <f>SUM(AL1176:AM1177)</f>
        <v>0</v>
      </c>
    </row>
    <row r="1177" spans="3:40" ht="12.75" x14ac:dyDescent="0.2">
      <c r="C1177" s="580"/>
      <c r="D1177" s="577"/>
      <c r="E1177" s="404" t="s">
        <v>19</v>
      </c>
      <c r="F1177" s="396"/>
      <c r="G1177" s="396"/>
      <c r="H1177" s="396"/>
      <c r="I1177" s="396"/>
      <c r="J1177" s="396"/>
      <c r="K1177" s="404"/>
      <c r="L1177" s="396"/>
      <c r="M1177" s="396"/>
      <c r="N1177" s="396"/>
      <c r="O1177" s="396"/>
      <c r="P1177" s="396"/>
      <c r="Q1177" s="404"/>
      <c r="R1177" s="396"/>
      <c r="S1177" s="396"/>
      <c r="T1177" s="396"/>
      <c r="U1177" s="396"/>
      <c r="V1177" s="396"/>
      <c r="W1177" s="396"/>
      <c r="X1177" s="396"/>
      <c r="Y1177" s="396"/>
      <c r="Z1177" s="396"/>
      <c r="AA1177" s="396"/>
      <c r="AB1177" s="396"/>
      <c r="AC1177" s="396"/>
      <c r="AD1177" s="396"/>
      <c r="AE1177" s="396"/>
      <c r="AF1177" s="396"/>
      <c r="AG1177" s="396"/>
      <c r="AH1177" s="396"/>
      <c r="AI1177" s="396"/>
      <c r="AJ1177" s="415"/>
      <c r="AK1177" s="405">
        <f t="shared" si="183"/>
        <v>0</v>
      </c>
      <c r="AL1177" s="403"/>
      <c r="AM1177" s="396">
        <f>AK1177</f>
        <v>0</v>
      </c>
      <c r="AN1177" s="583"/>
    </row>
    <row r="1178" spans="3:40" ht="12.75" x14ac:dyDescent="0.2">
      <c r="C1178" s="580"/>
      <c r="D1178" s="643" t="s">
        <v>61</v>
      </c>
      <c r="E1178" s="393" t="s">
        <v>18</v>
      </c>
      <c r="F1178" s="393">
        <v>15</v>
      </c>
      <c r="G1178" s="394"/>
      <c r="H1178" s="394"/>
      <c r="I1178" s="394"/>
      <c r="J1178" s="394"/>
      <c r="K1178" s="394"/>
      <c r="L1178" s="394"/>
      <c r="M1178" s="394"/>
      <c r="N1178" s="394">
        <f>78.81+59.58+18</f>
        <v>156.38999999999999</v>
      </c>
      <c r="O1178" s="394"/>
      <c r="P1178" s="394"/>
      <c r="Q1178" s="394"/>
      <c r="R1178" s="394"/>
      <c r="S1178" s="394"/>
      <c r="T1178" s="394"/>
      <c r="U1178" s="394"/>
      <c r="V1178" s="394"/>
      <c r="W1178" s="394"/>
      <c r="X1178" s="394"/>
      <c r="Y1178" s="394"/>
      <c r="Z1178" s="394"/>
      <c r="AA1178" s="394"/>
      <c r="AB1178" s="394"/>
      <c r="AC1178" s="393">
        <v>58</v>
      </c>
      <c r="AD1178" s="394"/>
      <c r="AE1178" s="394"/>
      <c r="AF1178" s="393"/>
      <c r="AG1178" s="394"/>
      <c r="AH1178" s="394"/>
      <c r="AI1178" s="394"/>
      <c r="AJ1178" s="414"/>
      <c r="AK1178" s="414">
        <f t="shared" si="183"/>
        <v>229.39</v>
      </c>
      <c r="AL1178" s="408">
        <f>AK1178</f>
        <v>229.39</v>
      </c>
      <c r="AM1178" s="409"/>
      <c r="AN1178" s="635">
        <f>SUM(AL1178:AM1179)</f>
        <v>229.39</v>
      </c>
    </row>
    <row r="1179" spans="3:40" ht="12.75" x14ac:dyDescent="0.2">
      <c r="C1179" s="580"/>
      <c r="D1179" s="577"/>
      <c r="E1179" s="404" t="s">
        <v>19</v>
      </c>
      <c r="F1179" s="396"/>
      <c r="G1179" s="396"/>
      <c r="H1179" s="396"/>
      <c r="I1179" s="396"/>
      <c r="J1179" s="396"/>
      <c r="K1179" s="396"/>
      <c r="L1179" s="396"/>
      <c r="M1179" s="396"/>
      <c r="N1179" s="396"/>
      <c r="O1179" s="396"/>
      <c r="P1179" s="396"/>
      <c r="Q1179" s="396"/>
      <c r="R1179" s="396"/>
      <c r="S1179" s="396"/>
      <c r="T1179" s="396"/>
      <c r="U1179" s="396"/>
      <c r="V1179" s="396"/>
      <c r="W1179" s="404"/>
      <c r="X1179" s="396"/>
      <c r="Y1179" s="404"/>
      <c r="Z1179" s="396"/>
      <c r="AA1179" s="396"/>
      <c r="AB1179" s="396"/>
      <c r="AC1179" s="396"/>
      <c r="AD1179" s="396"/>
      <c r="AE1179" s="396"/>
      <c r="AF1179" s="396"/>
      <c r="AG1179" s="396"/>
      <c r="AH1179" s="396"/>
      <c r="AI1179" s="396"/>
      <c r="AJ1179" s="415"/>
      <c r="AK1179" s="415">
        <f t="shared" si="183"/>
        <v>0</v>
      </c>
      <c r="AL1179" s="406"/>
      <c r="AM1179" s="407">
        <f>AK1179</f>
        <v>0</v>
      </c>
      <c r="AN1179" s="585"/>
    </row>
    <row r="1180" spans="3:40" ht="12.75" x14ac:dyDescent="0.2">
      <c r="C1180" s="580"/>
      <c r="D1180" s="643" t="s">
        <v>62</v>
      </c>
      <c r="E1180" s="393" t="s">
        <v>18</v>
      </c>
      <c r="F1180" s="394"/>
      <c r="G1180" s="394"/>
      <c r="H1180" s="394"/>
      <c r="I1180" s="393">
        <v>10</v>
      </c>
      <c r="J1180" s="394"/>
      <c r="K1180" s="394"/>
      <c r="L1180" s="394"/>
      <c r="M1180" s="394"/>
      <c r="N1180" s="393"/>
      <c r="O1180" s="394"/>
      <c r="P1180" s="393">
        <v>10</v>
      </c>
      <c r="Q1180" s="393"/>
      <c r="R1180" s="394"/>
      <c r="S1180" s="394"/>
      <c r="T1180" s="394"/>
      <c r="U1180" s="394"/>
      <c r="V1180" s="393"/>
      <c r="W1180" s="393">
        <v>10</v>
      </c>
      <c r="X1180" s="393"/>
      <c r="Y1180" s="393"/>
      <c r="Z1180" s="394"/>
      <c r="AA1180" s="394"/>
      <c r="AB1180" s="394"/>
      <c r="AC1180" s="394"/>
      <c r="AD1180" s="394"/>
      <c r="AE1180" s="394"/>
      <c r="AF1180" s="394"/>
      <c r="AG1180" s="393">
        <v>10</v>
      </c>
      <c r="AH1180" s="394"/>
      <c r="AI1180" s="394"/>
      <c r="AJ1180" s="414"/>
      <c r="AK1180" s="414">
        <f t="shared" si="183"/>
        <v>40</v>
      </c>
      <c r="AL1180" s="408">
        <f>AK1180</f>
        <v>40</v>
      </c>
      <c r="AM1180" s="409"/>
      <c r="AN1180" s="633">
        <f>SUM(AL1180:AM1181)</f>
        <v>40</v>
      </c>
    </row>
    <row r="1181" spans="3:40" ht="12.75" x14ac:dyDescent="0.2">
      <c r="C1181" s="581"/>
      <c r="D1181" s="577"/>
      <c r="E1181" s="404" t="s">
        <v>19</v>
      </c>
      <c r="F1181" s="396"/>
      <c r="G1181" s="396"/>
      <c r="H1181" s="404"/>
      <c r="I1181" s="396"/>
      <c r="J1181" s="396"/>
      <c r="K1181" s="396"/>
      <c r="L1181" s="404"/>
      <c r="M1181" s="396"/>
      <c r="N1181" s="396"/>
      <c r="O1181" s="396"/>
      <c r="P1181" s="404"/>
      <c r="Q1181" s="396"/>
      <c r="R1181" s="396"/>
      <c r="S1181" s="404"/>
      <c r="T1181" s="396"/>
      <c r="U1181" s="396"/>
      <c r="V1181" s="404"/>
      <c r="W1181" s="404"/>
      <c r="X1181" s="396"/>
      <c r="Y1181" s="404"/>
      <c r="Z1181" s="396"/>
      <c r="AA1181" s="396"/>
      <c r="AB1181" s="396"/>
      <c r="AC1181" s="396"/>
      <c r="AD1181" s="396"/>
      <c r="AE1181" s="396"/>
      <c r="AF1181" s="396"/>
      <c r="AG1181" s="396"/>
      <c r="AH1181" s="396"/>
      <c r="AI1181" s="396"/>
      <c r="AJ1181" s="415"/>
      <c r="AK1181" s="415">
        <f t="shared" si="183"/>
        <v>0</v>
      </c>
      <c r="AL1181" s="406"/>
      <c r="AM1181" s="407">
        <f>AK1181</f>
        <v>0</v>
      </c>
      <c r="AN1181" s="583"/>
    </row>
    <row r="1182" spans="3:40" ht="12.75" x14ac:dyDescent="0.2">
      <c r="C1182" s="629" t="s">
        <v>63</v>
      </c>
      <c r="D1182" s="644" t="s">
        <v>75</v>
      </c>
      <c r="E1182" s="411" t="s">
        <v>18</v>
      </c>
      <c r="F1182" s="412"/>
      <c r="G1182" s="412"/>
      <c r="H1182" s="412"/>
      <c r="I1182" s="412"/>
      <c r="J1182" s="412"/>
      <c r="K1182" s="412"/>
      <c r="L1182" s="412"/>
      <c r="M1182" s="412"/>
      <c r="N1182" s="412"/>
      <c r="O1182" s="412"/>
      <c r="P1182" s="412"/>
      <c r="Q1182" s="412"/>
      <c r="R1182" s="412"/>
      <c r="S1182" s="412"/>
      <c r="T1182" s="412"/>
      <c r="U1182" s="412"/>
      <c r="V1182" s="412"/>
      <c r="W1182" s="411"/>
      <c r="X1182" s="412"/>
      <c r="Y1182" s="411"/>
      <c r="Z1182" s="412"/>
      <c r="AA1182" s="412"/>
      <c r="AB1182" s="412"/>
      <c r="AC1182" s="412"/>
      <c r="AD1182" s="412"/>
      <c r="AE1182" s="412"/>
      <c r="AF1182" s="412"/>
      <c r="AG1182" s="412"/>
      <c r="AH1182" s="412"/>
      <c r="AI1182" s="412"/>
      <c r="AJ1182" s="417"/>
      <c r="AK1182" s="395">
        <f t="shared" si="183"/>
        <v>0</v>
      </c>
      <c r="AL1182" s="412">
        <f>AK1182</f>
        <v>0</v>
      </c>
      <c r="AM1182" s="409"/>
      <c r="AN1182" s="633">
        <f>SUM(AL1182:AM1183)</f>
        <v>0</v>
      </c>
    </row>
    <row r="1183" spans="3:40" ht="12.75" x14ac:dyDescent="0.2">
      <c r="C1183" s="580"/>
      <c r="D1183" s="577"/>
      <c r="E1183" s="404" t="s">
        <v>19</v>
      </c>
      <c r="F1183" s="396"/>
      <c r="G1183" s="396"/>
      <c r="H1183" s="396"/>
      <c r="I1183" s="396"/>
      <c r="J1183" s="396"/>
      <c r="K1183" s="396"/>
      <c r="L1183" s="396"/>
      <c r="M1183" s="396"/>
      <c r="N1183" s="396"/>
      <c r="O1183" s="396"/>
      <c r="P1183" s="396"/>
      <c r="Q1183" s="396"/>
      <c r="R1183" s="396"/>
      <c r="S1183" s="396"/>
      <c r="T1183" s="396"/>
      <c r="U1183" s="396"/>
      <c r="V1183" s="396"/>
      <c r="W1183" s="396"/>
      <c r="X1183" s="404"/>
      <c r="Y1183" s="396"/>
      <c r="Z1183" s="396"/>
      <c r="AA1183" s="396"/>
      <c r="AB1183" s="396"/>
      <c r="AC1183" s="396"/>
      <c r="AD1183" s="396"/>
      <c r="AE1183" s="396"/>
      <c r="AF1183" s="396"/>
      <c r="AG1183" s="396"/>
      <c r="AH1183" s="396"/>
      <c r="AI1183" s="396"/>
      <c r="AJ1183" s="415"/>
      <c r="AK1183" s="405">
        <f t="shared" si="183"/>
        <v>0</v>
      </c>
      <c r="AL1183" s="406"/>
      <c r="AM1183" s="407">
        <f>AK1183</f>
        <v>0</v>
      </c>
      <c r="AN1183" s="583"/>
    </row>
    <row r="1184" spans="3:40" ht="12.75" x14ac:dyDescent="0.2">
      <c r="C1184" s="580"/>
      <c r="D1184" s="643" t="s">
        <v>65</v>
      </c>
      <c r="E1184" s="393" t="s">
        <v>18</v>
      </c>
      <c r="F1184" s="394"/>
      <c r="G1184" s="394"/>
      <c r="H1184" s="394"/>
      <c r="I1184" s="394"/>
      <c r="J1184" s="394"/>
      <c r="K1184" s="394"/>
      <c r="L1184" s="394"/>
      <c r="M1184" s="394"/>
      <c r="N1184" s="394"/>
      <c r="O1184" s="394"/>
      <c r="P1184" s="394"/>
      <c r="Q1184" s="394"/>
      <c r="R1184" s="394"/>
      <c r="S1184" s="394"/>
      <c r="T1184" s="394"/>
      <c r="U1184" s="394"/>
      <c r="V1184" s="394"/>
      <c r="W1184" s="394"/>
      <c r="X1184" s="394"/>
      <c r="Y1184" s="394"/>
      <c r="Z1184" s="394"/>
      <c r="AA1184" s="394"/>
      <c r="AB1184" s="394"/>
      <c r="AC1184" s="394"/>
      <c r="AD1184" s="394"/>
      <c r="AE1184" s="394"/>
      <c r="AF1184" s="394"/>
      <c r="AG1184" s="394"/>
      <c r="AH1184" s="394"/>
      <c r="AI1184" s="394"/>
      <c r="AJ1184" s="414"/>
      <c r="AK1184" s="395">
        <f t="shared" si="183"/>
        <v>0</v>
      </c>
      <c r="AL1184" s="408">
        <f>AK1184</f>
        <v>0</v>
      </c>
      <c r="AM1184" s="409"/>
      <c r="AN1184" s="633">
        <f>SUM(AL1184:AM1185)</f>
        <v>40</v>
      </c>
    </row>
    <row r="1185" spans="3:45" ht="12.75" x14ac:dyDescent="0.2">
      <c r="C1185" s="581"/>
      <c r="D1185" s="585"/>
      <c r="E1185" s="410" t="s">
        <v>19</v>
      </c>
      <c r="F1185" s="407"/>
      <c r="G1185" s="407"/>
      <c r="H1185" s="407"/>
      <c r="I1185" s="407"/>
      <c r="J1185" s="410"/>
      <c r="K1185" s="407"/>
      <c r="L1185" s="407"/>
      <c r="M1185" s="407"/>
      <c r="N1185" s="407"/>
      <c r="O1185" s="407"/>
      <c r="P1185" s="407"/>
      <c r="Q1185" s="407"/>
      <c r="R1185" s="407"/>
      <c r="S1185" s="407"/>
      <c r="T1185" s="407"/>
      <c r="U1185" s="410"/>
      <c r="V1185" s="410">
        <v>40</v>
      </c>
      <c r="W1185" s="407"/>
      <c r="X1185" s="407"/>
      <c r="Y1185" s="407"/>
      <c r="Z1185" s="407"/>
      <c r="AA1185" s="407"/>
      <c r="AB1185" s="407"/>
      <c r="AC1185" s="407"/>
      <c r="AD1185" s="407"/>
      <c r="AE1185" s="407"/>
      <c r="AF1185" s="407"/>
      <c r="AG1185" s="407"/>
      <c r="AH1185" s="407"/>
      <c r="AI1185" s="407"/>
      <c r="AJ1185" s="418"/>
      <c r="AK1185" s="419">
        <f t="shared" si="183"/>
        <v>40</v>
      </c>
      <c r="AL1185" s="406"/>
      <c r="AM1185" s="407">
        <f>AK1185</f>
        <v>40</v>
      </c>
      <c r="AN1185" s="583"/>
    </row>
    <row r="1186" spans="3:45" ht="12.75" x14ac:dyDescent="0.2">
      <c r="C1186" s="420" t="s">
        <v>32</v>
      </c>
      <c r="D1186" s="396"/>
      <c r="E1186" s="396"/>
      <c r="F1186" s="396">
        <f t="shared" ref="F1186:AM1186" si="188">SUM(F1137:F1185)</f>
        <v>45.66</v>
      </c>
      <c r="G1186" s="396">
        <f t="shared" si="188"/>
        <v>76.2</v>
      </c>
      <c r="H1186" s="396">
        <f t="shared" si="188"/>
        <v>23.73</v>
      </c>
      <c r="I1186" s="396">
        <f t="shared" si="188"/>
        <v>29.59</v>
      </c>
      <c r="J1186" s="396">
        <f t="shared" si="188"/>
        <v>32.089999999999996</v>
      </c>
      <c r="K1186" s="396">
        <f t="shared" si="188"/>
        <v>54.69</v>
      </c>
      <c r="L1186" s="396">
        <f t="shared" si="188"/>
        <v>174.01999999999998</v>
      </c>
      <c r="M1186" s="396">
        <f t="shared" si="188"/>
        <v>11.21</v>
      </c>
      <c r="N1186" s="396">
        <f t="shared" si="188"/>
        <v>176.76999999999998</v>
      </c>
      <c r="O1186" s="396">
        <f t="shared" si="188"/>
        <v>22.150000000000002</v>
      </c>
      <c r="P1186" s="396">
        <f t="shared" si="188"/>
        <v>50.759999999999991</v>
      </c>
      <c r="Q1186" s="396">
        <f t="shared" si="188"/>
        <v>20.509999999999998</v>
      </c>
      <c r="R1186" s="396">
        <f t="shared" si="188"/>
        <v>31.73</v>
      </c>
      <c r="S1186" s="396">
        <f t="shared" si="188"/>
        <v>2.11</v>
      </c>
      <c r="T1186" s="396">
        <f t="shared" si="188"/>
        <v>33.81</v>
      </c>
      <c r="U1186" s="396">
        <f t="shared" si="188"/>
        <v>50.779999999999994</v>
      </c>
      <c r="V1186" s="396">
        <f t="shared" si="188"/>
        <v>66.12</v>
      </c>
      <c r="W1186" s="396">
        <f t="shared" si="188"/>
        <v>27.08</v>
      </c>
      <c r="X1186" s="396">
        <f t="shared" si="188"/>
        <v>23.490000000000002</v>
      </c>
      <c r="Y1186" s="396">
        <f t="shared" si="188"/>
        <v>22.6</v>
      </c>
      <c r="Z1186" s="396">
        <f t="shared" si="188"/>
        <v>97.949999999999989</v>
      </c>
      <c r="AA1186" s="396">
        <f t="shared" si="188"/>
        <v>19.100000000000001</v>
      </c>
      <c r="AB1186" s="396">
        <f t="shared" si="188"/>
        <v>9.5</v>
      </c>
      <c r="AC1186" s="396">
        <f t="shared" si="188"/>
        <v>58</v>
      </c>
      <c r="AD1186" s="396">
        <f t="shared" si="188"/>
        <v>30.610000000000003</v>
      </c>
      <c r="AE1186" s="396">
        <f t="shared" si="188"/>
        <v>97.27</v>
      </c>
      <c r="AF1186" s="396">
        <f t="shared" si="188"/>
        <v>55.539999999999992</v>
      </c>
      <c r="AG1186" s="396">
        <f t="shared" si="188"/>
        <v>315.03000000000003</v>
      </c>
      <c r="AH1186" s="396">
        <f t="shared" si="188"/>
        <v>28.090000000000003</v>
      </c>
      <c r="AI1186" s="396">
        <f t="shared" si="188"/>
        <v>557.17999999999995</v>
      </c>
      <c r="AJ1186" s="396">
        <f t="shared" si="188"/>
        <v>0</v>
      </c>
      <c r="AK1186" s="421">
        <f t="shared" si="188"/>
        <v>2243.37</v>
      </c>
      <c r="AL1186" s="394">
        <f t="shared" si="188"/>
        <v>2078.37</v>
      </c>
      <c r="AM1186" s="396">
        <f t="shared" si="188"/>
        <v>165</v>
      </c>
    </row>
    <row r="1189" spans="3:45" ht="12.75" x14ac:dyDescent="0.2">
      <c r="F1189" s="642" t="s">
        <v>89</v>
      </c>
      <c r="G1189" s="577"/>
      <c r="H1189" s="577"/>
      <c r="I1189" s="577"/>
      <c r="J1189" s="577"/>
      <c r="K1189" s="577"/>
      <c r="L1189" s="577"/>
      <c r="M1189" s="577"/>
      <c r="N1189" s="577"/>
      <c r="O1189" s="577"/>
      <c r="P1189" s="577"/>
      <c r="Q1189" s="577"/>
      <c r="R1189" s="577"/>
      <c r="S1189" s="577"/>
      <c r="T1189" s="577"/>
      <c r="U1189" s="577"/>
      <c r="V1189" s="577"/>
      <c r="W1189" s="577"/>
      <c r="X1189" s="577"/>
      <c r="Y1189" s="577"/>
      <c r="Z1189" s="577"/>
      <c r="AA1189" s="577"/>
      <c r="AB1189" s="577"/>
      <c r="AC1189" s="577"/>
      <c r="AD1189" s="577"/>
      <c r="AE1189" s="577"/>
      <c r="AF1189" s="577"/>
      <c r="AG1189" s="577"/>
      <c r="AH1189" s="577"/>
      <c r="AI1189" s="577"/>
      <c r="AJ1189" s="577"/>
    </row>
    <row r="1190" spans="3:45" ht="12.75" x14ac:dyDescent="0.2">
      <c r="E1190" s="362" t="s">
        <v>9</v>
      </c>
      <c r="F1190" s="362" t="s">
        <v>12</v>
      </c>
      <c r="G1190" s="362" t="s">
        <v>13</v>
      </c>
      <c r="H1190" s="362" t="s">
        <v>14</v>
      </c>
      <c r="I1190" s="362" t="s">
        <v>15</v>
      </c>
      <c r="J1190" s="362" t="s">
        <v>16</v>
      </c>
      <c r="K1190" s="362" t="s">
        <v>10</v>
      </c>
      <c r="L1190" s="362" t="s">
        <v>11</v>
      </c>
      <c r="M1190" s="362" t="s">
        <v>12</v>
      </c>
      <c r="N1190" s="362" t="s">
        <v>13</v>
      </c>
      <c r="O1190" s="362" t="s">
        <v>14</v>
      </c>
      <c r="P1190" s="362" t="s">
        <v>15</v>
      </c>
      <c r="Q1190" s="362" t="s">
        <v>16</v>
      </c>
      <c r="R1190" s="362" t="s">
        <v>10</v>
      </c>
      <c r="S1190" s="362" t="s">
        <v>11</v>
      </c>
      <c r="T1190" s="362" t="s">
        <v>12</v>
      </c>
      <c r="U1190" s="362" t="s">
        <v>13</v>
      </c>
      <c r="V1190" s="362" t="s">
        <v>14</v>
      </c>
      <c r="W1190" s="362" t="s">
        <v>15</v>
      </c>
      <c r="X1190" s="362" t="s">
        <v>16</v>
      </c>
      <c r="Y1190" s="362" t="s">
        <v>10</v>
      </c>
      <c r="Z1190" s="362" t="s">
        <v>11</v>
      </c>
      <c r="AA1190" s="362" t="s">
        <v>12</v>
      </c>
      <c r="AB1190" s="362" t="s">
        <v>13</v>
      </c>
      <c r="AC1190" s="362" t="s">
        <v>14</v>
      </c>
      <c r="AD1190" s="362" t="s">
        <v>15</v>
      </c>
      <c r="AE1190" s="362" t="s">
        <v>16</v>
      </c>
      <c r="AF1190" s="362" t="s">
        <v>10</v>
      </c>
      <c r="AG1190" s="362" t="s">
        <v>11</v>
      </c>
      <c r="AH1190" s="362" t="s">
        <v>12</v>
      </c>
      <c r="AI1190" s="362" t="s">
        <v>13</v>
      </c>
      <c r="AJ1190" s="362" t="s">
        <v>14</v>
      </c>
      <c r="AK1190" s="362"/>
      <c r="AL1190" s="363"/>
      <c r="AM1190" s="364"/>
      <c r="AN1190" s="365"/>
      <c r="AP1190" s="366"/>
      <c r="AQ1190" s="367" t="s">
        <v>17</v>
      </c>
      <c r="AR1190" s="367" t="s">
        <v>18</v>
      </c>
      <c r="AS1190" s="367" t="s">
        <v>19</v>
      </c>
    </row>
    <row r="1191" spans="3:45" ht="12.75" x14ac:dyDescent="0.2">
      <c r="E1191" s="362" t="s">
        <v>20</v>
      </c>
      <c r="F1191" s="362">
        <v>1</v>
      </c>
      <c r="G1191" s="362">
        <v>2</v>
      </c>
      <c r="H1191" s="362">
        <v>3</v>
      </c>
      <c r="I1191" s="362">
        <v>4</v>
      </c>
      <c r="J1191" s="362">
        <v>5</v>
      </c>
      <c r="K1191" s="362">
        <v>6</v>
      </c>
      <c r="L1191" s="362">
        <v>7</v>
      </c>
      <c r="M1191" s="362">
        <v>8</v>
      </c>
      <c r="N1191" s="362">
        <v>9</v>
      </c>
      <c r="O1191" s="362">
        <v>10</v>
      </c>
      <c r="P1191" s="362">
        <v>11</v>
      </c>
      <c r="Q1191" s="362">
        <v>12</v>
      </c>
      <c r="R1191" s="362">
        <v>13</v>
      </c>
      <c r="S1191" s="362">
        <v>14</v>
      </c>
      <c r="T1191" s="362">
        <v>15</v>
      </c>
      <c r="U1191" s="362">
        <v>16</v>
      </c>
      <c r="V1191" s="362">
        <v>17</v>
      </c>
      <c r="W1191" s="362">
        <v>18</v>
      </c>
      <c r="X1191" s="362">
        <v>19</v>
      </c>
      <c r="Y1191" s="362">
        <v>20</v>
      </c>
      <c r="Z1191" s="362">
        <v>21</v>
      </c>
      <c r="AA1191" s="362">
        <v>22</v>
      </c>
      <c r="AB1191" s="362">
        <v>23</v>
      </c>
      <c r="AC1191" s="362">
        <v>24</v>
      </c>
      <c r="AD1191" s="362">
        <v>25</v>
      </c>
      <c r="AE1191" s="362">
        <v>26</v>
      </c>
      <c r="AF1191" s="362">
        <v>27</v>
      </c>
      <c r="AG1191" s="362">
        <v>28</v>
      </c>
      <c r="AH1191" s="362">
        <v>29</v>
      </c>
      <c r="AI1191" s="362">
        <v>30</v>
      </c>
      <c r="AJ1191" s="362">
        <v>31</v>
      </c>
      <c r="AK1191" s="362" t="s">
        <v>21</v>
      </c>
      <c r="AL1191" s="363" t="s">
        <v>18</v>
      </c>
      <c r="AM1191" s="364" t="s">
        <v>19</v>
      </c>
      <c r="AN1191" s="368" t="s">
        <v>22</v>
      </c>
      <c r="AP1191" s="367" t="s">
        <v>23</v>
      </c>
      <c r="AQ1191" s="369">
        <f>AK1202-AK1255</f>
        <v>550.29999999999995</v>
      </c>
      <c r="AR1191" s="369">
        <f>(AL1202-AL1255)-AL1203+AM1204</f>
        <v>549.99999999999977</v>
      </c>
      <c r="AS1191" s="369">
        <f>(AM1202-AM1255)+AL1203-AM1204-AM1205</f>
        <v>0.29999999999998295</v>
      </c>
    </row>
    <row r="1192" spans="3:45" ht="12.75" x14ac:dyDescent="0.2">
      <c r="C1192" s="628" t="s">
        <v>24</v>
      </c>
      <c r="D1192" s="370" t="s">
        <v>25</v>
      </c>
      <c r="E1192" s="371" t="s">
        <v>18</v>
      </c>
      <c r="F1192" s="372"/>
      <c r="G1192" s="372"/>
      <c r="H1192" s="371"/>
      <c r="I1192" s="371">
        <v>1431.5</v>
      </c>
      <c r="J1192" s="371"/>
      <c r="K1192" s="372"/>
      <c r="L1192" s="372"/>
      <c r="M1192" s="372"/>
      <c r="N1192" s="372"/>
      <c r="O1192" s="372"/>
      <c r="P1192" s="372"/>
      <c r="Q1192" s="372"/>
      <c r="R1192" s="372"/>
      <c r="S1192" s="372"/>
      <c r="T1192" s="371"/>
      <c r="U1192" s="372"/>
      <c r="V1192" s="372"/>
      <c r="W1192" s="371">
        <v>525</v>
      </c>
      <c r="X1192" s="371"/>
      <c r="Y1192" s="371"/>
      <c r="Z1192" s="372"/>
      <c r="AA1192" s="372"/>
      <c r="AB1192" s="372"/>
      <c r="AC1192" s="372"/>
      <c r="AD1192" s="372"/>
      <c r="AE1192" s="372"/>
      <c r="AF1192" s="372"/>
      <c r="AG1192" s="372"/>
      <c r="AH1192" s="372"/>
      <c r="AI1192" s="372"/>
      <c r="AJ1192" s="372"/>
      <c r="AK1192" s="373">
        <f t="shared" ref="AK1192:AK1201" si="189">SUM(F1192:AJ1192)</f>
        <v>1956.5</v>
      </c>
      <c r="AL1192" s="366">
        <f t="shared" ref="AL1192:AL1193" si="190">AK1192</f>
        <v>1956.5</v>
      </c>
      <c r="AM1192" s="369"/>
      <c r="AN1192" s="374">
        <f>AL1192</f>
        <v>1956.5</v>
      </c>
    </row>
    <row r="1193" spans="3:45" ht="12.75" x14ac:dyDescent="0.2">
      <c r="C1193" s="580"/>
      <c r="D1193" s="645" t="s">
        <v>26</v>
      </c>
      <c r="E1193" s="363" t="s">
        <v>18</v>
      </c>
      <c r="F1193" s="366"/>
      <c r="G1193" s="366"/>
      <c r="H1193" s="366"/>
      <c r="I1193" s="366"/>
      <c r="J1193" s="366"/>
      <c r="K1193" s="366"/>
      <c r="L1193" s="366"/>
      <c r="M1193" s="366"/>
      <c r="N1193" s="366"/>
      <c r="O1193" s="366"/>
      <c r="P1193" s="366"/>
      <c r="Q1193" s="366"/>
      <c r="R1193" s="366"/>
      <c r="S1193" s="366"/>
      <c r="T1193" s="366"/>
      <c r="U1193" s="366"/>
      <c r="V1193" s="366"/>
      <c r="W1193" s="366"/>
      <c r="X1193" s="366"/>
      <c r="Y1193" s="366"/>
      <c r="Z1193" s="366"/>
      <c r="AA1193" s="366"/>
      <c r="AB1193" s="366"/>
      <c r="AC1193" s="366"/>
      <c r="AD1193" s="366"/>
      <c r="AE1193" s="366"/>
      <c r="AF1193" s="366"/>
      <c r="AG1193" s="366"/>
      <c r="AH1193" s="366"/>
      <c r="AI1193" s="366"/>
      <c r="AJ1193" s="366"/>
      <c r="AK1193" s="376">
        <f t="shared" si="189"/>
        <v>0</v>
      </c>
      <c r="AL1193" s="377">
        <f t="shared" si="190"/>
        <v>0</v>
      </c>
      <c r="AM1193" s="378"/>
      <c r="AN1193" s="633">
        <f>SUM(AL1193:AM1194)</f>
        <v>0</v>
      </c>
    </row>
    <row r="1194" spans="3:45" ht="12.75" x14ac:dyDescent="0.2">
      <c r="C1194" s="580"/>
      <c r="D1194" s="577"/>
      <c r="E1194" s="364" t="s">
        <v>19</v>
      </c>
      <c r="F1194" s="369"/>
      <c r="G1194" s="369"/>
      <c r="H1194" s="369"/>
      <c r="I1194" s="369"/>
      <c r="J1194" s="369"/>
      <c r="K1194" s="369"/>
      <c r="L1194" s="369"/>
      <c r="M1194" s="369"/>
      <c r="N1194" s="369"/>
      <c r="O1194" s="369"/>
      <c r="P1194" s="369"/>
      <c r="Q1194" s="369"/>
      <c r="R1194" s="369"/>
      <c r="S1194" s="369"/>
      <c r="T1194" s="369"/>
      <c r="U1194" s="369"/>
      <c r="V1194" s="369"/>
      <c r="W1194" s="369"/>
      <c r="X1194" s="369"/>
      <c r="Y1194" s="369"/>
      <c r="Z1194" s="369"/>
      <c r="AA1194" s="369"/>
      <c r="AB1194" s="369"/>
      <c r="AC1194" s="369"/>
      <c r="AD1194" s="369"/>
      <c r="AE1194" s="369"/>
      <c r="AF1194" s="369"/>
      <c r="AG1194" s="369"/>
      <c r="AH1194" s="369"/>
      <c r="AI1194" s="369"/>
      <c r="AJ1194" s="369"/>
      <c r="AK1194" s="379">
        <f t="shared" si="189"/>
        <v>0</v>
      </c>
      <c r="AL1194" s="380"/>
      <c r="AM1194" s="381">
        <f t="shared" ref="AM1194:AM1195" si="191">AK1194</f>
        <v>0</v>
      </c>
      <c r="AN1194" s="583"/>
    </row>
    <row r="1195" spans="3:45" ht="12.75" x14ac:dyDescent="0.2">
      <c r="C1195" s="580"/>
      <c r="D1195" s="375" t="s">
        <v>27</v>
      </c>
      <c r="E1195" s="364" t="s">
        <v>19</v>
      </c>
      <c r="F1195" s="369"/>
      <c r="G1195" s="369"/>
      <c r="H1195" s="369"/>
      <c r="I1195" s="369"/>
      <c r="J1195" s="369"/>
      <c r="K1195" s="369"/>
      <c r="L1195" s="369"/>
      <c r="M1195" s="369"/>
      <c r="N1195" s="369"/>
      <c r="O1195" s="369"/>
      <c r="P1195" s="369"/>
      <c r="Q1195" s="369"/>
      <c r="R1195" s="369"/>
      <c r="S1195" s="369"/>
      <c r="T1195" s="369"/>
      <c r="U1195" s="369"/>
      <c r="V1195" s="369"/>
      <c r="W1195" s="369"/>
      <c r="X1195" s="369"/>
      <c r="Y1195" s="369"/>
      <c r="Z1195" s="369"/>
      <c r="AA1195" s="369"/>
      <c r="AB1195" s="369"/>
      <c r="AC1195" s="369"/>
      <c r="AD1195" s="369"/>
      <c r="AE1195" s="369"/>
      <c r="AF1195" s="369"/>
      <c r="AG1195" s="369"/>
      <c r="AH1195" s="369"/>
      <c r="AI1195" s="369"/>
      <c r="AJ1195" s="369"/>
      <c r="AK1195" s="379">
        <f t="shared" si="189"/>
        <v>0</v>
      </c>
      <c r="AL1195" s="366"/>
      <c r="AM1195" s="369">
        <f t="shared" si="191"/>
        <v>0</v>
      </c>
      <c r="AN1195" s="374">
        <f>AM1195</f>
        <v>0</v>
      </c>
    </row>
    <row r="1196" spans="3:45" ht="12.75" x14ac:dyDescent="0.2">
      <c r="C1196" s="580"/>
      <c r="D1196" s="645" t="s">
        <v>28</v>
      </c>
      <c r="E1196" s="363" t="s">
        <v>18</v>
      </c>
      <c r="F1196" s="363"/>
      <c r="G1196" s="366"/>
      <c r="H1196" s="366"/>
      <c r="I1196" s="366"/>
      <c r="J1196" s="366"/>
      <c r="K1196" s="366"/>
      <c r="L1196" s="366"/>
      <c r="M1196" s="366"/>
      <c r="N1196" s="366"/>
      <c r="O1196" s="366"/>
      <c r="P1196" s="366"/>
      <c r="Q1196" s="366"/>
      <c r="R1196" s="366"/>
      <c r="S1196" s="366"/>
      <c r="T1196" s="366"/>
      <c r="U1196" s="366"/>
      <c r="V1196" s="366"/>
      <c r="W1196" s="366"/>
      <c r="X1196" s="366"/>
      <c r="Y1196" s="366"/>
      <c r="Z1196" s="366"/>
      <c r="AA1196" s="366"/>
      <c r="AB1196" s="366"/>
      <c r="AC1196" s="366"/>
      <c r="AD1196" s="366"/>
      <c r="AE1196" s="366"/>
      <c r="AF1196" s="366"/>
      <c r="AG1196" s="366"/>
      <c r="AH1196" s="366"/>
      <c r="AI1196" s="366"/>
      <c r="AJ1196" s="366"/>
      <c r="AK1196" s="376">
        <f t="shared" si="189"/>
        <v>0</v>
      </c>
      <c r="AL1196" s="377">
        <f>AK1196</f>
        <v>0</v>
      </c>
      <c r="AM1196" s="378"/>
      <c r="AN1196" s="633">
        <f>SUM(AL1196:AM1197)</f>
        <v>102.5</v>
      </c>
    </row>
    <row r="1197" spans="3:45" ht="12.75" x14ac:dyDescent="0.2">
      <c r="C1197" s="580"/>
      <c r="D1197" s="577"/>
      <c r="E1197" s="364" t="s">
        <v>19</v>
      </c>
      <c r="F1197" s="364">
        <v>102.5</v>
      </c>
      <c r="G1197" s="364"/>
      <c r="H1197" s="364"/>
      <c r="I1197" s="369"/>
      <c r="J1197" s="364"/>
      <c r="K1197" s="369"/>
      <c r="L1197" s="369"/>
      <c r="M1197" s="369"/>
      <c r="N1197" s="369"/>
      <c r="O1197" s="369"/>
      <c r="P1197" s="369"/>
      <c r="Q1197" s="369"/>
      <c r="R1197" s="369"/>
      <c r="S1197" s="364"/>
      <c r="T1197" s="369"/>
      <c r="U1197" s="369"/>
      <c r="V1197" s="369"/>
      <c r="W1197" s="364"/>
      <c r="X1197" s="364"/>
      <c r="Y1197" s="369"/>
      <c r="Z1197" s="369"/>
      <c r="AA1197" s="369"/>
      <c r="AB1197" s="369"/>
      <c r="AC1197" s="369"/>
      <c r="AD1197" s="369"/>
      <c r="AE1197" s="369"/>
      <c r="AF1197" s="369"/>
      <c r="AG1197" s="369"/>
      <c r="AH1197" s="369"/>
      <c r="AI1197" s="364"/>
      <c r="AJ1197" s="369"/>
      <c r="AK1197" s="379">
        <f t="shared" si="189"/>
        <v>102.5</v>
      </c>
      <c r="AL1197" s="380"/>
      <c r="AM1197" s="381">
        <f>AK1197</f>
        <v>102.5</v>
      </c>
      <c r="AN1197" s="583"/>
    </row>
    <row r="1198" spans="3:45" ht="12.75" x14ac:dyDescent="0.2">
      <c r="C1198" s="580"/>
      <c r="D1198" s="645" t="s">
        <v>29</v>
      </c>
      <c r="E1198" s="363" t="s">
        <v>18</v>
      </c>
      <c r="F1198" s="366"/>
      <c r="G1198" s="366"/>
      <c r="H1198" s="366"/>
      <c r="I1198" s="366"/>
      <c r="J1198" s="366"/>
      <c r="K1198" s="366"/>
      <c r="L1198" s="366"/>
      <c r="M1198" s="363"/>
      <c r="N1198" s="366"/>
      <c r="O1198" s="366"/>
      <c r="P1198" s="366"/>
      <c r="Q1198" s="366"/>
      <c r="R1198" s="366"/>
      <c r="S1198" s="366"/>
      <c r="T1198" s="366"/>
      <c r="U1198" s="366"/>
      <c r="V1198" s="366"/>
      <c r="W1198" s="366"/>
      <c r="X1198" s="366"/>
      <c r="Y1198" s="366"/>
      <c r="Z1198" s="366"/>
      <c r="AA1198" s="366"/>
      <c r="AB1198" s="363"/>
      <c r="AC1198" s="366"/>
      <c r="AD1198" s="366"/>
      <c r="AE1198" s="366"/>
      <c r="AF1198" s="366"/>
      <c r="AG1198" s="366"/>
      <c r="AH1198" s="366"/>
      <c r="AI1198" s="366"/>
      <c r="AJ1198" s="366"/>
      <c r="AK1198" s="376">
        <f t="shared" si="189"/>
        <v>0</v>
      </c>
      <c r="AL1198" s="377">
        <f>AK1198</f>
        <v>0</v>
      </c>
      <c r="AM1198" s="378"/>
      <c r="AN1198" s="633">
        <f>SUM(AL1198:AM1199)</f>
        <v>0</v>
      </c>
    </row>
    <row r="1199" spans="3:45" ht="12.75" x14ac:dyDescent="0.2">
      <c r="C1199" s="580"/>
      <c r="D1199" s="577"/>
      <c r="E1199" s="364" t="s">
        <v>19</v>
      </c>
      <c r="F1199" s="369"/>
      <c r="G1199" s="369"/>
      <c r="H1199" s="369"/>
      <c r="I1199" s="369"/>
      <c r="J1199" s="369"/>
      <c r="K1199" s="369"/>
      <c r="L1199" s="369"/>
      <c r="M1199" s="369"/>
      <c r="N1199" s="369"/>
      <c r="O1199" s="369"/>
      <c r="P1199" s="369"/>
      <c r="Q1199" s="369"/>
      <c r="R1199" s="369"/>
      <c r="S1199" s="369"/>
      <c r="T1199" s="369"/>
      <c r="U1199" s="369"/>
      <c r="V1199" s="369"/>
      <c r="W1199" s="369"/>
      <c r="X1199" s="369"/>
      <c r="Y1199" s="369"/>
      <c r="Z1199" s="369"/>
      <c r="AA1199" s="369"/>
      <c r="AB1199" s="364"/>
      <c r="AC1199" s="369"/>
      <c r="AD1199" s="369"/>
      <c r="AE1199" s="369"/>
      <c r="AF1199" s="369"/>
      <c r="AG1199" s="369"/>
      <c r="AH1199" s="369"/>
      <c r="AI1199" s="369"/>
      <c r="AJ1199" s="369"/>
      <c r="AK1199" s="379">
        <f t="shared" si="189"/>
        <v>0</v>
      </c>
      <c r="AL1199" s="380"/>
      <c r="AM1199" s="381">
        <f>AK1199</f>
        <v>0</v>
      </c>
      <c r="AN1199" s="583"/>
    </row>
    <row r="1200" spans="3:45" ht="12.75" x14ac:dyDescent="0.2">
      <c r="C1200" s="580"/>
      <c r="D1200" s="645" t="s">
        <v>31</v>
      </c>
      <c r="E1200" s="363" t="s">
        <v>18</v>
      </c>
      <c r="F1200" s="366"/>
      <c r="G1200" s="366"/>
      <c r="H1200" s="366"/>
      <c r="I1200" s="366"/>
      <c r="J1200" s="366"/>
      <c r="K1200" s="366"/>
      <c r="L1200" s="366"/>
      <c r="M1200" s="366"/>
      <c r="N1200" s="366"/>
      <c r="O1200" s="366"/>
      <c r="P1200" s="366"/>
      <c r="Q1200" s="366"/>
      <c r="R1200" s="366"/>
      <c r="S1200" s="366"/>
      <c r="T1200" s="366"/>
      <c r="U1200" s="366"/>
      <c r="V1200" s="366"/>
      <c r="W1200" s="366"/>
      <c r="X1200" s="366"/>
      <c r="Y1200" s="366"/>
      <c r="Z1200" s="366"/>
      <c r="AA1200" s="366"/>
      <c r="AB1200" s="366"/>
      <c r="AC1200" s="366"/>
      <c r="AD1200" s="366"/>
      <c r="AE1200" s="366"/>
      <c r="AF1200" s="366"/>
      <c r="AG1200" s="366"/>
      <c r="AH1200" s="366"/>
      <c r="AI1200" s="366"/>
      <c r="AJ1200" s="366"/>
      <c r="AK1200" s="376">
        <f t="shared" si="189"/>
        <v>0</v>
      </c>
      <c r="AL1200" s="377">
        <f>AK1200</f>
        <v>0</v>
      </c>
      <c r="AM1200" s="378"/>
      <c r="AN1200" s="633">
        <f>SUM(AL1200:AM1201)</f>
        <v>100</v>
      </c>
    </row>
    <row r="1201" spans="3:40" ht="12.75" x14ac:dyDescent="0.2">
      <c r="C1201" s="581"/>
      <c r="D1201" s="585"/>
      <c r="E1201" s="382" t="s">
        <v>19</v>
      </c>
      <c r="F1201" s="381"/>
      <c r="G1201" s="381"/>
      <c r="H1201" s="381"/>
      <c r="I1201" s="381"/>
      <c r="J1201" s="381"/>
      <c r="K1201" s="382">
        <v>50</v>
      </c>
      <c r="L1201" s="381"/>
      <c r="M1201" s="382"/>
      <c r="N1201" s="382"/>
      <c r="O1201" s="382"/>
      <c r="P1201" s="381"/>
      <c r="Q1201" s="381"/>
      <c r="R1201" s="381"/>
      <c r="S1201" s="381"/>
      <c r="T1201" s="381"/>
      <c r="U1201" s="381"/>
      <c r="V1201" s="381"/>
      <c r="W1201" s="381"/>
      <c r="X1201" s="382">
        <v>50</v>
      </c>
      <c r="Y1201" s="381"/>
      <c r="Z1201" s="382"/>
      <c r="AA1201" s="381"/>
      <c r="AB1201" s="381"/>
      <c r="AC1201" s="381"/>
      <c r="AD1201" s="381"/>
      <c r="AE1201" s="381"/>
      <c r="AF1201" s="381"/>
      <c r="AG1201" s="381"/>
      <c r="AH1201" s="381"/>
      <c r="AI1201" s="381"/>
      <c r="AJ1201" s="381"/>
      <c r="AK1201" s="383">
        <f t="shared" si="189"/>
        <v>100</v>
      </c>
      <c r="AL1201" s="380"/>
      <c r="AM1201" s="381">
        <f>AK1201</f>
        <v>100</v>
      </c>
      <c r="AN1201" s="583"/>
    </row>
    <row r="1202" spans="3:40" ht="12.75" x14ac:dyDescent="0.2">
      <c r="C1202" s="362" t="s">
        <v>32</v>
      </c>
      <c r="D1202" s="384"/>
      <c r="E1202" s="369"/>
      <c r="F1202" s="369"/>
      <c r="G1202" s="369"/>
      <c r="H1202" s="369"/>
      <c r="I1202" s="369"/>
      <c r="J1202" s="369"/>
      <c r="K1202" s="369"/>
      <c r="L1202" s="369"/>
      <c r="M1202" s="369"/>
      <c r="N1202" s="369"/>
      <c r="O1202" s="369"/>
      <c r="P1202" s="369"/>
      <c r="Q1202" s="369"/>
      <c r="R1202" s="369"/>
      <c r="S1202" s="369"/>
      <c r="T1202" s="369"/>
      <c r="U1202" s="369"/>
      <c r="V1202" s="369"/>
      <c r="W1202" s="369"/>
      <c r="X1202" s="369"/>
      <c r="Y1202" s="369"/>
      <c r="Z1202" s="369"/>
      <c r="AA1202" s="369"/>
      <c r="AB1202" s="369"/>
      <c r="AC1202" s="369"/>
      <c r="AD1202" s="369"/>
      <c r="AE1202" s="369"/>
      <c r="AF1202" s="369"/>
      <c r="AG1202" s="369"/>
      <c r="AH1202" s="369"/>
      <c r="AI1202" s="369"/>
      <c r="AJ1202" s="369"/>
      <c r="AK1202" s="385">
        <f t="shared" ref="AK1202:AM1202" si="192">SUM(AK1192:AK1201)</f>
        <v>2159</v>
      </c>
      <c r="AL1202" s="366">
        <f t="shared" si="192"/>
        <v>1956.5</v>
      </c>
      <c r="AM1202" s="369">
        <f t="shared" si="192"/>
        <v>202.5</v>
      </c>
      <c r="AN1202" s="374"/>
    </row>
    <row r="1203" spans="3:40" ht="12.75" x14ac:dyDescent="0.2">
      <c r="C1203" s="630" t="s">
        <v>83</v>
      </c>
      <c r="D1203" s="423" t="s">
        <v>84</v>
      </c>
      <c r="E1203" s="424" t="s">
        <v>18</v>
      </c>
      <c r="F1203" s="425"/>
      <c r="G1203" s="425"/>
      <c r="H1203" s="425"/>
      <c r="I1203" s="425"/>
      <c r="J1203" s="424"/>
      <c r="K1203" s="424"/>
      <c r="L1203" s="425"/>
      <c r="M1203" s="424"/>
      <c r="N1203" s="425"/>
      <c r="O1203" s="424"/>
      <c r="P1203" s="425"/>
      <c r="Q1203" s="425"/>
      <c r="R1203" s="425"/>
      <c r="S1203" s="425"/>
      <c r="T1203" s="425"/>
      <c r="U1203" s="424"/>
      <c r="V1203" s="425"/>
      <c r="W1203" s="425"/>
      <c r="X1203" s="425"/>
      <c r="Y1203" s="425"/>
      <c r="Z1203" s="425"/>
      <c r="AA1203" s="425"/>
      <c r="AB1203" s="425"/>
      <c r="AC1203" s="425"/>
      <c r="AD1203" s="425"/>
      <c r="AE1203" s="425"/>
      <c r="AF1203" s="425"/>
      <c r="AG1203" s="425"/>
      <c r="AH1203" s="425"/>
      <c r="AI1203" s="425"/>
      <c r="AJ1203" s="426"/>
      <c r="AK1203" s="425"/>
      <c r="AL1203" s="427">
        <f>SUM(F1203:AJ1203)</f>
        <v>0</v>
      </c>
      <c r="AM1203" s="427"/>
      <c r="AN1203" s="374"/>
    </row>
    <row r="1204" spans="3:40" ht="12.75" x14ac:dyDescent="0.2">
      <c r="C1204" s="580"/>
      <c r="D1204" s="413" t="s">
        <v>85</v>
      </c>
      <c r="E1204" s="428" t="s">
        <v>19</v>
      </c>
      <c r="F1204" s="427"/>
      <c r="G1204" s="427"/>
      <c r="H1204" s="427"/>
      <c r="I1204" s="427"/>
      <c r="J1204" s="427"/>
      <c r="K1204" s="427"/>
      <c r="L1204" s="427"/>
      <c r="M1204" s="427"/>
      <c r="N1204" s="427"/>
      <c r="O1204" s="427"/>
      <c r="P1204" s="427"/>
      <c r="Q1204" s="427"/>
      <c r="R1204" s="427"/>
      <c r="S1204" s="427"/>
      <c r="T1204" s="427"/>
      <c r="U1204" s="428"/>
      <c r="V1204" s="427"/>
      <c r="W1204" s="427"/>
      <c r="X1204" s="427"/>
      <c r="Y1204" s="427"/>
      <c r="Z1204" s="427"/>
      <c r="AA1204" s="427"/>
      <c r="AB1204" s="427"/>
      <c r="AC1204" s="427"/>
      <c r="AD1204" s="427"/>
      <c r="AE1204" s="427"/>
      <c r="AF1204" s="427"/>
      <c r="AG1204" s="427"/>
      <c r="AH1204" s="427"/>
      <c r="AI1204" s="427"/>
      <c r="AJ1204" s="429"/>
      <c r="AK1204" s="427"/>
      <c r="AL1204" s="427"/>
      <c r="AM1204" s="427">
        <f t="shared" ref="AM1204:AM1205" si="193">SUM(F1204:AJ1204)</f>
        <v>0</v>
      </c>
      <c r="AN1204" s="374"/>
    </row>
    <row r="1205" spans="3:40" ht="12.75" x14ac:dyDescent="0.2">
      <c r="C1205" s="581"/>
      <c r="D1205" s="430" t="s">
        <v>86</v>
      </c>
      <c r="E1205" s="431" t="s">
        <v>19</v>
      </c>
      <c r="F1205" s="432"/>
      <c r="G1205" s="432"/>
      <c r="H1205" s="432"/>
      <c r="I1205" s="432"/>
      <c r="J1205" s="432"/>
      <c r="K1205" s="432"/>
      <c r="L1205" s="432"/>
      <c r="M1205" s="432"/>
      <c r="N1205" s="432"/>
      <c r="O1205" s="431"/>
      <c r="P1205" s="432"/>
      <c r="Q1205" s="432"/>
      <c r="R1205" s="432"/>
      <c r="S1205" s="432"/>
      <c r="T1205" s="432"/>
      <c r="U1205" s="431"/>
      <c r="V1205" s="432"/>
      <c r="W1205" s="432"/>
      <c r="X1205" s="432"/>
      <c r="Y1205" s="432"/>
      <c r="Z1205" s="432"/>
      <c r="AA1205" s="432"/>
      <c r="AB1205" s="432"/>
      <c r="AC1205" s="432"/>
      <c r="AD1205" s="432"/>
      <c r="AE1205" s="432"/>
      <c r="AF1205" s="432"/>
      <c r="AG1205" s="432"/>
      <c r="AH1205" s="432"/>
      <c r="AI1205" s="432"/>
      <c r="AJ1205" s="433"/>
      <c r="AK1205" s="427"/>
      <c r="AL1205" s="427"/>
      <c r="AM1205" s="427">
        <f t="shared" si="193"/>
        <v>0</v>
      </c>
      <c r="AN1205" s="374"/>
    </row>
    <row r="1206" spans="3:40" ht="12.75" x14ac:dyDescent="0.2">
      <c r="C1206" s="629" t="s">
        <v>33</v>
      </c>
      <c r="D1206" s="386" t="s">
        <v>34</v>
      </c>
      <c r="E1206" s="387" t="s">
        <v>19</v>
      </c>
      <c r="F1206" s="388"/>
      <c r="G1206" s="388"/>
      <c r="H1206" s="388"/>
      <c r="I1206" s="388"/>
      <c r="J1206" s="439"/>
      <c r="K1206" s="388"/>
      <c r="L1206" s="388"/>
      <c r="M1206" s="388"/>
      <c r="N1206" s="388"/>
      <c r="O1206" s="388"/>
      <c r="P1206" s="388"/>
      <c r="Q1206" s="388"/>
      <c r="R1206" s="388"/>
      <c r="S1206" s="388"/>
      <c r="T1206" s="388"/>
      <c r="U1206" s="388"/>
      <c r="V1206" s="388"/>
      <c r="W1206" s="388"/>
      <c r="X1206" s="388"/>
      <c r="Y1206" s="388"/>
      <c r="Z1206" s="388"/>
      <c r="AA1206" s="388"/>
      <c r="AB1206" s="388"/>
      <c r="AC1206" s="388"/>
      <c r="AD1206" s="388"/>
      <c r="AE1206" s="388"/>
      <c r="AF1206" s="388"/>
      <c r="AG1206" s="388"/>
      <c r="AH1206" s="388"/>
      <c r="AI1206" s="387">
        <v>60</v>
      </c>
      <c r="AJ1206" s="388"/>
      <c r="AK1206" s="389">
        <f t="shared" ref="AK1206:AK1254" si="194">SUM(F1206:AJ1206)</f>
        <v>60</v>
      </c>
      <c r="AL1206" s="390"/>
      <c r="AM1206" s="388">
        <f>AK1206</f>
        <v>60</v>
      </c>
      <c r="AN1206" s="391">
        <f>AM1206</f>
        <v>60</v>
      </c>
    </row>
    <row r="1207" spans="3:40" ht="12.75" x14ac:dyDescent="0.2">
      <c r="C1207" s="580"/>
      <c r="D1207" s="392" t="s">
        <v>35</v>
      </c>
      <c r="E1207" s="393" t="s">
        <v>18</v>
      </c>
      <c r="F1207" s="394"/>
      <c r="G1207" s="394"/>
      <c r="H1207" s="394"/>
      <c r="I1207" s="393">
        <v>10</v>
      </c>
      <c r="J1207" s="393"/>
      <c r="K1207" s="394"/>
      <c r="L1207" s="394"/>
      <c r="M1207" s="394"/>
      <c r="N1207" s="394"/>
      <c r="O1207" s="394"/>
      <c r="P1207" s="394"/>
      <c r="Q1207" s="394"/>
      <c r="R1207" s="394"/>
      <c r="S1207" s="394"/>
      <c r="T1207" s="394"/>
      <c r="U1207" s="394"/>
      <c r="V1207" s="394"/>
      <c r="W1207" s="394"/>
      <c r="X1207" s="394"/>
      <c r="Y1207" s="393"/>
      <c r="Z1207" s="394"/>
      <c r="AA1207" s="394"/>
      <c r="AB1207" s="394"/>
      <c r="AC1207" s="394"/>
      <c r="AD1207" s="394"/>
      <c r="AE1207" s="394"/>
      <c r="AF1207" s="394"/>
      <c r="AG1207" s="394"/>
      <c r="AH1207" s="394"/>
      <c r="AI1207" s="394"/>
      <c r="AJ1207" s="394"/>
      <c r="AK1207" s="395">
        <f t="shared" si="194"/>
        <v>10</v>
      </c>
      <c r="AL1207" s="394">
        <f>AK1207</f>
        <v>10</v>
      </c>
      <c r="AM1207" s="396"/>
      <c r="AN1207" s="397">
        <f>AL1207</f>
        <v>10</v>
      </c>
    </row>
    <row r="1208" spans="3:40" ht="12.75" x14ac:dyDescent="0.2">
      <c r="C1208" s="580"/>
      <c r="D1208" s="434" t="s">
        <v>36</v>
      </c>
      <c r="E1208" s="398" t="s">
        <v>19</v>
      </c>
      <c r="F1208" s="399"/>
      <c r="G1208" s="399"/>
      <c r="H1208" s="399"/>
      <c r="I1208" s="399"/>
      <c r="J1208" s="398">
        <v>27.5</v>
      </c>
      <c r="K1208" s="399"/>
      <c r="L1208" s="399"/>
      <c r="M1208" s="399"/>
      <c r="N1208" s="399"/>
      <c r="O1208" s="399"/>
      <c r="P1208" s="399"/>
      <c r="Q1208" s="399"/>
      <c r="R1208" s="399"/>
      <c r="S1208" s="399"/>
      <c r="T1208" s="399"/>
      <c r="U1208" s="399"/>
      <c r="V1208" s="399"/>
      <c r="W1208" s="399"/>
      <c r="X1208" s="399"/>
      <c r="Y1208" s="399"/>
      <c r="Z1208" s="399"/>
      <c r="AA1208" s="399"/>
      <c r="AB1208" s="399"/>
      <c r="AC1208" s="399"/>
      <c r="AD1208" s="399"/>
      <c r="AE1208" s="399"/>
      <c r="AF1208" s="399"/>
      <c r="AG1208" s="399"/>
      <c r="AH1208" s="399"/>
      <c r="AI1208" s="399"/>
      <c r="AJ1208" s="399"/>
      <c r="AK1208" s="400">
        <f t="shared" si="194"/>
        <v>27.5</v>
      </c>
      <c r="AL1208" s="401"/>
      <c r="AM1208" s="399">
        <f>AK1208</f>
        <v>27.5</v>
      </c>
      <c r="AN1208" s="435">
        <f>AM1208</f>
        <v>27.5</v>
      </c>
    </row>
    <row r="1209" spans="3:40" ht="12.75" x14ac:dyDescent="0.2">
      <c r="C1209" s="580"/>
      <c r="D1209" s="643" t="s">
        <v>37</v>
      </c>
      <c r="E1209" s="393" t="s">
        <v>18</v>
      </c>
      <c r="F1209" s="393"/>
      <c r="G1209" s="393">
        <v>10</v>
      </c>
      <c r="H1209" s="394"/>
      <c r="I1209" s="393"/>
      <c r="J1209" s="394">
        <f>17.5+11.7</f>
        <v>29.2</v>
      </c>
      <c r="K1209" s="394">
        <f>12.1+14.4</f>
        <v>26.5</v>
      </c>
      <c r="L1209" s="394"/>
      <c r="M1209" s="394"/>
      <c r="N1209" s="393">
        <v>15</v>
      </c>
      <c r="O1209" s="393"/>
      <c r="P1209" s="394"/>
      <c r="Q1209" s="393"/>
      <c r="R1209" s="393">
        <v>13.1</v>
      </c>
      <c r="S1209" s="394"/>
      <c r="T1209" s="393"/>
      <c r="U1209" s="394"/>
      <c r="V1209" s="393"/>
      <c r="W1209" s="393"/>
      <c r="X1209" s="394"/>
      <c r="Y1209" s="393"/>
      <c r="Z1209" s="393"/>
      <c r="AA1209" s="394"/>
      <c r="AB1209" s="394"/>
      <c r="AC1209" s="394"/>
      <c r="AD1209" s="393"/>
      <c r="AE1209" s="394"/>
      <c r="AF1209" s="393">
        <v>5</v>
      </c>
      <c r="AG1209" s="394"/>
      <c r="AH1209" s="394"/>
      <c r="AI1209" s="394"/>
      <c r="AJ1209" s="394"/>
      <c r="AK1209" s="395">
        <f t="shared" si="194"/>
        <v>98.8</v>
      </c>
      <c r="AL1209" s="403">
        <f>AK1209</f>
        <v>98.8</v>
      </c>
      <c r="AM1209" s="396"/>
      <c r="AN1209" s="634">
        <f>SUM(AL1209:AM1210)</f>
        <v>102.5</v>
      </c>
    </row>
    <row r="1210" spans="3:40" ht="12.75" x14ac:dyDescent="0.2">
      <c r="C1210" s="580"/>
      <c r="D1210" s="577"/>
      <c r="E1210" s="404" t="s">
        <v>19</v>
      </c>
      <c r="F1210" s="396"/>
      <c r="G1210" s="396"/>
      <c r="H1210" s="404"/>
      <c r="I1210" s="396"/>
      <c r="J1210" s="396"/>
      <c r="K1210" s="396"/>
      <c r="L1210" s="404"/>
      <c r="M1210" s="396"/>
      <c r="N1210" s="404"/>
      <c r="O1210" s="396"/>
      <c r="P1210" s="396"/>
      <c r="Q1210" s="396"/>
      <c r="R1210" s="396"/>
      <c r="S1210" s="396"/>
      <c r="T1210" s="404"/>
      <c r="U1210" s="404"/>
      <c r="V1210" s="404"/>
      <c r="W1210" s="404"/>
      <c r="X1210" s="404">
        <f>1.2+2.5</f>
        <v>3.7</v>
      </c>
      <c r="Y1210" s="396"/>
      <c r="Z1210" s="396"/>
      <c r="AA1210" s="404"/>
      <c r="AB1210" s="404"/>
      <c r="AC1210" s="404"/>
      <c r="AD1210" s="404"/>
      <c r="AE1210" s="404"/>
      <c r="AF1210" s="396"/>
      <c r="AG1210" s="396"/>
      <c r="AH1210" s="396"/>
      <c r="AI1210" s="396"/>
      <c r="AJ1210" s="396"/>
      <c r="AK1210" s="405">
        <f t="shared" si="194"/>
        <v>3.7</v>
      </c>
      <c r="AL1210" s="406"/>
      <c r="AM1210" s="407">
        <f>AK1210</f>
        <v>3.7</v>
      </c>
      <c r="AN1210" s="583"/>
    </row>
    <row r="1211" spans="3:40" ht="12.75" x14ac:dyDescent="0.2">
      <c r="C1211" s="580"/>
      <c r="D1211" s="402" t="s">
        <v>38</v>
      </c>
      <c r="E1211" s="393" t="s">
        <v>18</v>
      </c>
      <c r="F1211" s="394"/>
      <c r="G1211" s="394"/>
      <c r="H1211" s="394"/>
      <c r="I1211" s="394"/>
      <c r="J1211" s="394"/>
      <c r="K1211" s="394"/>
      <c r="L1211" s="394"/>
      <c r="M1211" s="394"/>
      <c r="N1211" s="394"/>
      <c r="O1211" s="394"/>
      <c r="P1211" s="394"/>
      <c r="Q1211" s="394"/>
      <c r="R1211" s="394"/>
      <c r="S1211" s="394"/>
      <c r="T1211" s="394"/>
      <c r="U1211" s="394"/>
      <c r="V1211" s="394"/>
      <c r="W1211" s="394"/>
      <c r="X1211" s="394"/>
      <c r="Y1211" s="394"/>
      <c r="Z1211" s="394"/>
      <c r="AA1211" s="393">
        <v>56.95</v>
      </c>
      <c r="AB1211" s="393"/>
      <c r="AC1211" s="393"/>
      <c r="AD1211" s="394"/>
      <c r="AE1211" s="394"/>
      <c r="AF1211" s="394"/>
      <c r="AG1211" s="394"/>
      <c r="AH1211" s="394"/>
      <c r="AI1211" s="394"/>
      <c r="AJ1211" s="394"/>
      <c r="AK1211" s="395">
        <f t="shared" si="194"/>
        <v>56.95</v>
      </c>
      <c r="AL1211" s="394">
        <f t="shared" ref="AL1211:AL1213" si="195">AK1211</f>
        <v>56.95</v>
      </c>
      <c r="AM1211" s="396"/>
      <c r="AN1211" s="374">
        <f t="shared" ref="AN1211:AN1212" si="196">AL1211</f>
        <v>56.95</v>
      </c>
    </row>
    <row r="1212" spans="3:40" ht="12.75" x14ac:dyDescent="0.2">
      <c r="C1212" s="580"/>
      <c r="D1212" s="402" t="s">
        <v>39</v>
      </c>
      <c r="E1212" s="393" t="s">
        <v>18</v>
      </c>
      <c r="F1212" s="394"/>
      <c r="G1212" s="394"/>
      <c r="H1212" s="394"/>
      <c r="I1212" s="394"/>
      <c r="J1212" s="394"/>
      <c r="K1212" s="394"/>
      <c r="L1212" s="394"/>
      <c r="M1212" s="393"/>
      <c r="N1212" s="394"/>
      <c r="O1212" s="394"/>
      <c r="P1212" s="394"/>
      <c r="Q1212" s="394"/>
      <c r="R1212" s="394"/>
      <c r="S1212" s="394"/>
      <c r="T1212" s="394"/>
      <c r="U1212" s="394"/>
      <c r="V1212" s="394"/>
      <c r="W1212" s="394"/>
      <c r="X1212" s="394"/>
      <c r="Y1212" s="394"/>
      <c r="Z1212" s="394"/>
      <c r="AA1212" s="394"/>
      <c r="AB1212" s="394"/>
      <c r="AC1212" s="394"/>
      <c r="AD1212" s="394"/>
      <c r="AE1212" s="394"/>
      <c r="AF1212" s="394"/>
      <c r="AG1212" s="394"/>
      <c r="AH1212" s="394"/>
      <c r="AI1212" s="394"/>
      <c r="AJ1212" s="394"/>
      <c r="AK1212" s="395">
        <f t="shared" si="194"/>
        <v>0</v>
      </c>
      <c r="AL1212" s="394">
        <f t="shared" si="195"/>
        <v>0</v>
      </c>
      <c r="AM1212" s="396"/>
      <c r="AN1212" s="374">
        <f t="shared" si="196"/>
        <v>0</v>
      </c>
    </row>
    <row r="1213" spans="3:40" ht="12.75" x14ac:dyDescent="0.2">
      <c r="C1213" s="580"/>
      <c r="D1213" s="643" t="s">
        <v>40</v>
      </c>
      <c r="E1213" s="393" t="s">
        <v>18</v>
      </c>
      <c r="F1213" s="394"/>
      <c r="G1213" s="394"/>
      <c r="H1213" s="394"/>
      <c r="I1213" s="394"/>
      <c r="J1213" s="394"/>
      <c r="K1213" s="394"/>
      <c r="L1213" s="394"/>
      <c r="M1213" s="394"/>
      <c r="N1213" s="394"/>
      <c r="O1213" s="394"/>
      <c r="P1213" s="394"/>
      <c r="Q1213" s="394"/>
      <c r="R1213" s="394"/>
      <c r="S1213" s="394"/>
      <c r="T1213" s="394"/>
      <c r="U1213" s="394"/>
      <c r="V1213" s="394"/>
      <c r="W1213" s="394"/>
      <c r="X1213" s="394"/>
      <c r="Y1213" s="394"/>
      <c r="Z1213" s="394"/>
      <c r="AA1213" s="394"/>
      <c r="AB1213" s="394"/>
      <c r="AC1213" s="394"/>
      <c r="AD1213" s="394"/>
      <c r="AE1213" s="394"/>
      <c r="AF1213" s="394"/>
      <c r="AG1213" s="394"/>
      <c r="AH1213" s="394"/>
      <c r="AI1213" s="394"/>
      <c r="AJ1213" s="394"/>
      <c r="AK1213" s="395">
        <f t="shared" si="194"/>
        <v>0</v>
      </c>
      <c r="AL1213" s="408">
        <f t="shared" si="195"/>
        <v>0</v>
      </c>
      <c r="AM1213" s="409"/>
      <c r="AN1213" s="633">
        <f>SUM(AL1213:AM1214)</f>
        <v>0</v>
      </c>
    </row>
    <row r="1214" spans="3:40" ht="12.75" x14ac:dyDescent="0.2">
      <c r="C1214" s="580"/>
      <c r="D1214" s="577"/>
      <c r="E1214" s="404" t="s">
        <v>19</v>
      </c>
      <c r="F1214" s="396"/>
      <c r="G1214" s="396"/>
      <c r="H1214" s="396"/>
      <c r="I1214" s="396"/>
      <c r="J1214" s="396"/>
      <c r="K1214" s="396"/>
      <c r="L1214" s="396"/>
      <c r="M1214" s="396"/>
      <c r="N1214" s="396"/>
      <c r="O1214" s="396"/>
      <c r="P1214" s="396"/>
      <c r="Q1214" s="396"/>
      <c r="R1214" s="396"/>
      <c r="S1214" s="396"/>
      <c r="T1214" s="396"/>
      <c r="U1214" s="396"/>
      <c r="V1214" s="396"/>
      <c r="W1214" s="396"/>
      <c r="X1214" s="396"/>
      <c r="Y1214" s="396"/>
      <c r="Z1214" s="396"/>
      <c r="AA1214" s="396"/>
      <c r="AB1214" s="396"/>
      <c r="AC1214" s="396"/>
      <c r="AD1214" s="396"/>
      <c r="AE1214" s="396"/>
      <c r="AF1214" s="396"/>
      <c r="AG1214" s="396"/>
      <c r="AH1214" s="396"/>
      <c r="AI1214" s="396"/>
      <c r="AJ1214" s="396"/>
      <c r="AK1214" s="405">
        <f t="shared" si="194"/>
        <v>0</v>
      </c>
      <c r="AL1214" s="406"/>
      <c r="AM1214" s="407">
        <f>AK1214</f>
        <v>0</v>
      </c>
      <c r="AN1214" s="583"/>
    </row>
    <row r="1215" spans="3:40" ht="12.75" x14ac:dyDescent="0.2">
      <c r="C1215" s="580"/>
      <c r="D1215" s="643" t="s">
        <v>41</v>
      </c>
      <c r="E1215" s="393" t="s">
        <v>18</v>
      </c>
      <c r="F1215" s="393"/>
      <c r="G1215" s="394"/>
      <c r="H1215" s="394"/>
      <c r="I1215" s="394"/>
      <c r="J1215" s="394"/>
      <c r="K1215" s="394"/>
      <c r="L1215" s="393"/>
      <c r="M1215" s="394"/>
      <c r="N1215" s="394"/>
      <c r="O1215" s="394"/>
      <c r="P1215" s="394"/>
      <c r="Q1215" s="394"/>
      <c r="R1215" s="394"/>
      <c r="S1215" s="394"/>
      <c r="T1215" s="394"/>
      <c r="U1215" s="394"/>
      <c r="V1215" s="394"/>
      <c r="W1215" s="394"/>
      <c r="X1215" s="394"/>
      <c r="Y1215" s="394"/>
      <c r="Z1215" s="394"/>
      <c r="AA1215" s="393"/>
      <c r="AB1215" s="394"/>
      <c r="AC1215" s="394"/>
      <c r="AD1215" s="394"/>
      <c r="AE1215" s="394"/>
      <c r="AF1215" s="394"/>
      <c r="AG1215" s="394"/>
      <c r="AH1215" s="394"/>
      <c r="AI1215" s="394"/>
      <c r="AJ1215" s="394"/>
      <c r="AK1215" s="395">
        <f t="shared" si="194"/>
        <v>0</v>
      </c>
      <c r="AL1215" s="408">
        <f>AK1215</f>
        <v>0</v>
      </c>
      <c r="AM1215" s="409"/>
      <c r="AN1215" s="633">
        <f>SUM(AL1215:AM1216)</f>
        <v>0</v>
      </c>
    </row>
    <row r="1216" spans="3:40" ht="12.75" x14ac:dyDescent="0.2">
      <c r="C1216" s="580"/>
      <c r="D1216" s="577"/>
      <c r="E1216" s="404" t="s">
        <v>19</v>
      </c>
      <c r="F1216" s="396"/>
      <c r="G1216" s="396"/>
      <c r="H1216" s="396"/>
      <c r="I1216" s="396"/>
      <c r="J1216" s="404"/>
      <c r="K1216" s="396"/>
      <c r="L1216" s="396"/>
      <c r="M1216" s="404"/>
      <c r="N1216" s="396"/>
      <c r="O1216" s="396"/>
      <c r="P1216" s="396"/>
      <c r="Q1216" s="404"/>
      <c r="R1216" s="404"/>
      <c r="S1216" s="404"/>
      <c r="T1216" s="396"/>
      <c r="U1216" s="404"/>
      <c r="V1216" s="396"/>
      <c r="W1216" s="396"/>
      <c r="X1216" s="396"/>
      <c r="Y1216" s="396"/>
      <c r="Z1216" s="396"/>
      <c r="AA1216" s="396"/>
      <c r="AB1216" s="396"/>
      <c r="AC1216" s="396"/>
      <c r="AD1216" s="396"/>
      <c r="AE1216" s="404"/>
      <c r="AF1216" s="396"/>
      <c r="AG1216" s="396"/>
      <c r="AH1216" s="396"/>
      <c r="AI1216" s="396"/>
      <c r="AJ1216" s="396"/>
      <c r="AK1216" s="405">
        <f t="shared" si="194"/>
        <v>0</v>
      </c>
      <c r="AL1216" s="406"/>
      <c r="AM1216" s="407">
        <f>AK1216</f>
        <v>0</v>
      </c>
      <c r="AN1216" s="583"/>
    </row>
    <row r="1217" spans="3:40" ht="12.75" x14ac:dyDescent="0.2">
      <c r="C1217" s="580"/>
      <c r="D1217" s="402" t="s">
        <v>42</v>
      </c>
      <c r="E1217" s="393" t="s">
        <v>18</v>
      </c>
      <c r="F1217" s="394"/>
      <c r="G1217" s="394"/>
      <c r="H1217" s="394"/>
      <c r="I1217" s="393">
        <v>12</v>
      </c>
      <c r="J1217" s="394"/>
      <c r="K1217" s="394"/>
      <c r="L1217" s="393">
        <v>30</v>
      </c>
      <c r="M1217" s="393"/>
      <c r="N1217" s="394"/>
      <c r="O1217" s="393">
        <v>12</v>
      </c>
      <c r="P1217" s="394"/>
      <c r="Q1217" s="393">
        <v>30</v>
      </c>
      <c r="R1217" s="393">
        <v>10</v>
      </c>
      <c r="S1217" s="394"/>
      <c r="T1217" s="394"/>
      <c r="U1217" s="394"/>
      <c r="V1217" s="394"/>
      <c r="W1217" s="394"/>
      <c r="X1217" s="394"/>
      <c r="Y1217" s="394"/>
      <c r="Z1217" s="394"/>
      <c r="AA1217" s="394"/>
      <c r="AB1217" s="394"/>
      <c r="AC1217" s="394"/>
      <c r="AD1217" s="394"/>
      <c r="AE1217" s="394"/>
      <c r="AF1217" s="394"/>
      <c r="AG1217" s="394"/>
      <c r="AH1217" s="394"/>
      <c r="AI1217" s="393"/>
      <c r="AJ1217" s="394"/>
      <c r="AK1217" s="395">
        <f t="shared" si="194"/>
        <v>94</v>
      </c>
      <c r="AL1217" s="394">
        <f>AK1217</f>
        <v>94</v>
      </c>
      <c r="AM1217" s="396"/>
      <c r="AN1217" s="374">
        <f>AL1217</f>
        <v>94</v>
      </c>
    </row>
    <row r="1218" spans="3:40" ht="12.75" x14ac:dyDescent="0.2">
      <c r="C1218" s="580"/>
      <c r="D1218" s="402" t="s">
        <v>43</v>
      </c>
      <c r="E1218" s="404" t="s">
        <v>19</v>
      </c>
      <c r="F1218" s="396"/>
      <c r="G1218" s="396"/>
      <c r="H1218" s="396"/>
      <c r="I1218" s="396"/>
      <c r="J1218" s="396"/>
      <c r="K1218" s="396"/>
      <c r="L1218" s="396"/>
      <c r="M1218" s="396"/>
      <c r="N1218" s="396"/>
      <c r="O1218" s="396"/>
      <c r="P1218" s="396"/>
      <c r="Q1218" s="396"/>
      <c r="R1218" s="396"/>
      <c r="S1218" s="396"/>
      <c r="T1218" s="396"/>
      <c r="U1218" s="396"/>
      <c r="V1218" s="396"/>
      <c r="W1218" s="396"/>
      <c r="X1218" s="396"/>
      <c r="Y1218" s="396"/>
      <c r="Z1218" s="396"/>
      <c r="AA1218" s="396"/>
      <c r="AB1218" s="396"/>
      <c r="AC1218" s="396"/>
      <c r="AD1218" s="396"/>
      <c r="AE1218" s="396"/>
      <c r="AF1218" s="396"/>
      <c r="AG1218" s="396"/>
      <c r="AH1218" s="396"/>
      <c r="AI1218" s="396"/>
      <c r="AJ1218" s="396"/>
      <c r="AK1218" s="405">
        <f t="shared" si="194"/>
        <v>0</v>
      </c>
      <c r="AL1218" s="394"/>
      <c r="AM1218" s="396">
        <f>AK1218</f>
        <v>0</v>
      </c>
      <c r="AN1218" s="374">
        <f>AM1218</f>
        <v>0</v>
      </c>
    </row>
    <row r="1219" spans="3:40" ht="12.75" x14ac:dyDescent="0.2">
      <c r="C1219" s="580"/>
      <c r="D1219" s="643" t="s">
        <v>44</v>
      </c>
      <c r="E1219" s="393" t="s">
        <v>18</v>
      </c>
      <c r="F1219" s="393"/>
      <c r="G1219" s="394"/>
      <c r="H1219" s="394"/>
      <c r="I1219" s="394"/>
      <c r="J1219" s="394"/>
      <c r="K1219" s="394"/>
      <c r="L1219" s="394"/>
      <c r="M1219" s="393">
        <v>11</v>
      </c>
      <c r="N1219" s="394"/>
      <c r="O1219" s="394"/>
      <c r="P1219" s="394"/>
      <c r="Q1219" s="394"/>
      <c r="R1219" s="394"/>
      <c r="S1219" s="394"/>
      <c r="T1219" s="393">
        <v>28.11</v>
      </c>
      <c r="U1219" s="394"/>
      <c r="V1219" s="394"/>
      <c r="W1219" s="394"/>
      <c r="X1219" s="394"/>
      <c r="Y1219" s="394"/>
      <c r="Z1219" s="394"/>
      <c r="AA1219" s="394"/>
      <c r="AB1219" s="394"/>
      <c r="AC1219" s="394"/>
      <c r="AD1219" s="393">
        <v>1.5</v>
      </c>
      <c r="AE1219" s="394"/>
      <c r="AF1219" s="394"/>
      <c r="AG1219" s="394"/>
      <c r="AH1219" s="394"/>
      <c r="AI1219" s="394"/>
      <c r="AJ1219" s="394"/>
      <c r="AK1219" s="395">
        <f t="shared" si="194"/>
        <v>40.61</v>
      </c>
      <c r="AL1219" s="408">
        <f>AK1219</f>
        <v>40.61</v>
      </c>
      <c r="AM1219" s="409"/>
      <c r="AN1219" s="633">
        <f>SUM(AL1219:AM1220)</f>
        <v>40.61</v>
      </c>
    </row>
    <row r="1220" spans="3:40" ht="12.75" x14ac:dyDescent="0.2">
      <c r="C1220" s="581"/>
      <c r="D1220" s="585"/>
      <c r="E1220" s="404" t="s">
        <v>19</v>
      </c>
      <c r="F1220" s="407"/>
      <c r="G1220" s="407"/>
      <c r="H1220" s="407"/>
      <c r="I1220" s="407"/>
      <c r="J1220" s="407"/>
      <c r="K1220" s="407"/>
      <c r="L1220" s="407"/>
      <c r="M1220" s="407"/>
      <c r="N1220" s="407"/>
      <c r="O1220" s="407"/>
      <c r="P1220" s="407"/>
      <c r="Q1220" s="407"/>
      <c r="R1220" s="407"/>
      <c r="S1220" s="407"/>
      <c r="T1220" s="407"/>
      <c r="U1220" s="407"/>
      <c r="V1220" s="407"/>
      <c r="W1220" s="407"/>
      <c r="X1220" s="407"/>
      <c r="Y1220" s="407"/>
      <c r="Z1220" s="407"/>
      <c r="AA1220" s="407"/>
      <c r="AB1220" s="407"/>
      <c r="AC1220" s="407"/>
      <c r="AD1220" s="407"/>
      <c r="AE1220" s="407"/>
      <c r="AF1220" s="407"/>
      <c r="AG1220" s="407"/>
      <c r="AH1220" s="407"/>
      <c r="AI1220" s="407"/>
      <c r="AJ1220" s="407"/>
      <c r="AK1220" s="405">
        <f t="shared" si="194"/>
        <v>0</v>
      </c>
      <c r="AL1220" s="406"/>
      <c r="AM1220" s="407">
        <f>AK1220</f>
        <v>0</v>
      </c>
      <c r="AN1220" s="583"/>
    </row>
    <row r="1221" spans="3:40" ht="12.75" x14ac:dyDescent="0.2">
      <c r="C1221" s="629" t="s">
        <v>45</v>
      </c>
      <c r="D1221" s="644" t="s">
        <v>46</v>
      </c>
      <c r="E1221" s="411" t="s">
        <v>18</v>
      </c>
      <c r="F1221" s="412"/>
      <c r="G1221" s="411"/>
      <c r="H1221" s="412"/>
      <c r="I1221" s="411">
        <f>3.49+1.15</f>
        <v>4.6400000000000006</v>
      </c>
      <c r="J1221" s="412">
        <f>20.44+13.88</f>
        <v>34.32</v>
      </c>
      <c r="K1221" s="412"/>
      <c r="L1221" s="411"/>
      <c r="M1221" s="412"/>
      <c r="N1221" s="411"/>
      <c r="O1221" s="412"/>
      <c r="P1221" s="412">
        <f>9.62+6.39+6.14+2.17</f>
        <v>24.32</v>
      </c>
      <c r="Q1221" s="411">
        <f>0.39+29.99+1.03+7.32+1.4</f>
        <v>40.130000000000003</v>
      </c>
      <c r="R1221" s="411"/>
      <c r="S1221" s="411"/>
      <c r="T1221" s="411"/>
      <c r="U1221" s="412"/>
      <c r="V1221" s="411">
        <f>3.07+4.18</f>
        <v>7.25</v>
      </c>
      <c r="W1221" s="411">
        <f>6.89+6.49</f>
        <v>13.379999999999999</v>
      </c>
      <c r="X1221" s="411"/>
      <c r="Y1221" s="412">
        <f>1.15+2.99+3.89</f>
        <v>8.0300000000000011</v>
      </c>
      <c r="Z1221" s="412">
        <f>5.21+3.9+0.93</f>
        <v>10.039999999999999</v>
      </c>
      <c r="AA1221" s="412"/>
      <c r="AB1221" s="411">
        <f>3.07+2.34+1.43+4.81+7.48</f>
        <v>19.13</v>
      </c>
      <c r="AC1221" s="411">
        <v>3.27</v>
      </c>
      <c r="AD1221" s="411"/>
      <c r="AE1221" s="412">
        <f>1.43+1.03+4.04+6.49+10.44+1.4+7.89</f>
        <v>32.72</v>
      </c>
      <c r="AF1221" s="411">
        <v>39.99</v>
      </c>
      <c r="AG1221" s="412"/>
      <c r="AH1221" s="411">
        <v>1.06</v>
      </c>
      <c r="AI1221" s="412"/>
      <c r="AJ1221" s="412"/>
      <c r="AK1221" s="395">
        <f t="shared" si="194"/>
        <v>238.28</v>
      </c>
      <c r="AL1221" s="408">
        <f>AK1221</f>
        <v>238.28</v>
      </c>
      <c r="AM1221" s="409"/>
      <c r="AN1221" s="633">
        <f>SUM(AL1221:AM1222)</f>
        <v>258.68</v>
      </c>
    </row>
    <row r="1222" spans="3:40" ht="12.75" x14ac:dyDescent="0.2">
      <c r="C1222" s="580"/>
      <c r="D1222" s="577"/>
      <c r="E1222" s="404" t="s">
        <v>19</v>
      </c>
      <c r="F1222" s="404"/>
      <c r="G1222" s="404"/>
      <c r="H1222" s="404">
        <v>20.399999999999999</v>
      </c>
      <c r="I1222" s="396"/>
      <c r="J1222" s="396"/>
      <c r="K1222" s="396"/>
      <c r="L1222" s="404"/>
      <c r="M1222" s="396"/>
      <c r="N1222" s="396"/>
      <c r="O1222" s="396"/>
      <c r="P1222" s="396"/>
      <c r="Q1222" s="396"/>
      <c r="R1222" s="396"/>
      <c r="S1222" s="404"/>
      <c r="T1222" s="404"/>
      <c r="U1222" s="396"/>
      <c r="V1222" s="404"/>
      <c r="W1222" s="396"/>
      <c r="X1222" s="404"/>
      <c r="Y1222" s="396"/>
      <c r="Z1222" s="404"/>
      <c r="AA1222" s="396"/>
      <c r="AB1222" s="404"/>
      <c r="AC1222" s="404"/>
      <c r="AD1222" s="404"/>
      <c r="AE1222" s="396"/>
      <c r="AF1222" s="396"/>
      <c r="AG1222" s="396"/>
      <c r="AH1222" s="396"/>
      <c r="AI1222" s="396"/>
      <c r="AJ1222" s="396"/>
      <c r="AK1222" s="405">
        <f t="shared" si="194"/>
        <v>20.399999999999999</v>
      </c>
      <c r="AL1222" s="406"/>
      <c r="AM1222" s="407">
        <f>AK1222</f>
        <v>20.399999999999999</v>
      </c>
      <c r="AN1222" s="583"/>
    </row>
    <row r="1223" spans="3:40" ht="12.75" x14ac:dyDescent="0.2">
      <c r="C1223" s="580"/>
      <c r="D1223" s="643" t="s">
        <v>47</v>
      </c>
      <c r="E1223" s="393" t="s">
        <v>18</v>
      </c>
      <c r="F1223" s="394"/>
      <c r="G1223" s="393">
        <v>4.99</v>
      </c>
      <c r="H1223" s="393"/>
      <c r="I1223" s="393">
        <f>1.01+5.55</f>
        <v>6.56</v>
      </c>
      <c r="J1223" s="393"/>
      <c r="K1223" s="394">
        <f>(0.75*6)+1.54</f>
        <v>6.04</v>
      </c>
      <c r="L1223" s="393">
        <f>2.74-0.04+0.65+0.65+0.65+1.56-0.01</f>
        <v>6.2000000000000011</v>
      </c>
      <c r="M1223" s="393">
        <f>1.51+3.24</f>
        <v>4.75</v>
      </c>
      <c r="N1223" s="393">
        <v>3.36</v>
      </c>
      <c r="O1223" s="393"/>
      <c r="P1223" s="393">
        <f>2.74+3.31</f>
        <v>6.0500000000000007</v>
      </c>
      <c r="Q1223" s="393">
        <f>0.73*4+2.79</f>
        <v>5.71</v>
      </c>
      <c r="R1223" s="394"/>
      <c r="S1223" s="393">
        <f>2.96+2.92+20</f>
        <v>25.88</v>
      </c>
      <c r="T1223" s="393">
        <f>2.89</f>
        <v>2.89</v>
      </c>
      <c r="U1223" s="393"/>
      <c r="V1223" s="393">
        <f>(0.75*4)+1.52</f>
        <v>4.5199999999999996</v>
      </c>
      <c r="W1223" s="394">
        <f>2.74+2.79+(0.75*4)+2.59</f>
        <v>11.120000000000001</v>
      </c>
      <c r="X1223" s="393">
        <f>3.16-0.83</f>
        <v>2.33</v>
      </c>
      <c r="Y1223" s="393">
        <f>1.63+1.59+(0.75*6)</f>
        <v>7.72</v>
      </c>
      <c r="Z1223" s="393">
        <f>3+3.22</f>
        <v>6.2200000000000006</v>
      </c>
      <c r="AA1223" s="393"/>
      <c r="AB1223" s="393">
        <f>3+3.35</f>
        <v>6.35</v>
      </c>
      <c r="AC1223" s="393">
        <f>4.98+(0.75*5)</f>
        <v>8.73</v>
      </c>
      <c r="AD1223" s="393">
        <v>2.74</v>
      </c>
      <c r="AE1223" s="393">
        <f>2.09+(0.75*4)</f>
        <v>5.09</v>
      </c>
      <c r="AF1223" s="394"/>
      <c r="AG1223" s="393">
        <f>2.09+1.3+(0.75*4)</f>
        <v>6.39</v>
      </c>
      <c r="AH1223" s="394">
        <f>4.45+3.62+2.77+(0.76*4)</f>
        <v>13.879999999999999</v>
      </c>
      <c r="AI1223" s="393">
        <v>14.12</v>
      </c>
      <c r="AJ1223" s="393">
        <f>6.95+(0.75*4)</f>
        <v>9.9499999999999993</v>
      </c>
      <c r="AK1223" s="395">
        <f t="shared" si="194"/>
        <v>171.58999999999997</v>
      </c>
      <c r="AL1223" s="408">
        <f>AK1223</f>
        <v>171.58999999999997</v>
      </c>
      <c r="AM1223" s="409"/>
      <c r="AN1223" s="633">
        <f>SUM(AL1223:AM1224)</f>
        <v>175.08999999999997</v>
      </c>
    </row>
    <row r="1224" spans="3:40" ht="12.75" x14ac:dyDescent="0.2">
      <c r="C1224" s="580"/>
      <c r="D1224" s="577"/>
      <c r="E1224" s="404" t="s">
        <v>19</v>
      </c>
      <c r="F1224" s="396"/>
      <c r="G1224" s="396"/>
      <c r="H1224" s="404">
        <v>1.01</v>
      </c>
      <c r="I1224" s="404"/>
      <c r="J1224" s="404"/>
      <c r="K1224" s="396"/>
      <c r="L1224" s="396"/>
      <c r="M1224" s="396"/>
      <c r="N1224" s="396"/>
      <c r="O1224" s="396"/>
      <c r="P1224" s="404"/>
      <c r="Q1224" s="404"/>
      <c r="R1224" s="404"/>
      <c r="S1224" s="404"/>
      <c r="T1224" s="404"/>
      <c r="U1224" s="404"/>
      <c r="V1224" s="404"/>
      <c r="W1224" s="404"/>
      <c r="X1224" s="404">
        <v>2.4900000000000002</v>
      </c>
      <c r="Y1224" s="396"/>
      <c r="Z1224" s="404"/>
      <c r="AA1224" s="396"/>
      <c r="AB1224" s="404"/>
      <c r="AC1224" s="396"/>
      <c r="AD1224" s="396"/>
      <c r="AE1224" s="396"/>
      <c r="AF1224" s="396"/>
      <c r="AG1224" s="396"/>
      <c r="AH1224" s="396"/>
      <c r="AI1224" s="396"/>
      <c r="AJ1224" s="396"/>
      <c r="AK1224" s="405">
        <f t="shared" si="194"/>
        <v>3.5</v>
      </c>
      <c r="AL1224" s="406"/>
      <c r="AM1224" s="407">
        <f>AK1224</f>
        <v>3.5</v>
      </c>
      <c r="AN1224" s="583"/>
    </row>
    <row r="1225" spans="3:40" ht="12.75" x14ac:dyDescent="0.2">
      <c r="C1225" s="580"/>
      <c r="D1225" s="643" t="s">
        <v>48</v>
      </c>
      <c r="E1225" s="393" t="s">
        <v>18</v>
      </c>
      <c r="F1225" s="393">
        <v>3.15</v>
      </c>
      <c r="G1225" s="393"/>
      <c r="H1225" s="393">
        <v>0.04</v>
      </c>
      <c r="I1225" s="393">
        <v>0.15</v>
      </c>
      <c r="J1225" s="394"/>
      <c r="K1225" s="393"/>
      <c r="L1225" s="393">
        <v>3.15</v>
      </c>
      <c r="M1225" s="394"/>
      <c r="N1225" s="394"/>
      <c r="O1225" s="393">
        <v>6.05</v>
      </c>
      <c r="P1225" s="394">
        <f>11.06-5.8</f>
        <v>5.2600000000000007</v>
      </c>
      <c r="Q1225" s="393"/>
      <c r="R1225" s="393"/>
      <c r="S1225" s="393">
        <f>7.91-5.8+3.15</f>
        <v>5.26</v>
      </c>
      <c r="T1225" s="393">
        <f>7.37</f>
        <v>7.37</v>
      </c>
      <c r="U1225" s="393">
        <v>2.11</v>
      </c>
      <c r="V1225" s="393">
        <f>2.11+3.15</f>
        <v>5.26</v>
      </c>
      <c r="W1225" s="393"/>
      <c r="X1225" s="393"/>
      <c r="Y1225" s="393"/>
      <c r="Z1225" s="394"/>
      <c r="AA1225" s="394"/>
      <c r="AB1225" s="393"/>
      <c r="AC1225" s="394"/>
      <c r="AD1225" s="394">
        <f>3.5+(2.11*2)</f>
        <v>7.72</v>
      </c>
      <c r="AE1225" s="393"/>
      <c r="AF1225" s="394"/>
      <c r="AG1225" s="394">
        <f>5.21+2.11</f>
        <v>7.32</v>
      </c>
      <c r="AH1225" s="393">
        <f>2.11+5.21</f>
        <v>7.32</v>
      </c>
      <c r="AI1225" s="393">
        <v>2.11</v>
      </c>
      <c r="AJ1225" s="393">
        <v>2.11</v>
      </c>
      <c r="AK1225" s="395">
        <f t="shared" si="194"/>
        <v>64.38000000000001</v>
      </c>
      <c r="AL1225" s="408">
        <f>AK1225</f>
        <v>64.38000000000001</v>
      </c>
      <c r="AM1225" s="409"/>
      <c r="AN1225" s="633">
        <f>SUM(AL1225:AM1226)</f>
        <v>77.490000000000009</v>
      </c>
    </row>
    <row r="1226" spans="3:40" ht="12.75" x14ac:dyDescent="0.2">
      <c r="C1226" s="580"/>
      <c r="D1226" s="577"/>
      <c r="E1226" s="404" t="s">
        <v>19</v>
      </c>
      <c r="F1226" s="396"/>
      <c r="G1226" s="404">
        <v>3.15</v>
      </c>
      <c r="H1226" s="404">
        <v>3.81</v>
      </c>
      <c r="I1226" s="404">
        <v>3</v>
      </c>
      <c r="J1226" s="396"/>
      <c r="K1226" s="404"/>
      <c r="L1226" s="404"/>
      <c r="M1226" s="404">
        <v>3.15</v>
      </c>
      <c r="N1226" s="396"/>
      <c r="O1226" s="396"/>
      <c r="P1226" s="396"/>
      <c r="Q1226" s="404"/>
      <c r="R1226" s="404"/>
      <c r="S1226" s="404"/>
      <c r="T1226" s="404"/>
      <c r="U1226" s="404"/>
      <c r="V1226" s="404"/>
      <c r="W1226" s="404"/>
      <c r="X1226" s="404"/>
      <c r="Y1226" s="396"/>
      <c r="Z1226" s="396"/>
      <c r="AA1226" s="404"/>
      <c r="AB1226" s="404"/>
      <c r="AC1226" s="404"/>
      <c r="AD1226" s="404"/>
      <c r="AE1226" s="404"/>
      <c r="AF1226" s="396"/>
      <c r="AG1226" s="396"/>
      <c r="AH1226" s="396"/>
      <c r="AI1226" s="396"/>
      <c r="AJ1226" s="396"/>
      <c r="AK1226" s="405">
        <f t="shared" si="194"/>
        <v>13.110000000000001</v>
      </c>
      <c r="AL1226" s="406"/>
      <c r="AM1226" s="407">
        <f>AK1226</f>
        <v>13.110000000000001</v>
      </c>
      <c r="AN1226" s="583"/>
    </row>
    <row r="1227" spans="3:40" ht="12.75" x14ac:dyDescent="0.2">
      <c r="C1227" s="580"/>
      <c r="D1227" s="643" t="s">
        <v>49</v>
      </c>
      <c r="E1227" s="393" t="s">
        <v>18</v>
      </c>
      <c r="F1227" s="393"/>
      <c r="G1227" s="393"/>
      <c r="H1227" s="394"/>
      <c r="I1227" s="394"/>
      <c r="J1227" s="393"/>
      <c r="K1227" s="394"/>
      <c r="L1227" s="394"/>
      <c r="M1227" s="393"/>
      <c r="N1227" s="394"/>
      <c r="O1227" s="393"/>
      <c r="P1227" s="393"/>
      <c r="Q1227" s="393">
        <v>4.5</v>
      </c>
      <c r="R1227" s="393"/>
      <c r="S1227" s="393"/>
      <c r="T1227" s="393"/>
      <c r="U1227" s="393">
        <v>6</v>
      </c>
      <c r="V1227" s="393">
        <v>5</v>
      </c>
      <c r="W1227" s="393"/>
      <c r="X1227" s="394">
        <f>2.49-0.64</f>
        <v>1.85</v>
      </c>
      <c r="Y1227" s="394"/>
      <c r="Z1227" s="393"/>
      <c r="AA1227" s="393"/>
      <c r="AB1227" s="394"/>
      <c r="AC1227" s="393">
        <v>3</v>
      </c>
      <c r="AD1227" s="394"/>
      <c r="AE1227" s="393"/>
      <c r="AF1227" s="394"/>
      <c r="AG1227" s="394"/>
      <c r="AH1227" s="393">
        <v>3</v>
      </c>
      <c r="AI1227" s="394"/>
      <c r="AJ1227" s="394"/>
      <c r="AK1227" s="395">
        <f t="shared" si="194"/>
        <v>23.35</v>
      </c>
      <c r="AL1227" s="408">
        <f>AK1227</f>
        <v>23.35</v>
      </c>
      <c r="AM1227" s="409"/>
      <c r="AN1227" s="633">
        <f>SUM(AL1227:AM1228)</f>
        <v>23.35</v>
      </c>
    </row>
    <row r="1228" spans="3:40" ht="12.75" x14ac:dyDescent="0.2">
      <c r="C1228" s="580"/>
      <c r="D1228" s="577"/>
      <c r="E1228" s="404" t="s">
        <v>19</v>
      </c>
      <c r="F1228" s="396"/>
      <c r="G1228" s="396"/>
      <c r="H1228" s="404"/>
      <c r="I1228" s="404"/>
      <c r="J1228" s="404"/>
      <c r="K1228" s="404"/>
      <c r="L1228" s="404"/>
      <c r="M1228" s="404"/>
      <c r="N1228" s="404"/>
      <c r="O1228" s="404"/>
      <c r="P1228" s="404"/>
      <c r="Q1228" s="404"/>
      <c r="R1228" s="404"/>
      <c r="S1228" s="404"/>
      <c r="T1228" s="404"/>
      <c r="U1228" s="404"/>
      <c r="V1228" s="404"/>
      <c r="W1228" s="404"/>
      <c r="X1228" s="404"/>
      <c r="Y1228" s="404"/>
      <c r="Z1228" s="404"/>
      <c r="AA1228" s="396"/>
      <c r="AB1228" s="396"/>
      <c r="AC1228" s="396"/>
      <c r="AD1228" s="396"/>
      <c r="AE1228" s="404"/>
      <c r="AF1228" s="396"/>
      <c r="AG1228" s="396"/>
      <c r="AH1228" s="396"/>
      <c r="AI1228" s="396"/>
      <c r="AJ1228" s="396"/>
      <c r="AK1228" s="405">
        <f t="shared" si="194"/>
        <v>0</v>
      </c>
      <c r="AL1228" s="406"/>
      <c r="AM1228" s="407">
        <f>AK1228</f>
        <v>0</v>
      </c>
      <c r="AN1228" s="583"/>
    </row>
    <row r="1229" spans="3:40" ht="12.75" x14ac:dyDescent="0.2">
      <c r="C1229" s="580"/>
      <c r="D1229" s="643" t="s">
        <v>50</v>
      </c>
      <c r="E1229" s="393" t="s">
        <v>18</v>
      </c>
      <c r="F1229" s="393">
        <v>5.6</v>
      </c>
      <c r="G1229" s="393"/>
      <c r="H1229" s="393"/>
      <c r="I1229" s="393">
        <v>5.8</v>
      </c>
      <c r="J1229" s="393">
        <v>5.8</v>
      </c>
      <c r="K1229" s="393">
        <v>5.8</v>
      </c>
      <c r="L1229" s="393">
        <v>5.8</v>
      </c>
      <c r="M1229" s="393">
        <v>5.8</v>
      </c>
      <c r="N1229" s="393">
        <v>5.8</v>
      </c>
      <c r="O1229" s="393">
        <v>5.8</v>
      </c>
      <c r="P1229" s="393">
        <v>5.8</v>
      </c>
      <c r="Q1229" s="393">
        <v>5.8</v>
      </c>
      <c r="R1229" s="393">
        <v>5.8</v>
      </c>
      <c r="S1229" s="393">
        <f>5.8*2</f>
        <v>11.6</v>
      </c>
      <c r="T1229" s="393">
        <v>5.8</v>
      </c>
      <c r="U1229" s="393">
        <v>5.8</v>
      </c>
      <c r="V1229" s="393">
        <v>5.8</v>
      </c>
      <c r="W1229" s="393">
        <v>5.8</v>
      </c>
      <c r="X1229" s="393">
        <f>5.8*2</f>
        <v>11.6</v>
      </c>
      <c r="Y1229" s="393"/>
      <c r="Z1229" s="393">
        <v>5.8</v>
      </c>
      <c r="AA1229" s="393">
        <v>5.8</v>
      </c>
      <c r="AB1229" s="393">
        <f>5.8*2</f>
        <v>11.6</v>
      </c>
      <c r="AC1229" s="393">
        <v>5.8</v>
      </c>
      <c r="AD1229" s="393">
        <v>5.8</v>
      </c>
      <c r="AE1229" s="393">
        <v>5.8</v>
      </c>
      <c r="AF1229" s="393">
        <v>5.8</v>
      </c>
      <c r="AG1229" s="393">
        <v>5.8</v>
      </c>
      <c r="AH1229" s="393">
        <v>5.8</v>
      </c>
      <c r="AI1229" s="394"/>
      <c r="AJ1229" s="393">
        <v>5.8</v>
      </c>
      <c r="AK1229" s="395">
        <f t="shared" si="194"/>
        <v>173.80000000000004</v>
      </c>
      <c r="AL1229" s="408">
        <f>AK1229</f>
        <v>173.80000000000004</v>
      </c>
      <c r="AM1229" s="409"/>
      <c r="AN1229" s="633">
        <f>SUM(AL1229:AM1230)</f>
        <v>185.20000000000005</v>
      </c>
    </row>
    <row r="1230" spans="3:40" ht="12.75" x14ac:dyDescent="0.2">
      <c r="C1230" s="580"/>
      <c r="D1230" s="577"/>
      <c r="E1230" s="404" t="s">
        <v>19</v>
      </c>
      <c r="F1230" s="404"/>
      <c r="G1230" s="404">
        <v>5.6</v>
      </c>
      <c r="H1230" s="404">
        <v>5.8</v>
      </c>
      <c r="I1230" s="404"/>
      <c r="J1230" s="404"/>
      <c r="K1230" s="404"/>
      <c r="L1230" s="404"/>
      <c r="M1230" s="404"/>
      <c r="N1230" s="404"/>
      <c r="O1230" s="404"/>
      <c r="P1230" s="404"/>
      <c r="Q1230" s="404"/>
      <c r="R1230" s="404"/>
      <c r="S1230" s="404"/>
      <c r="T1230" s="404"/>
      <c r="U1230" s="404"/>
      <c r="V1230" s="404"/>
      <c r="W1230" s="404"/>
      <c r="X1230" s="404"/>
      <c r="Y1230" s="404"/>
      <c r="Z1230" s="404"/>
      <c r="AA1230" s="404"/>
      <c r="AB1230" s="404"/>
      <c r="AC1230" s="404"/>
      <c r="AD1230" s="396"/>
      <c r="AE1230" s="396"/>
      <c r="AF1230" s="396"/>
      <c r="AG1230" s="396"/>
      <c r="AH1230" s="396"/>
      <c r="AI1230" s="396"/>
      <c r="AJ1230" s="396"/>
      <c r="AK1230" s="405">
        <f t="shared" si="194"/>
        <v>11.399999999999999</v>
      </c>
      <c r="AL1230" s="406"/>
      <c r="AM1230" s="407">
        <f>AK1230</f>
        <v>11.399999999999999</v>
      </c>
      <c r="AN1230" s="583"/>
    </row>
    <row r="1231" spans="3:40" ht="12.75" x14ac:dyDescent="0.2">
      <c r="C1231" s="580"/>
      <c r="D1231" s="643" t="s">
        <v>1</v>
      </c>
      <c r="E1231" s="393" t="s">
        <v>18</v>
      </c>
      <c r="F1231" s="394"/>
      <c r="G1231" s="394"/>
      <c r="H1231" s="394"/>
      <c r="I1231" s="393">
        <v>2.59</v>
      </c>
      <c r="J1231" s="393"/>
      <c r="K1231" s="393">
        <f>2.39+2.39</f>
        <v>4.78</v>
      </c>
      <c r="L1231" s="393">
        <v>2.89</v>
      </c>
      <c r="M1231" s="394"/>
      <c r="N1231" s="394"/>
      <c r="O1231" s="394"/>
      <c r="P1231" s="394">
        <f>2.89*2</f>
        <v>5.78</v>
      </c>
      <c r="Q1231" s="393">
        <v>2.89</v>
      </c>
      <c r="R1231" s="393">
        <v>18.45</v>
      </c>
      <c r="S1231" s="393"/>
      <c r="T1231" s="394"/>
      <c r="U1231" s="393"/>
      <c r="V1231" s="393">
        <v>2.89</v>
      </c>
      <c r="W1231" s="393">
        <v>2.89</v>
      </c>
      <c r="X1231" s="393"/>
      <c r="Y1231" s="393"/>
      <c r="Z1231" s="393"/>
      <c r="AA1231" s="393"/>
      <c r="AB1231" s="393"/>
      <c r="AC1231" s="393"/>
      <c r="AD1231" s="393">
        <v>2.89</v>
      </c>
      <c r="AE1231" s="394"/>
      <c r="AF1231" s="394"/>
      <c r="AG1231" s="393">
        <v>2.89</v>
      </c>
      <c r="AH1231" s="394"/>
      <c r="AI1231" s="394"/>
      <c r="AJ1231" s="393">
        <v>4.3899999999999997</v>
      </c>
      <c r="AK1231" s="395">
        <f t="shared" si="194"/>
        <v>53.33</v>
      </c>
      <c r="AL1231" s="403">
        <f>AK1231</f>
        <v>53.33</v>
      </c>
      <c r="AM1231" s="396"/>
      <c r="AN1231" s="633">
        <f>SUM(AL1231:AM1232)</f>
        <v>55.92</v>
      </c>
    </row>
    <row r="1232" spans="3:40" ht="12.75" x14ac:dyDescent="0.2">
      <c r="C1232" s="580"/>
      <c r="D1232" s="577"/>
      <c r="E1232" s="404" t="s">
        <v>19</v>
      </c>
      <c r="F1232" s="396"/>
      <c r="G1232" s="396"/>
      <c r="H1232" s="404">
        <v>2.59</v>
      </c>
      <c r="I1232" s="404"/>
      <c r="J1232" s="396"/>
      <c r="K1232" s="396"/>
      <c r="L1232" s="396"/>
      <c r="M1232" s="396"/>
      <c r="N1232" s="396"/>
      <c r="O1232" s="396"/>
      <c r="P1232" s="396"/>
      <c r="Q1232" s="404"/>
      <c r="R1232" s="404"/>
      <c r="S1232" s="404"/>
      <c r="T1232" s="396"/>
      <c r="U1232" s="404"/>
      <c r="V1232" s="404"/>
      <c r="W1232" s="396"/>
      <c r="X1232" s="404"/>
      <c r="Y1232" s="404"/>
      <c r="Z1232" s="404"/>
      <c r="AA1232" s="404"/>
      <c r="AB1232" s="404"/>
      <c r="AC1232" s="404"/>
      <c r="AD1232" s="396"/>
      <c r="AE1232" s="396"/>
      <c r="AF1232" s="396"/>
      <c r="AG1232" s="396"/>
      <c r="AH1232" s="396"/>
      <c r="AI1232" s="396"/>
      <c r="AJ1232" s="396"/>
      <c r="AK1232" s="405">
        <f t="shared" si="194"/>
        <v>2.59</v>
      </c>
      <c r="AL1232" s="403"/>
      <c r="AM1232" s="396">
        <f>AK1232</f>
        <v>2.59</v>
      </c>
      <c r="AN1232" s="583"/>
    </row>
    <row r="1233" spans="3:40" ht="12.75" x14ac:dyDescent="0.2">
      <c r="C1233" s="580"/>
      <c r="D1233" s="643" t="s">
        <v>78</v>
      </c>
      <c r="E1233" s="393" t="s">
        <v>18</v>
      </c>
      <c r="F1233" s="394"/>
      <c r="G1233" s="394"/>
      <c r="H1233" s="394"/>
      <c r="I1233" s="394"/>
      <c r="J1233" s="394"/>
      <c r="K1233" s="393">
        <v>25.16</v>
      </c>
      <c r="L1233" s="393"/>
      <c r="M1233" s="394"/>
      <c r="N1233" s="394"/>
      <c r="O1233" s="393"/>
      <c r="P1233" s="393"/>
      <c r="Q1233" s="394"/>
      <c r="R1233" s="394"/>
      <c r="S1233" s="394"/>
      <c r="T1233" s="394"/>
      <c r="U1233" s="394"/>
      <c r="V1233" s="394"/>
      <c r="W1233" s="393"/>
      <c r="X1233" s="393"/>
      <c r="Y1233" s="393"/>
      <c r="Z1233" s="393">
        <v>9.02</v>
      </c>
      <c r="AA1233" s="394"/>
      <c r="AB1233" s="394"/>
      <c r="AC1233" s="394"/>
      <c r="AD1233" s="394"/>
      <c r="AE1233" s="394"/>
      <c r="AF1233" s="394"/>
      <c r="AG1233" s="394"/>
      <c r="AH1233" s="394"/>
      <c r="AI1233" s="394"/>
      <c r="AJ1233" s="394"/>
      <c r="AK1233" s="395">
        <f t="shared" si="194"/>
        <v>34.18</v>
      </c>
      <c r="AL1233" s="408">
        <f>AK1233</f>
        <v>34.18</v>
      </c>
      <c r="AM1233" s="409"/>
      <c r="AN1233" s="634">
        <f>SUM(AL1233:AM1234)</f>
        <v>34.18</v>
      </c>
    </row>
    <row r="1234" spans="3:40" ht="12.75" x14ac:dyDescent="0.2">
      <c r="C1234" s="580"/>
      <c r="D1234" s="577"/>
      <c r="E1234" s="404" t="s">
        <v>19</v>
      </c>
      <c r="F1234" s="396"/>
      <c r="G1234" s="396"/>
      <c r="H1234" s="396"/>
      <c r="I1234" s="396"/>
      <c r="J1234" s="396"/>
      <c r="K1234" s="396"/>
      <c r="L1234" s="396"/>
      <c r="M1234" s="396"/>
      <c r="N1234" s="396"/>
      <c r="O1234" s="396"/>
      <c r="P1234" s="396"/>
      <c r="Q1234" s="396"/>
      <c r="R1234" s="396"/>
      <c r="S1234" s="396"/>
      <c r="T1234" s="396"/>
      <c r="U1234" s="396"/>
      <c r="V1234" s="396"/>
      <c r="W1234" s="396"/>
      <c r="X1234" s="396"/>
      <c r="Y1234" s="396"/>
      <c r="Z1234" s="396"/>
      <c r="AA1234" s="396"/>
      <c r="AB1234" s="396"/>
      <c r="AC1234" s="396"/>
      <c r="AD1234" s="396"/>
      <c r="AE1234" s="396"/>
      <c r="AF1234" s="396"/>
      <c r="AG1234" s="396"/>
      <c r="AH1234" s="396"/>
      <c r="AI1234" s="396"/>
      <c r="AJ1234" s="396"/>
      <c r="AK1234" s="405">
        <f t="shared" si="194"/>
        <v>0</v>
      </c>
      <c r="AL1234" s="406"/>
      <c r="AM1234" s="407">
        <f>AK1234</f>
        <v>0</v>
      </c>
      <c r="AN1234" s="583"/>
    </row>
    <row r="1235" spans="3:40" ht="12.75" x14ac:dyDescent="0.2">
      <c r="C1235" s="580"/>
      <c r="D1235" s="643" t="s">
        <v>52</v>
      </c>
      <c r="E1235" s="393" t="s">
        <v>18</v>
      </c>
      <c r="F1235" s="394"/>
      <c r="G1235" s="394"/>
      <c r="H1235" s="394"/>
      <c r="I1235" s="394"/>
      <c r="J1235" s="394"/>
      <c r="K1235" s="394"/>
      <c r="L1235" s="394"/>
      <c r="M1235" s="394"/>
      <c r="N1235" s="394"/>
      <c r="O1235" s="394"/>
      <c r="P1235" s="394"/>
      <c r="Q1235" s="394"/>
      <c r="R1235" s="394"/>
      <c r="S1235" s="394"/>
      <c r="T1235" s="394"/>
      <c r="U1235" s="394"/>
      <c r="V1235" s="394"/>
      <c r="W1235" s="394"/>
      <c r="X1235" s="394"/>
      <c r="Y1235" s="393"/>
      <c r="Z1235" s="393"/>
      <c r="AA1235" s="394"/>
      <c r="AB1235" s="394"/>
      <c r="AC1235" s="394"/>
      <c r="AD1235" s="394"/>
      <c r="AE1235" s="394"/>
      <c r="AF1235" s="394"/>
      <c r="AG1235" s="394"/>
      <c r="AH1235" s="394"/>
      <c r="AI1235" s="394"/>
      <c r="AJ1235" s="414"/>
      <c r="AK1235" s="395">
        <f t="shared" si="194"/>
        <v>0</v>
      </c>
      <c r="AL1235" s="408">
        <f>AK1235</f>
        <v>0</v>
      </c>
      <c r="AM1235" s="409"/>
      <c r="AN1235" s="633">
        <f>SUM(AL1235:AM1236)</f>
        <v>0</v>
      </c>
    </row>
    <row r="1236" spans="3:40" ht="12.75" x14ac:dyDescent="0.2">
      <c r="C1236" s="581"/>
      <c r="D1236" s="585"/>
      <c r="E1236" s="404" t="s">
        <v>19</v>
      </c>
      <c r="F1236" s="396"/>
      <c r="G1236" s="396"/>
      <c r="H1236" s="396"/>
      <c r="I1236" s="396"/>
      <c r="J1236" s="396"/>
      <c r="K1236" s="396"/>
      <c r="L1236" s="396"/>
      <c r="M1236" s="396"/>
      <c r="N1236" s="396"/>
      <c r="O1236" s="396"/>
      <c r="P1236" s="396"/>
      <c r="Q1236" s="396"/>
      <c r="R1236" s="396"/>
      <c r="S1236" s="396"/>
      <c r="T1236" s="396"/>
      <c r="U1236" s="396"/>
      <c r="V1236" s="396"/>
      <c r="W1236" s="396"/>
      <c r="X1236" s="396"/>
      <c r="Y1236" s="404"/>
      <c r="Z1236" s="404"/>
      <c r="AA1236" s="396"/>
      <c r="AB1236" s="396"/>
      <c r="AC1236" s="396"/>
      <c r="AD1236" s="396"/>
      <c r="AE1236" s="396"/>
      <c r="AF1236" s="396"/>
      <c r="AG1236" s="396"/>
      <c r="AH1236" s="396"/>
      <c r="AI1236" s="396"/>
      <c r="AJ1236" s="415"/>
      <c r="AK1236" s="405">
        <f t="shared" si="194"/>
        <v>0</v>
      </c>
      <c r="AL1236" s="406"/>
      <c r="AM1236" s="407">
        <f>AK1236</f>
        <v>0</v>
      </c>
      <c r="AN1236" s="583"/>
    </row>
    <row r="1237" spans="3:40" ht="12.75" x14ac:dyDescent="0.2">
      <c r="C1237" s="629" t="s">
        <v>53</v>
      </c>
      <c r="D1237" s="416" t="s">
        <v>54</v>
      </c>
      <c r="E1237" s="411" t="s">
        <v>18</v>
      </c>
      <c r="F1237" s="412"/>
      <c r="G1237" s="412"/>
      <c r="H1237" s="412"/>
      <c r="I1237" s="412"/>
      <c r="J1237" s="412"/>
      <c r="K1237" s="411"/>
      <c r="L1237" s="412"/>
      <c r="M1237" s="412"/>
      <c r="N1237" s="412"/>
      <c r="O1237" s="412"/>
      <c r="P1237" s="412"/>
      <c r="Q1237" s="412"/>
      <c r="R1237" s="412"/>
      <c r="S1237" s="412"/>
      <c r="T1237" s="412"/>
      <c r="U1237" s="412"/>
      <c r="V1237" s="412"/>
      <c r="W1237" s="412"/>
      <c r="X1237" s="412"/>
      <c r="Y1237" s="412"/>
      <c r="Z1237" s="412"/>
      <c r="AA1237" s="412"/>
      <c r="AB1237" s="412"/>
      <c r="AC1237" s="412"/>
      <c r="AD1237" s="412"/>
      <c r="AE1237" s="412"/>
      <c r="AF1237" s="412"/>
      <c r="AG1237" s="412"/>
      <c r="AH1237" s="411">
        <v>14.19</v>
      </c>
      <c r="AI1237" s="412"/>
      <c r="AJ1237" s="417"/>
      <c r="AK1237" s="395">
        <f t="shared" si="194"/>
        <v>14.19</v>
      </c>
      <c r="AL1237" s="394">
        <f t="shared" ref="AL1237:AL1239" si="197">AK1237</f>
        <v>14.19</v>
      </c>
      <c r="AM1237" s="396"/>
      <c r="AN1237" s="374">
        <f t="shared" ref="AN1237:AN1238" si="198">AL1237</f>
        <v>14.19</v>
      </c>
    </row>
    <row r="1238" spans="3:40" ht="12.75" x14ac:dyDescent="0.2">
      <c r="C1238" s="580"/>
      <c r="D1238" s="402" t="s">
        <v>55</v>
      </c>
      <c r="E1238" s="393" t="s">
        <v>18</v>
      </c>
      <c r="F1238" s="394"/>
      <c r="G1238" s="394"/>
      <c r="H1238" s="394"/>
      <c r="I1238" s="394"/>
      <c r="J1238" s="394">
        <f>44.83+59.4</f>
        <v>104.22999999999999</v>
      </c>
      <c r="K1238" s="394"/>
      <c r="L1238" s="394"/>
      <c r="M1238" s="394"/>
      <c r="N1238" s="394"/>
      <c r="O1238" s="394"/>
      <c r="P1238" s="394"/>
      <c r="Q1238" s="394"/>
      <c r="R1238" s="394"/>
      <c r="S1238" s="394"/>
      <c r="T1238" s="394"/>
      <c r="U1238" s="393"/>
      <c r="V1238" s="393"/>
      <c r="W1238" s="394"/>
      <c r="X1238" s="394"/>
      <c r="Y1238" s="394"/>
      <c r="Z1238" s="394"/>
      <c r="AA1238" s="394"/>
      <c r="AB1238" s="394"/>
      <c r="AC1238" s="393">
        <v>16.38</v>
      </c>
      <c r="AD1238" s="394"/>
      <c r="AE1238" s="394"/>
      <c r="AF1238" s="394"/>
      <c r="AG1238" s="394"/>
      <c r="AH1238" s="394"/>
      <c r="AI1238" s="394"/>
      <c r="AJ1238" s="414"/>
      <c r="AK1238" s="395">
        <f t="shared" si="194"/>
        <v>120.60999999999999</v>
      </c>
      <c r="AL1238" s="394">
        <f t="shared" si="197"/>
        <v>120.60999999999999</v>
      </c>
      <c r="AM1238" s="396"/>
      <c r="AN1238" s="374">
        <f t="shared" si="198"/>
        <v>120.60999999999999</v>
      </c>
    </row>
    <row r="1239" spans="3:40" ht="12.75" x14ac:dyDescent="0.2">
      <c r="C1239" s="580"/>
      <c r="D1239" s="643" t="s">
        <v>56</v>
      </c>
      <c r="E1239" s="393" t="s">
        <v>18</v>
      </c>
      <c r="F1239" s="394"/>
      <c r="G1239" s="394"/>
      <c r="H1239" s="393"/>
      <c r="I1239" s="394"/>
      <c r="J1239" s="394"/>
      <c r="K1239" s="394"/>
      <c r="L1239" s="394"/>
      <c r="M1239" s="394"/>
      <c r="N1239" s="393">
        <v>15.16</v>
      </c>
      <c r="O1239" s="394"/>
      <c r="P1239" s="394"/>
      <c r="Q1239" s="394"/>
      <c r="R1239" s="394"/>
      <c r="S1239" s="394"/>
      <c r="T1239" s="393"/>
      <c r="U1239" s="393"/>
      <c r="V1239" s="394"/>
      <c r="W1239" s="394"/>
      <c r="X1239" s="394"/>
      <c r="Y1239" s="394"/>
      <c r="Z1239" s="394"/>
      <c r="AA1239" s="394"/>
      <c r="AB1239" s="394"/>
      <c r="AC1239" s="394"/>
      <c r="AD1239" s="394"/>
      <c r="AE1239" s="394"/>
      <c r="AF1239" s="394"/>
      <c r="AG1239" s="394"/>
      <c r="AH1239" s="394"/>
      <c r="AI1239" s="394"/>
      <c r="AJ1239" s="414"/>
      <c r="AK1239" s="395">
        <f t="shared" si="194"/>
        <v>15.16</v>
      </c>
      <c r="AL1239" s="408">
        <f t="shared" si="197"/>
        <v>15.16</v>
      </c>
      <c r="AM1239" s="409"/>
      <c r="AN1239" s="633">
        <f>SUM(AL1239:AM1240)</f>
        <v>15.16</v>
      </c>
    </row>
    <row r="1240" spans="3:40" ht="12.75" x14ac:dyDescent="0.2">
      <c r="C1240" s="580"/>
      <c r="D1240" s="577"/>
      <c r="E1240" s="404" t="s">
        <v>19</v>
      </c>
      <c r="F1240" s="396"/>
      <c r="G1240" s="396"/>
      <c r="H1240" s="396"/>
      <c r="I1240" s="396"/>
      <c r="J1240" s="396"/>
      <c r="K1240" s="396"/>
      <c r="L1240" s="396"/>
      <c r="M1240" s="396"/>
      <c r="N1240" s="396"/>
      <c r="O1240" s="396"/>
      <c r="P1240" s="396"/>
      <c r="Q1240" s="396"/>
      <c r="R1240" s="396"/>
      <c r="S1240" s="396"/>
      <c r="T1240" s="396"/>
      <c r="U1240" s="396"/>
      <c r="V1240" s="396"/>
      <c r="W1240" s="396"/>
      <c r="X1240" s="396"/>
      <c r="Y1240" s="396"/>
      <c r="Z1240" s="396"/>
      <c r="AA1240" s="396"/>
      <c r="AB1240" s="396"/>
      <c r="AC1240" s="396"/>
      <c r="AD1240" s="396"/>
      <c r="AE1240" s="396"/>
      <c r="AF1240" s="396"/>
      <c r="AG1240" s="396"/>
      <c r="AH1240" s="396"/>
      <c r="AI1240" s="396"/>
      <c r="AJ1240" s="415"/>
      <c r="AK1240" s="405">
        <f t="shared" si="194"/>
        <v>0</v>
      </c>
      <c r="AL1240" s="406"/>
      <c r="AM1240" s="407">
        <f>AK1240</f>
        <v>0</v>
      </c>
      <c r="AN1240" s="583"/>
    </row>
    <row r="1241" spans="3:40" ht="12.75" x14ac:dyDescent="0.2">
      <c r="C1241" s="580"/>
      <c r="D1241" s="643" t="s">
        <v>57</v>
      </c>
      <c r="E1241" s="393" t="s">
        <v>18</v>
      </c>
      <c r="F1241" s="394"/>
      <c r="G1241" s="394"/>
      <c r="H1241" s="394"/>
      <c r="I1241" s="394"/>
      <c r="J1241" s="394"/>
      <c r="K1241" s="394"/>
      <c r="L1241" s="394"/>
      <c r="M1241" s="393"/>
      <c r="N1241" s="394"/>
      <c r="O1241" s="394"/>
      <c r="P1241" s="394"/>
      <c r="Q1241" s="394"/>
      <c r="R1241" s="394"/>
      <c r="S1241" s="394"/>
      <c r="T1241" s="393"/>
      <c r="U1241" s="394"/>
      <c r="V1241" s="394"/>
      <c r="W1241" s="394"/>
      <c r="X1241" s="394"/>
      <c r="Y1241" s="393"/>
      <c r="Z1241" s="394"/>
      <c r="AA1241" s="394"/>
      <c r="AB1241" s="394"/>
      <c r="AC1241" s="394"/>
      <c r="AD1241" s="394"/>
      <c r="AE1241" s="394"/>
      <c r="AF1241" s="394"/>
      <c r="AG1241" s="394"/>
      <c r="AH1241" s="394"/>
      <c r="AI1241" s="394"/>
      <c r="AJ1241" s="414"/>
      <c r="AK1241" s="395">
        <f t="shared" si="194"/>
        <v>0</v>
      </c>
      <c r="AL1241" s="408">
        <f>AK1241</f>
        <v>0</v>
      </c>
      <c r="AM1241" s="409"/>
      <c r="AN1241" s="633">
        <f>SUM(AL1241:AM1242)</f>
        <v>0</v>
      </c>
    </row>
    <row r="1242" spans="3:40" ht="12.75" x14ac:dyDescent="0.2">
      <c r="C1242" s="581"/>
      <c r="D1242" s="585"/>
      <c r="E1242" s="410" t="s">
        <v>19</v>
      </c>
      <c r="F1242" s="407"/>
      <c r="G1242" s="407"/>
      <c r="H1242" s="407"/>
      <c r="I1242" s="407"/>
      <c r="J1242" s="407"/>
      <c r="K1242" s="407"/>
      <c r="L1242" s="407"/>
      <c r="M1242" s="407"/>
      <c r="N1242" s="407"/>
      <c r="O1242" s="407"/>
      <c r="P1242" s="407"/>
      <c r="Q1242" s="407"/>
      <c r="R1242" s="407"/>
      <c r="S1242" s="407"/>
      <c r="T1242" s="410"/>
      <c r="U1242" s="407"/>
      <c r="V1242" s="407"/>
      <c r="W1242" s="407"/>
      <c r="X1242" s="407"/>
      <c r="Y1242" s="407"/>
      <c r="Z1242" s="407"/>
      <c r="AA1242" s="407"/>
      <c r="AB1242" s="407"/>
      <c r="AC1242" s="407"/>
      <c r="AD1242" s="407"/>
      <c r="AE1242" s="407"/>
      <c r="AF1242" s="407"/>
      <c r="AG1242" s="407"/>
      <c r="AH1242" s="407"/>
      <c r="AI1242" s="407"/>
      <c r="AJ1242" s="418"/>
      <c r="AK1242" s="405">
        <f t="shared" si="194"/>
        <v>0</v>
      </c>
      <c r="AL1242" s="406"/>
      <c r="AM1242" s="407">
        <f>AK1242</f>
        <v>0</v>
      </c>
      <c r="AN1242" s="583"/>
    </row>
    <row r="1243" spans="3:40" ht="12.75" x14ac:dyDescent="0.2">
      <c r="C1243" s="629" t="s">
        <v>58</v>
      </c>
      <c r="D1243" s="644" t="s">
        <v>59</v>
      </c>
      <c r="E1243" s="411" t="s">
        <v>18</v>
      </c>
      <c r="F1243" s="412"/>
      <c r="G1243" s="412"/>
      <c r="H1243" s="412"/>
      <c r="I1243" s="412"/>
      <c r="J1243" s="412"/>
      <c r="K1243" s="412"/>
      <c r="L1243" s="412"/>
      <c r="M1243" s="411"/>
      <c r="N1243" s="412"/>
      <c r="O1243" s="412"/>
      <c r="P1243" s="412"/>
      <c r="Q1243" s="412"/>
      <c r="R1243" s="412"/>
      <c r="S1243" s="411"/>
      <c r="T1243" s="412"/>
      <c r="U1243" s="412"/>
      <c r="V1243" s="412"/>
      <c r="W1243" s="412"/>
      <c r="X1243" s="411"/>
      <c r="Y1243" s="411"/>
      <c r="Z1243" s="412"/>
      <c r="AA1243" s="412"/>
      <c r="AB1243" s="412"/>
      <c r="AC1243" s="412"/>
      <c r="AD1243" s="412"/>
      <c r="AE1243" s="412"/>
      <c r="AF1243" s="412"/>
      <c r="AG1243" s="411">
        <v>25</v>
      </c>
      <c r="AH1243" s="412"/>
      <c r="AI1243" s="412"/>
      <c r="AJ1243" s="417"/>
      <c r="AK1243" s="395">
        <f t="shared" si="194"/>
        <v>25</v>
      </c>
      <c r="AL1243" s="408">
        <f>AK1243</f>
        <v>25</v>
      </c>
      <c r="AM1243" s="409"/>
      <c r="AN1243" s="635">
        <f>SUM(AL1243:AM1244)</f>
        <v>25</v>
      </c>
    </row>
    <row r="1244" spans="3:40" ht="12.75" x14ac:dyDescent="0.2">
      <c r="C1244" s="580"/>
      <c r="D1244" s="577"/>
      <c r="E1244" s="404" t="s">
        <v>19</v>
      </c>
      <c r="F1244" s="396"/>
      <c r="G1244" s="396"/>
      <c r="H1244" s="396"/>
      <c r="I1244" s="396"/>
      <c r="J1244" s="396"/>
      <c r="K1244" s="404"/>
      <c r="L1244" s="396"/>
      <c r="M1244" s="396"/>
      <c r="N1244" s="396"/>
      <c r="O1244" s="404"/>
      <c r="P1244" s="396"/>
      <c r="Q1244" s="396"/>
      <c r="R1244" s="396"/>
      <c r="S1244" s="396"/>
      <c r="T1244" s="396"/>
      <c r="U1244" s="396"/>
      <c r="V1244" s="396"/>
      <c r="W1244" s="404"/>
      <c r="X1244" s="396"/>
      <c r="Y1244" s="396"/>
      <c r="Z1244" s="396"/>
      <c r="AA1244" s="396"/>
      <c r="AB1244" s="396"/>
      <c r="AC1244" s="396"/>
      <c r="AD1244" s="396"/>
      <c r="AE1244" s="396"/>
      <c r="AF1244" s="396"/>
      <c r="AG1244" s="396"/>
      <c r="AH1244" s="396"/>
      <c r="AI1244" s="396"/>
      <c r="AJ1244" s="415"/>
      <c r="AK1244" s="405">
        <f t="shared" si="194"/>
        <v>0</v>
      </c>
      <c r="AL1244" s="406"/>
      <c r="AM1244" s="407">
        <f>AK1244</f>
        <v>0</v>
      </c>
      <c r="AN1244" s="585"/>
    </row>
    <row r="1245" spans="3:40" ht="12.75" x14ac:dyDescent="0.2">
      <c r="C1245" s="580"/>
      <c r="D1245" s="643" t="s">
        <v>60</v>
      </c>
      <c r="E1245" s="393" t="s">
        <v>18</v>
      </c>
      <c r="F1245" s="394"/>
      <c r="G1245" s="394"/>
      <c r="H1245" s="394"/>
      <c r="I1245" s="394"/>
      <c r="J1245" s="394">
        <f>12.67+9.79-5.8</f>
        <v>16.66</v>
      </c>
      <c r="K1245" s="393"/>
      <c r="L1245" s="394"/>
      <c r="M1245" s="393">
        <v>33</v>
      </c>
      <c r="N1245" s="393">
        <f>32.72-5.8</f>
        <v>26.919999999999998</v>
      </c>
      <c r="O1245" s="394"/>
      <c r="P1245" s="394"/>
      <c r="Q1245" s="394">
        <f>2.17+4.09+3.51+11.27+4.29+2.89</f>
        <v>28.22</v>
      </c>
      <c r="R1245" s="394"/>
      <c r="S1245" s="393"/>
      <c r="T1245" s="394"/>
      <c r="U1245" s="394"/>
      <c r="V1245" s="394"/>
      <c r="W1245" s="394"/>
      <c r="X1245" s="394"/>
      <c r="Y1245" s="394"/>
      <c r="Z1245" s="394"/>
      <c r="AA1245" s="394"/>
      <c r="AB1245" s="394"/>
      <c r="AC1245" s="394"/>
      <c r="AD1245" s="394"/>
      <c r="AE1245" s="394"/>
      <c r="AF1245" s="394"/>
      <c r="AG1245" s="394"/>
      <c r="AH1245" s="394"/>
      <c r="AI1245" s="394"/>
      <c r="AJ1245" s="414"/>
      <c r="AK1245" s="395">
        <f t="shared" si="194"/>
        <v>104.8</v>
      </c>
      <c r="AL1245" s="403">
        <f>AK1245</f>
        <v>104.8</v>
      </c>
      <c r="AM1245" s="396"/>
      <c r="AN1245" s="633">
        <f>SUM(AL1245:AM1246)</f>
        <v>104.8</v>
      </c>
    </row>
    <row r="1246" spans="3:40" ht="12.75" x14ac:dyDescent="0.2">
      <c r="C1246" s="580"/>
      <c r="D1246" s="577"/>
      <c r="E1246" s="404" t="s">
        <v>19</v>
      </c>
      <c r="F1246" s="396"/>
      <c r="G1246" s="396"/>
      <c r="H1246" s="396"/>
      <c r="I1246" s="396"/>
      <c r="J1246" s="396"/>
      <c r="K1246" s="404"/>
      <c r="L1246" s="396"/>
      <c r="M1246" s="396"/>
      <c r="N1246" s="396"/>
      <c r="O1246" s="396"/>
      <c r="P1246" s="396"/>
      <c r="Q1246" s="404"/>
      <c r="R1246" s="396"/>
      <c r="S1246" s="396"/>
      <c r="T1246" s="396"/>
      <c r="U1246" s="396"/>
      <c r="V1246" s="396"/>
      <c r="W1246" s="396"/>
      <c r="X1246" s="396"/>
      <c r="Y1246" s="396"/>
      <c r="Z1246" s="396"/>
      <c r="AA1246" s="396"/>
      <c r="AB1246" s="396"/>
      <c r="AC1246" s="396"/>
      <c r="AD1246" s="396"/>
      <c r="AE1246" s="396"/>
      <c r="AF1246" s="396"/>
      <c r="AG1246" s="396"/>
      <c r="AH1246" s="396"/>
      <c r="AI1246" s="396"/>
      <c r="AJ1246" s="415"/>
      <c r="AK1246" s="405">
        <f t="shared" si="194"/>
        <v>0</v>
      </c>
      <c r="AL1246" s="403"/>
      <c r="AM1246" s="396">
        <f>AK1246</f>
        <v>0</v>
      </c>
      <c r="AN1246" s="583"/>
    </row>
    <row r="1247" spans="3:40" ht="12.75" x14ac:dyDescent="0.2">
      <c r="C1247" s="580"/>
      <c r="D1247" s="643" t="s">
        <v>61</v>
      </c>
      <c r="E1247" s="393" t="s">
        <v>18</v>
      </c>
      <c r="F1247" s="394"/>
      <c r="G1247" s="394"/>
      <c r="H1247" s="394"/>
      <c r="I1247" s="394"/>
      <c r="J1247" s="394"/>
      <c r="K1247" s="394"/>
      <c r="L1247" s="394"/>
      <c r="M1247" s="394"/>
      <c r="N1247" s="394"/>
      <c r="O1247" s="394"/>
      <c r="P1247" s="394"/>
      <c r="Q1247" s="394"/>
      <c r="R1247" s="394"/>
      <c r="S1247" s="394"/>
      <c r="T1247" s="394"/>
      <c r="U1247" s="394"/>
      <c r="V1247" s="394"/>
      <c r="W1247" s="394"/>
      <c r="X1247" s="394">
        <f>37.87-7</f>
        <v>30.869999999999997</v>
      </c>
      <c r="Y1247" s="394"/>
      <c r="Z1247" s="394"/>
      <c r="AA1247" s="394"/>
      <c r="AB1247" s="394"/>
      <c r="AC1247" s="394"/>
      <c r="AD1247" s="394"/>
      <c r="AE1247" s="394"/>
      <c r="AF1247" s="393">
        <f>5+31.6</f>
        <v>36.6</v>
      </c>
      <c r="AG1247" s="394"/>
      <c r="AH1247" s="394"/>
      <c r="AI1247" s="394"/>
      <c r="AJ1247" s="414"/>
      <c r="AK1247" s="414">
        <f t="shared" si="194"/>
        <v>67.47</v>
      </c>
      <c r="AL1247" s="408">
        <f>AK1247</f>
        <v>67.47</v>
      </c>
      <c r="AM1247" s="409"/>
      <c r="AN1247" s="635">
        <f>SUM(AL1247:AM1248)</f>
        <v>67.47</v>
      </c>
    </row>
    <row r="1248" spans="3:40" ht="12.75" x14ac:dyDescent="0.2">
      <c r="C1248" s="580"/>
      <c r="D1248" s="577"/>
      <c r="E1248" s="404" t="s">
        <v>19</v>
      </c>
      <c r="F1248" s="396"/>
      <c r="G1248" s="396"/>
      <c r="H1248" s="396"/>
      <c r="I1248" s="396"/>
      <c r="J1248" s="396"/>
      <c r="K1248" s="396"/>
      <c r="L1248" s="396"/>
      <c r="M1248" s="396"/>
      <c r="N1248" s="396"/>
      <c r="O1248" s="396"/>
      <c r="P1248" s="396"/>
      <c r="Q1248" s="396"/>
      <c r="R1248" s="396"/>
      <c r="S1248" s="396"/>
      <c r="T1248" s="396"/>
      <c r="U1248" s="396"/>
      <c r="V1248" s="396"/>
      <c r="W1248" s="404"/>
      <c r="X1248" s="396"/>
      <c r="Y1248" s="404"/>
      <c r="Z1248" s="396"/>
      <c r="AA1248" s="396"/>
      <c r="AB1248" s="396"/>
      <c r="AC1248" s="396"/>
      <c r="AD1248" s="396"/>
      <c r="AE1248" s="396"/>
      <c r="AF1248" s="396"/>
      <c r="AG1248" s="396"/>
      <c r="AH1248" s="396"/>
      <c r="AI1248" s="396"/>
      <c r="AJ1248" s="415"/>
      <c r="AK1248" s="415">
        <f t="shared" si="194"/>
        <v>0</v>
      </c>
      <c r="AL1248" s="406"/>
      <c r="AM1248" s="407">
        <f>AK1248</f>
        <v>0</v>
      </c>
      <c r="AN1248" s="585"/>
    </row>
    <row r="1249" spans="3:45" ht="12.75" x14ac:dyDescent="0.2">
      <c r="C1249" s="580"/>
      <c r="D1249" s="643" t="s">
        <v>62</v>
      </c>
      <c r="E1249" s="393" t="s">
        <v>18</v>
      </c>
      <c r="F1249" s="394"/>
      <c r="G1249" s="394"/>
      <c r="H1249" s="394"/>
      <c r="I1249" s="393"/>
      <c r="J1249" s="394"/>
      <c r="K1249" s="394"/>
      <c r="L1249" s="394"/>
      <c r="M1249" s="394"/>
      <c r="N1249" s="393"/>
      <c r="O1249" s="394"/>
      <c r="P1249" s="394"/>
      <c r="Q1249" s="393"/>
      <c r="R1249" s="394"/>
      <c r="S1249" s="394"/>
      <c r="T1249" s="394"/>
      <c r="U1249" s="394"/>
      <c r="V1249" s="393"/>
      <c r="W1249" s="393"/>
      <c r="X1249" s="393"/>
      <c r="Y1249" s="393"/>
      <c r="Z1249" s="394"/>
      <c r="AA1249" s="394"/>
      <c r="AB1249" s="394"/>
      <c r="AC1249" s="394"/>
      <c r="AD1249" s="394"/>
      <c r="AE1249" s="394"/>
      <c r="AF1249" s="394"/>
      <c r="AG1249" s="394"/>
      <c r="AH1249" s="394"/>
      <c r="AI1249" s="394"/>
      <c r="AJ1249" s="414"/>
      <c r="AK1249" s="414">
        <f t="shared" si="194"/>
        <v>0</v>
      </c>
      <c r="AL1249" s="408">
        <f>AK1249</f>
        <v>0</v>
      </c>
      <c r="AM1249" s="409"/>
      <c r="AN1249" s="633">
        <f>SUM(AL1249:AM1250)</f>
        <v>60</v>
      </c>
    </row>
    <row r="1250" spans="3:45" ht="12.75" x14ac:dyDescent="0.2">
      <c r="C1250" s="581"/>
      <c r="D1250" s="577"/>
      <c r="E1250" s="404" t="s">
        <v>19</v>
      </c>
      <c r="F1250" s="396"/>
      <c r="G1250" s="396"/>
      <c r="H1250" s="404">
        <v>10</v>
      </c>
      <c r="I1250" s="396"/>
      <c r="J1250" s="396"/>
      <c r="K1250" s="396"/>
      <c r="L1250" s="404">
        <v>10</v>
      </c>
      <c r="M1250" s="396"/>
      <c r="N1250" s="396"/>
      <c r="O1250" s="396"/>
      <c r="P1250" s="404">
        <v>10</v>
      </c>
      <c r="Q1250" s="396"/>
      <c r="R1250" s="396"/>
      <c r="S1250" s="404">
        <v>10</v>
      </c>
      <c r="T1250" s="396"/>
      <c r="U1250" s="396"/>
      <c r="V1250" s="404">
        <v>10</v>
      </c>
      <c r="W1250" s="404"/>
      <c r="X1250" s="396"/>
      <c r="Y1250" s="404"/>
      <c r="Z1250" s="396"/>
      <c r="AA1250" s="396"/>
      <c r="AB1250" s="396"/>
      <c r="AC1250" s="396"/>
      <c r="AD1250" s="396"/>
      <c r="AE1250" s="396"/>
      <c r="AF1250" s="396"/>
      <c r="AG1250" s="404">
        <v>10</v>
      </c>
      <c r="AH1250" s="396"/>
      <c r="AI1250" s="396"/>
      <c r="AJ1250" s="415"/>
      <c r="AK1250" s="415">
        <f t="shared" si="194"/>
        <v>60</v>
      </c>
      <c r="AL1250" s="406"/>
      <c r="AM1250" s="407">
        <f>AK1250</f>
        <v>60</v>
      </c>
      <c r="AN1250" s="583"/>
    </row>
    <row r="1251" spans="3:45" ht="12.75" x14ac:dyDescent="0.2">
      <c r="C1251" s="629" t="s">
        <v>63</v>
      </c>
      <c r="D1251" s="644" t="s">
        <v>75</v>
      </c>
      <c r="E1251" s="411" t="s">
        <v>18</v>
      </c>
      <c r="F1251" s="412"/>
      <c r="G1251" s="412"/>
      <c r="H1251" s="412"/>
      <c r="I1251" s="412"/>
      <c r="J1251" s="412"/>
      <c r="K1251" s="412"/>
      <c r="L1251" s="412"/>
      <c r="M1251" s="412"/>
      <c r="N1251" s="412"/>
      <c r="O1251" s="412"/>
      <c r="P1251" s="412"/>
      <c r="Q1251" s="412"/>
      <c r="R1251" s="412"/>
      <c r="S1251" s="412"/>
      <c r="T1251" s="412"/>
      <c r="U1251" s="412"/>
      <c r="V1251" s="412"/>
      <c r="W1251" s="411"/>
      <c r="X1251" s="412"/>
      <c r="Y1251" s="411"/>
      <c r="Z1251" s="412"/>
      <c r="AA1251" s="412"/>
      <c r="AB1251" s="412"/>
      <c r="AC1251" s="412"/>
      <c r="AD1251" s="412"/>
      <c r="AE1251" s="412"/>
      <c r="AF1251" s="412"/>
      <c r="AG1251" s="412"/>
      <c r="AH1251" s="412"/>
      <c r="AI1251" s="412"/>
      <c r="AJ1251" s="417"/>
      <c r="AK1251" s="395">
        <f t="shared" si="194"/>
        <v>0</v>
      </c>
      <c r="AL1251" s="412">
        <f>AK1251</f>
        <v>0</v>
      </c>
      <c r="AM1251" s="409"/>
      <c r="AN1251" s="633">
        <f>SUM(AL1251:AM1252)</f>
        <v>0</v>
      </c>
    </row>
    <row r="1252" spans="3:45" ht="12.75" x14ac:dyDescent="0.2">
      <c r="C1252" s="580"/>
      <c r="D1252" s="577"/>
      <c r="E1252" s="404" t="s">
        <v>19</v>
      </c>
      <c r="F1252" s="396"/>
      <c r="G1252" s="396"/>
      <c r="H1252" s="396"/>
      <c r="I1252" s="396"/>
      <c r="J1252" s="396"/>
      <c r="K1252" s="396"/>
      <c r="L1252" s="396"/>
      <c r="M1252" s="396"/>
      <c r="N1252" s="396"/>
      <c r="O1252" s="396"/>
      <c r="P1252" s="396"/>
      <c r="Q1252" s="396"/>
      <c r="R1252" s="396"/>
      <c r="S1252" s="396"/>
      <c r="T1252" s="396"/>
      <c r="U1252" s="396"/>
      <c r="V1252" s="396"/>
      <c r="W1252" s="396"/>
      <c r="X1252" s="404"/>
      <c r="Y1252" s="396"/>
      <c r="Z1252" s="396"/>
      <c r="AA1252" s="396"/>
      <c r="AB1252" s="396"/>
      <c r="AC1252" s="396"/>
      <c r="AD1252" s="396"/>
      <c r="AE1252" s="396"/>
      <c r="AF1252" s="396"/>
      <c r="AG1252" s="396"/>
      <c r="AH1252" s="396"/>
      <c r="AI1252" s="396"/>
      <c r="AJ1252" s="415"/>
      <c r="AK1252" s="405">
        <f t="shared" si="194"/>
        <v>0</v>
      </c>
      <c r="AL1252" s="406"/>
      <c r="AM1252" s="407">
        <f>AK1252</f>
        <v>0</v>
      </c>
      <c r="AN1252" s="583"/>
    </row>
    <row r="1253" spans="3:45" ht="12.75" x14ac:dyDescent="0.2">
      <c r="C1253" s="580"/>
      <c r="D1253" s="643" t="s">
        <v>65</v>
      </c>
      <c r="E1253" s="393" t="s">
        <v>18</v>
      </c>
      <c r="F1253" s="394"/>
      <c r="G1253" s="394"/>
      <c r="H1253" s="394"/>
      <c r="I1253" s="394"/>
      <c r="J1253" s="394"/>
      <c r="K1253" s="394"/>
      <c r="L1253" s="394"/>
      <c r="M1253" s="394"/>
      <c r="N1253" s="394"/>
      <c r="O1253" s="394"/>
      <c r="P1253" s="394"/>
      <c r="Q1253" s="394"/>
      <c r="R1253" s="394"/>
      <c r="S1253" s="394"/>
      <c r="T1253" s="394"/>
      <c r="U1253" s="394"/>
      <c r="V1253" s="394"/>
      <c r="W1253" s="394"/>
      <c r="X1253" s="394"/>
      <c r="Y1253" s="394"/>
      <c r="Z1253" s="394"/>
      <c r="AA1253" s="394"/>
      <c r="AB1253" s="394"/>
      <c r="AC1253" s="394"/>
      <c r="AD1253" s="394"/>
      <c r="AE1253" s="394"/>
      <c r="AF1253" s="394"/>
      <c r="AG1253" s="394"/>
      <c r="AH1253" s="394"/>
      <c r="AI1253" s="394"/>
      <c r="AJ1253" s="414"/>
      <c r="AK1253" s="395">
        <f t="shared" si="194"/>
        <v>0</v>
      </c>
      <c r="AL1253" s="408">
        <f>AK1253</f>
        <v>0</v>
      </c>
      <c r="AM1253" s="409"/>
      <c r="AN1253" s="633">
        <f>SUM(AL1253:AM1254)</f>
        <v>0</v>
      </c>
    </row>
    <row r="1254" spans="3:45" ht="12.75" x14ac:dyDescent="0.2">
      <c r="C1254" s="581"/>
      <c r="D1254" s="585"/>
      <c r="E1254" s="410" t="s">
        <v>19</v>
      </c>
      <c r="F1254" s="407"/>
      <c r="G1254" s="407"/>
      <c r="H1254" s="407"/>
      <c r="I1254" s="407"/>
      <c r="J1254" s="410"/>
      <c r="K1254" s="407"/>
      <c r="L1254" s="407"/>
      <c r="M1254" s="407"/>
      <c r="N1254" s="407"/>
      <c r="O1254" s="407"/>
      <c r="P1254" s="407"/>
      <c r="Q1254" s="407"/>
      <c r="R1254" s="407"/>
      <c r="S1254" s="407"/>
      <c r="T1254" s="407"/>
      <c r="U1254" s="410"/>
      <c r="V1254" s="407"/>
      <c r="W1254" s="407"/>
      <c r="X1254" s="407"/>
      <c r="Y1254" s="407"/>
      <c r="Z1254" s="407"/>
      <c r="AA1254" s="407"/>
      <c r="AB1254" s="407"/>
      <c r="AC1254" s="407"/>
      <c r="AD1254" s="407"/>
      <c r="AE1254" s="407"/>
      <c r="AF1254" s="407"/>
      <c r="AG1254" s="407"/>
      <c r="AH1254" s="407"/>
      <c r="AI1254" s="407"/>
      <c r="AJ1254" s="418"/>
      <c r="AK1254" s="419">
        <f t="shared" si="194"/>
        <v>0</v>
      </c>
      <c r="AL1254" s="406"/>
      <c r="AM1254" s="407">
        <f>AK1254</f>
        <v>0</v>
      </c>
      <c r="AN1254" s="583"/>
    </row>
    <row r="1255" spans="3:45" ht="12.75" x14ac:dyDescent="0.2">
      <c r="C1255" s="420" t="s">
        <v>32</v>
      </c>
      <c r="D1255" s="396"/>
      <c r="E1255" s="396"/>
      <c r="F1255" s="396">
        <f t="shared" ref="F1255:AM1255" si="199">SUM(F1206:F1254)</f>
        <v>8.75</v>
      </c>
      <c r="G1255" s="396">
        <f t="shared" si="199"/>
        <v>23.740000000000002</v>
      </c>
      <c r="H1255" s="396">
        <f t="shared" si="199"/>
        <v>43.65</v>
      </c>
      <c r="I1255" s="396">
        <f t="shared" si="199"/>
        <v>44.739999999999995</v>
      </c>
      <c r="J1255" s="396">
        <f t="shared" si="199"/>
        <v>217.71</v>
      </c>
      <c r="K1255" s="396">
        <f t="shared" si="199"/>
        <v>68.28</v>
      </c>
      <c r="L1255" s="396">
        <f t="shared" si="199"/>
        <v>58.04</v>
      </c>
      <c r="M1255" s="396">
        <f t="shared" si="199"/>
        <v>57.7</v>
      </c>
      <c r="N1255" s="396">
        <f t="shared" si="199"/>
        <v>66.239999999999995</v>
      </c>
      <c r="O1255" s="396">
        <f t="shared" si="199"/>
        <v>23.85</v>
      </c>
      <c r="P1255" s="396">
        <f t="shared" si="199"/>
        <v>57.21</v>
      </c>
      <c r="Q1255" s="396">
        <f t="shared" si="199"/>
        <v>117.24999999999999</v>
      </c>
      <c r="R1255" s="396">
        <f t="shared" si="199"/>
        <v>47.35</v>
      </c>
      <c r="S1255" s="396">
        <f t="shared" si="199"/>
        <v>52.74</v>
      </c>
      <c r="T1255" s="396">
        <f t="shared" si="199"/>
        <v>44.169999999999995</v>
      </c>
      <c r="U1255" s="396">
        <f t="shared" si="199"/>
        <v>13.91</v>
      </c>
      <c r="V1255" s="396">
        <f t="shared" si="199"/>
        <v>40.72</v>
      </c>
      <c r="W1255" s="396">
        <f t="shared" si="199"/>
        <v>33.19</v>
      </c>
      <c r="X1255" s="396">
        <f t="shared" si="199"/>
        <v>52.839999999999996</v>
      </c>
      <c r="Y1255" s="396">
        <f t="shared" si="199"/>
        <v>15.75</v>
      </c>
      <c r="Z1255" s="396">
        <f t="shared" si="199"/>
        <v>31.08</v>
      </c>
      <c r="AA1255" s="396">
        <f t="shared" si="199"/>
        <v>62.75</v>
      </c>
      <c r="AB1255" s="396">
        <f t="shared" si="199"/>
        <v>37.08</v>
      </c>
      <c r="AC1255" s="396">
        <f t="shared" si="199"/>
        <v>37.18</v>
      </c>
      <c r="AD1255" s="396">
        <f t="shared" si="199"/>
        <v>20.650000000000002</v>
      </c>
      <c r="AE1255" s="396">
        <f t="shared" si="199"/>
        <v>43.61</v>
      </c>
      <c r="AF1255" s="396">
        <f t="shared" si="199"/>
        <v>87.39</v>
      </c>
      <c r="AG1255" s="396">
        <f t="shared" si="199"/>
        <v>57.400000000000006</v>
      </c>
      <c r="AH1255" s="396">
        <f t="shared" si="199"/>
        <v>45.25</v>
      </c>
      <c r="AI1255" s="396">
        <f t="shared" si="199"/>
        <v>76.23</v>
      </c>
      <c r="AJ1255" s="396">
        <f t="shared" si="199"/>
        <v>22.25</v>
      </c>
      <c r="AK1255" s="421">
        <f t="shared" si="199"/>
        <v>1608.7</v>
      </c>
      <c r="AL1255" s="394">
        <f t="shared" si="199"/>
        <v>1406.5000000000002</v>
      </c>
      <c r="AM1255" s="396">
        <f t="shared" si="199"/>
        <v>202.20000000000002</v>
      </c>
    </row>
    <row r="1258" spans="3:45" ht="12.75" x14ac:dyDescent="0.2">
      <c r="F1258" s="642" t="s">
        <v>90</v>
      </c>
      <c r="G1258" s="577"/>
      <c r="H1258" s="577"/>
      <c r="I1258" s="577"/>
      <c r="J1258" s="577"/>
      <c r="K1258" s="577"/>
      <c r="L1258" s="577"/>
      <c r="M1258" s="577"/>
      <c r="N1258" s="577"/>
      <c r="O1258" s="577"/>
      <c r="P1258" s="577"/>
      <c r="Q1258" s="577"/>
      <c r="R1258" s="577"/>
      <c r="S1258" s="577"/>
      <c r="T1258" s="577"/>
      <c r="U1258" s="577"/>
      <c r="V1258" s="577"/>
      <c r="W1258" s="577"/>
      <c r="X1258" s="577"/>
      <c r="Y1258" s="577"/>
      <c r="Z1258" s="577"/>
      <c r="AA1258" s="577"/>
      <c r="AB1258" s="577"/>
      <c r="AC1258" s="577"/>
      <c r="AD1258" s="577"/>
      <c r="AE1258" s="577"/>
      <c r="AF1258" s="577"/>
      <c r="AG1258" s="577"/>
      <c r="AH1258" s="577"/>
      <c r="AI1258" s="577"/>
      <c r="AJ1258" s="577"/>
    </row>
    <row r="1259" spans="3:45" ht="12.75" x14ac:dyDescent="0.2">
      <c r="E1259" s="362" t="s">
        <v>9</v>
      </c>
      <c r="F1259" s="362" t="s">
        <v>10</v>
      </c>
      <c r="G1259" s="362" t="s">
        <v>11</v>
      </c>
      <c r="H1259" s="362" t="s">
        <v>12</v>
      </c>
      <c r="I1259" s="362" t="s">
        <v>13</v>
      </c>
      <c r="J1259" s="362" t="s">
        <v>14</v>
      </c>
      <c r="K1259" s="362" t="s">
        <v>15</v>
      </c>
      <c r="L1259" s="362" t="s">
        <v>16</v>
      </c>
      <c r="M1259" s="362" t="s">
        <v>10</v>
      </c>
      <c r="N1259" s="362" t="s">
        <v>11</v>
      </c>
      <c r="O1259" s="362" t="s">
        <v>12</v>
      </c>
      <c r="P1259" s="362" t="s">
        <v>13</v>
      </c>
      <c r="Q1259" s="362" t="s">
        <v>14</v>
      </c>
      <c r="R1259" s="362" t="s">
        <v>15</v>
      </c>
      <c r="S1259" s="362" t="s">
        <v>16</v>
      </c>
      <c r="T1259" s="362" t="s">
        <v>10</v>
      </c>
      <c r="U1259" s="362" t="s">
        <v>11</v>
      </c>
      <c r="V1259" s="362" t="s">
        <v>12</v>
      </c>
      <c r="W1259" s="362" t="s">
        <v>13</v>
      </c>
      <c r="X1259" s="362" t="s">
        <v>14</v>
      </c>
      <c r="Y1259" s="362" t="s">
        <v>15</v>
      </c>
      <c r="Z1259" s="362" t="s">
        <v>16</v>
      </c>
      <c r="AA1259" s="362" t="s">
        <v>10</v>
      </c>
      <c r="AB1259" s="362" t="s">
        <v>11</v>
      </c>
      <c r="AC1259" s="362" t="s">
        <v>12</v>
      </c>
      <c r="AD1259" s="362" t="s">
        <v>13</v>
      </c>
      <c r="AE1259" s="362" t="s">
        <v>14</v>
      </c>
      <c r="AF1259" s="362" t="s">
        <v>15</v>
      </c>
      <c r="AG1259" s="362" t="s">
        <v>16</v>
      </c>
      <c r="AH1259" s="362" t="s">
        <v>10</v>
      </c>
      <c r="AI1259" s="362" t="s">
        <v>11</v>
      </c>
      <c r="AJ1259" s="362"/>
      <c r="AK1259" s="362"/>
      <c r="AL1259" s="363"/>
      <c r="AM1259" s="364"/>
      <c r="AN1259" s="365"/>
      <c r="AP1259" s="366"/>
      <c r="AQ1259" s="367" t="s">
        <v>17</v>
      </c>
      <c r="AR1259" s="367" t="s">
        <v>18</v>
      </c>
      <c r="AS1259" s="367" t="s">
        <v>19</v>
      </c>
    </row>
    <row r="1260" spans="3:45" ht="12.75" x14ac:dyDescent="0.2">
      <c r="E1260" s="362" t="s">
        <v>20</v>
      </c>
      <c r="F1260" s="362">
        <v>1</v>
      </c>
      <c r="G1260" s="362">
        <v>2</v>
      </c>
      <c r="H1260" s="362">
        <v>3</v>
      </c>
      <c r="I1260" s="362">
        <v>4</v>
      </c>
      <c r="J1260" s="362">
        <v>5</v>
      </c>
      <c r="K1260" s="362">
        <v>6</v>
      </c>
      <c r="L1260" s="362">
        <v>7</v>
      </c>
      <c r="M1260" s="362">
        <v>8</v>
      </c>
      <c r="N1260" s="362">
        <v>9</v>
      </c>
      <c r="O1260" s="362">
        <v>10</v>
      </c>
      <c r="P1260" s="362">
        <v>11</v>
      </c>
      <c r="Q1260" s="362">
        <v>12</v>
      </c>
      <c r="R1260" s="362">
        <v>13</v>
      </c>
      <c r="S1260" s="362">
        <v>14</v>
      </c>
      <c r="T1260" s="362">
        <v>15</v>
      </c>
      <c r="U1260" s="362">
        <v>16</v>
      </c>
      <c r="V1260" s="362">
        <v>17</v>
      </c>
      <c r="W1260" s="362">
        <v>18</v>
      </c>
      <c r="X1260" s="362">
        <v>19</v>
      </c>
      <c r="Y1260" s="362">
        <v>20</v>
      </c>
      <c r="Z1260" s="362">
        <v>21</v>
      </c>
      <c r="AA1260" s="362">
        <v>22</v>
      </c>
      <c r="AB1260" s="362">
        <v>23</v>
      </c>
      <c r="AC1260" s="362">
        <v>24</v>
      </c>
      <c r="AD1260" s="362">
        <v>25</v>
      </c>
      <c r="AE1260" s="362">
        <v>26</v>
      </c>
      <c r="AF1260" s="362">
        <v>27</v>
      </c>
      <c r="AG1260" s="362">
        <v>28</v>
      </c>
      <c r="AH1260" s="362">
        <v>29</v>
      </c>
      <c r="AI1260" s="362">
        <v>30</v>
      </c>
      <c r="AJ1260" s="362"/>
      <c r="AK1260" s="362" t="s">
        <v>21</v>
      </c>
      <c r="AL1260" s="363" t="s">
        <v>18</v>
      </c>
      <c r="AM1260" s="364" t="s">
        <v>19</v>
      </c>
      <c r="AN1260" s="368" t="s">
        <v>22</v>
      </c>
      <c r="AP1260" s="367" t="s">
        <v>23</v>
      </c>
      <c r="AQ1260" s="369">
        <f>AK1271-AK1324</f>
        <v>-131.09999999999968</v>
      </c>
      <c r="AR1260" s="369">
        <f>(AL1271-AL1324)-AL1272+AM1273</f>
        <v>-27.499999999999773</v>
      </c>
      <c r="AS1260" s="369">
        <f>(AM1271-AM1324)+AL1272-AM1273-AM1274</f>
        <v>-103.6</v>
      </c>
    </row>
    <row r="1261" spans="3:45" ht="12.75" x14ac:dyDescent="0.2">
      <c r="C1261" s="628" t="s">
        <v>24</v>
      </c>
      <c r="D1261" s="370" t="s">
        <v>25</v>
      </c>
      <c r="E1261" s="371" t="s">
        <v>18</v>
      </c>
      <c r="F1261" s="372"/>
      <c r="G1261" s="372"/>
      <c r="H1261" s="371"/>
      <c r="I1261" s="372"/>
      <c r="J1261" s="371">
        <v>980</v>
      </c>
      <c r="K1261" s="372"/>
      <c r="L1261" s="372"/>
      <c r="M1261" s="372"/>
      <c r="N1261" s="372"/>
      <c r="O1261" s="372"/>
      <c r="P1261" s="372"/>
      <c r="Q1261" s="372"/>
      <c r="R1261" s="372"/>
      <c r="S1261" s="372"/>
      <c r="T1261" s="371"/>
      <c r="U1261" s="372"/>
      <c r="V1261" s="372"/>
      <c r="W1261" s="372"/>
      <c r="X1261" s="371"/>
      <c r="Y1261" s="371">
        <v>525</v>
      </c>
      <c r="Z1261" s="372"/>
      <c r="AA1261" s="372"/>
      <c r="AB1261" s="372"/>
      <c r="AC1261" s="372"/>
      <c r="AD1261" s="372"/>
      <c r="AE1261" s="372"/>
      <c r="AF1261" s="372"/>
      <c r="AG1261" s="372"/>
      <c r="AH1261" s="372"/>
      <c r="AI1261" s="372"/>
      <c r="AJ1261" s="372"/>
      <c r="AK1261" s="373">
        <f t="shared" ref="AK1261:AK1270" si="200">SUM(F1261:AJ1261)</f>
        <v>1505</v>
      </c>
      <c r="AL1261" s="366">
        <f t="shared" ref="AL1261:AL1262" si="201">AK1261</f>
        <v>1505</v>
      </c>
      <c r="AM1261" s="369"/>
      <c r="AN1261" s="374">
        <f>AL1261</f>
        <v>1505</v>
      </c>
    </row>
    <row r="1262" spans="3:45" ht="12.75" x14ac:dyDescent="0.2">
      <c r="C1262" s="580"/>
      <c r="D1262" s="645" t="s">
        <v>26</v>
      </c>
      <c r="E1262" s="363" t="s">
        <v>18</v>
      </c>
      <c r="F1262" s="366"/>
      <c r="G1262" s="366"/>
      <c r="H1262" s="366"/>
      <c r="I1262" s="366"/>
      <c r="J1262" s="366"/>
      <c r="K1262" s="366"/>
      <c r="L1262" s="366"/>
      <c r="M1262" s="366"/>
      <c r="N1262" s="366"/>
      <c r="O1262" s="366"/>
      <c r="P1262" s="366"/>
      <c r="Q1262" s="366"/>
      <c r="R1262" s="366"/>
      <c r="S1262" s="366"/>
      <c r="T1262" s="366"/>
      <c r="U1262" s="366"/>
      <c r="V1262" s="366"/>
      <c r="W1262" s="366"/>
      <c r="X1262" s="366"/>
      <c r="Y1262" s="366"/>
      <c r="Z1262" s="366"/>
      <c r="AA1262" s="366"/>
      <c r="AB1262" s="366"/>
      <c r="AC1262" s="366"/>
      <c r="AD1262" s="366"/>
      <c r="AE1262" s="366"/>
      <c r="AF1262" s="366"/>
      <c r="AG1262" s="366"/>
      <c r="AH1262" s="366"/>
      <c r="AI1262" s="366"/>
      <c r="AJ1262" s="366"/>
      <c r="AK1262" s="376">
        <f t="shared" si="200"/>
        <v>0</v>
      </c>
      <c r="AL1262" s="377">
        <f t="shared" si="201"/>
        <v>0</v>
      </c>
      <c r="AM1262" s="378"/>
      <c r="AN1262" s="633">
        <f>SUM(AL1262:AM1263)</f>
        <v>0</v>
      </c>
    </row>
    <row r="1263" spans="3:45" ht="12.75" x14ac:dyDescent="0.2">
      <c r="C1263" s="580"/>
      <c r="D1263" s="577"/>
      <c r="E1263" s="364" t="s">
        <v>19</v>
      </c>
      <c r="F1263" s="369"/>
      <c r="G1263" s="369"/>
      <c r="H1263" s="369"/>
      <c r="I1263" s="369"/>
      <c r="J1263" s="369"/>
      <c r="K1263" s="369"/>
      <c r="L1263" s="369"/>
      <c r="M1263" s="369"/>
      <c r="N1263" s="369"/>
      <c r="O1263" s="369"/>
      <c r="P1263" s="369"/>
      <c r="Q1263" s="369"/>
      <c r="R1263" s="369"/>
      <c r="S1263" s="369"/>
      <c r="T1263" s="369"/>
      <c r="U1263" s="369"/>
      <c r="V1263" s="369"/>
      <c r="W1263" s="369"/>
      <c r="X1263" s="369"/>
      <c r="Y1263" s="369"/>
      <c r="Z1263" s="369"/>
      <c r="AA1263" s="369"/>
      <c r="AB1263" s="369"/>
      <c r="AC1263" s="369"/>
      <c r="AD1263" s="369"/>
      <c r="AE1263" s="369"/>
      <c r="AF1263" s="369"/>
      <c r="AG1263" s="369"/>
      <c r="AH1263" s="369"/>
      <c r="AI1263" s="369"/>
      <c r="AJ1263" s="369"/>
      <c r="AK1263" s="379">
        <f t="shared" si="200"/>
        <v>0</v>
      </c>
      <c r="AL1263" s="380"/>
      <c r="AM1263" s="381">
        <f t="shared" ref="AM1263:AM1264" si="202">AK1263</f>
        <v>0</v>
      </c>
      <c r="AN1263" s="583"/>
    </row>
    <row r="1264" spans="3:45" ht="12.75" x14ac:dyDescent="0.2">
      <c r="C1264" s="580"/>
      <c r="D1264" s="375" t="s">
        <v>27</v>
      </c>
      <c r="E1264" s="364" t="s">
        <v>19</v>
      </c>
      <c r="F1264" s="369"/>
      <c r="G1264" s="369"/>
      <c r="H1264" s="369"/>
      <c r="I1264" s="369"/>
      <c r="J1264" s="369"/>
      <c r="K1264" s="369"/>
      <c r="L1264" s="369"/>
      <c r="M1264" s="369"/>
      <c r="N1264" s="369"/>
      <c r="O1264" s="369"/>
      <c r="P1264" s="369"/>
      <c r="Q1264" s="369"/>
      <c r="R1264" s="369"/>
      <c r="S1264" s="369"/>
      <c r="T1264" s="369"/>
      <c r="U1264" s="369"/>
      <c r="V1264" s="369"/>
      <c r="W1264" s="369"/>
      <c r="X1264" s="369"/>
      <c r="Y1264" s="369"/>
      <c r="Z1264" s="369"/>
      <c r="AA1264" s="369"/>
      <c r="AB1264" s="369"/>
      <c r="AC1264" s="369"/>
      <c r="AD1264" s="369"/>
      <c r="AE1264" s="369"/>
      <c r="AF1264" s="369"/>
      <c r="AG1264" s="369"/>
      <c r="AH1264" s="369"/>
      <c r="AI1264" s="369"/>
      <c r="AJ1264" s="369"/>
      <c r="AK1264" s="379">
        <f t="shared" si="200"/>
        <v>0</v>
      </c>
      <c r="AL1264" s="366"/>
      <c r="AM1264" s="369">
        <f t="shared" si="202"/>
        <v>0</v>
      </c>
      <c r="AN1264" s="374">
        <f>AM1264</f>
        <v>0</v>
      </c>
    </row>
    <row r="1265" spans="3:40" ht="12.75" x14ac:dyDescent="0.2">
      <c r="C1265" s="580"/>
      <c r="D1265" s="645" t="s">
        <v>28</v>
      </c>
      <c r="E1265" s="363" t="s">
        <v>18</v>
      </c>
      <c r="F1265" s="363">
        <v>103</v>
      </c>
      <c r="G1265" s="366"/>
      <c r="H1265" s="366"/>
      <c r="I1265" s="366"/>
      <c r="J1265" s="366"/>
      <c r="K1265" s="366"/>
      <c r="L1265" s="366"/>
      <c r="M1265" s="366"/>
      <c r="N1265" s="366"/>
      <c r="O1265" s="366"/>
      <c r="P1265" s="366"/>
      <c r="Q1265" s="366"/>
      <c r="R1265" s="366"/>
      <c r="S1265" s="366"/>
      <c r="T1265" s="366"/>
      <c r="U1265" s="366"/>
      <c r="V1265" s="366"/>
      <c r="W1265" s="366"/>
      <c r="X1265" s="366"/>
      <c r="Y1265" s="366"/>
      <c r="Z1265" s="366"/>
      <c r="AA1265" s="366"/>
      <c r="AB1265" s="366"/>
      <c r="AC1265" s="366"/>
      <c r="AD1265" s="366"/>
      <c r="AE1265" s="366"/>
      <c r="AF1265" s="366"/>
      <c r="AG1265" s="366"/>
      <c r="AH1265" s="363">
        <v>50</v>
      </c>
      <c r="AI1265" s="363"/>
      <c r="AJ1265" s="366"/>
      <c r="AK1265" s="376">
        <f t="shared" si="200"/>
        <v>153</v>
      </c>
      <c r="AL1265" s="377">
        <f>AK1265</f>
        <v>153</v>
      </c>
      <c r="AM1265" s="378"/>
      <c r="AN1265" s="633">
        <f>SUM(AL1265:AM1266)</f>
        <v>153</v>
      </c>
    </row>
    <row r="1266" spans="3:40" ht="12.75" x14ac:dyDescent="0.2">
      <c r="C1266" s="580"/>
      <c r="D1266" s="577"/>
      <c r="E1266" s="364" t="s">
        <v>19</v>
      </c>
      <c r="F1266" s="369"/>
      <c r="G1266" s="364"/>
      <c r="H1266" s="364"/>
      <c r="I1266" s="369"/>
      <c r="J1266" s="364"/>
      <c r="K1266" s="369"/>
      <c r="L1266" s="369"/>
      <c r="M1266" s="369"/>
      <c r="N1266" s="369"/>
      <c r="O1266" s="369"/>
      <c r="P1266" s="369"/>
      <c r="Q1266" s="369"/>
      <c r="R1266" s="369"/>
      <c r="S1266" s="364"/>
      <c r="T1266" s="369"/>
      <c r="U1266" s="369"/>
      <c r="V1266" s="369"/>
      <c r="W1266" s="364"/>
      <c r="X1266" s="364"/>
      <c r="Y1266" s="369"/>
      <c r="Z1266" s="369"/>
      <c r="AA1266" s="369"/>
      <c r="AB1266" s="369"/>
      <c r="AC1266" s="369"/>
      <c r="AD1266" s="369"/>
      <c r="AE1266" s="369"/>
      <c r="AF1266" s="369"/>
      <c r="AG1266" s="369"/>
      <c r="AH1266" s="369"/>
      <c r="AI1266" s="364"/>
      <c r="AJ1266" s="369"/>
      <c r="AK1266" s="379">
        <f t="shared" si="200"/>
        <v>0</v>
      </c>
      <c r="AL1266" s="380"/>
      <c r="AM1266" s="381">
        <f>AK1266</f>
        <v>0</v>
      </c>
      <c r="AN1266" s="583"/>
    </row>
    <row r="1267" spans="3:40" ht="12.75" x14ac:dyDescent="0.2">
      <c r="C1267" s="580"/>
      <c r="D1267" s="645" t="s">
        <v>29</v>
      </c>
      <c r="E1267" s="363" t="s">
        <v>18</v>
      </c>
      <c r="F1267" s="366"/>
      <c r="G1267" s="366"/>
      <c r="H1267" s="366"/>
      <c r="I1267" s="366"/>
      <c r="J1267" s="366"/>
      <c r="K1267" s="366"/>
      <c r="L1267" s="366"/>
      <c r="M1267" s="363">
        <v>12</v>
      </c>
      <c r="N1267" s="366"/>
      <c r="O1267" s="366"/>
      <c r="P1267" s="366"/>
      <c r="Q1267" s="366"/>
      <c r="R1267" s="366"/>
      <c r="S1267" s="366"/>
      <c r="T1267" s="366"/>
      <c r="U1267" s="366"/>
      <c r="V1267" s="366"/>
      <c r="W1267" s="366"/>
      <c r="X1267" s="366"/>
      <c r="Y1267" s="366"/>
      <c r="Z1267" s="366"/>
      <c r="AA1267" s="366"/>
      <c r="AB1267" s="363"/>
      <c r="AC1267" s="366"/>
      <c r="AD1267" s="366"/>
      <c r="AE1267" s="366"/>
      <c r="AF1267" s="366"/>
      <c r="AG1267" s="366"/>
      <c r="AH1267" s="366"/>
      <c r="AI1267" s="366"/>
      <c r="AJ1267" s="366"/>
      <c r="AK1267" s="376">
        <f t="shared" si="200"/>
        <v>12</v>
      </c>
      <c r="AL1267" s="377">
        <f>AK1267</f>
        <v>12</v>
      </c>
      <c r="AM1267" s="378"/>
      <c r="AN1267" s="633">
        <f>SUM(AL1267:AM1268)</f>
        <v>12</v>
      </c>
    </row>
    <row r="1268" spans="3:40" ht="12.75" x14ac:dyDescent="0.2">
      <c r="C1268" s="580"/>
      <c r="D1268" s="577"/>
      <c r="E1268" s="364" t="s">
        <v>19</v>
      </c>
      <c r="F1268" s="369"/>
      <c r="G1268" s="369"/>
      <c r="H1268" s="369"/>
      <c r="I1268" s="369"/>
      <c r="J1268" s="369"/>
      <c r="K1268" s="369"/>
      <c r="L1268" s="369"/>
      <c r="M1268" s="369"/>
      <c r="N1268" s="369"/>
      <c r="O1268" s="369"/>
      <c r="P1268" s="369"/>
      <c r="Q1268" s="369"/>
      <c r="R1268" s="369"/>
      <c r="S1268" s="369"/>
      <c r="T1268" s="369"/>
      <c r="U1268" s="369"/>
      <c r="V1268" s="369"/>
      <c r="W1268" s="369"/>
      <c r="X1268" s="369"/>
      <c r="Y1268" s="369"/>
      <c r="Z1268" s="369"/>
      <c r="AA1268" s="369"/>
      <c r="AB1268" s="364"/>
      <c r="AC1268" s="369"/>
      <c r="AD1268" s="369"/>
      <c r="AE1268" s="369"/>
      <c r="AF1268" s="369"/>
      <c r="AG1268" s="369"/>
      <c r="AH1268" s="369"/>
      <c r="AI1268" s="369"/>
      <c r="AJ1268" s="369"/>
      <c r="AK1268" s="379">
        <f t="shared" si="200"/>
        <v>0</v>
      </c>
      <c r="AL1268" s="380"/>
      <c r="AM1268" s="381">
        <f>AK1268</f>
        <v>0</v>
      </c>
      <c r="AN1268" s="583"/>
    </row>
    <row r="1269" spans="3:40" ht="12.75" x14ac:dyDescent="0.2">
      <c r="C1269" s="580"/>
      <c r="D1269" s="645" t="s">
        <v>31</v>
      </c>
      <c r="E1269" s="363" t="s">
        <v>18</v>
      </c>
      <c r="F1269" s="366"/>
      <c r="G1269" s="366"/>
      <c r="H1269" s="366"/>
      <c r="I1269" s="366"/>
      <c r="J1269" s="366"/>
      <c r="K1269" s="366"/>
      <c r="L1269" s="366"/>
      <c r="M1269" s="366"/>
      <c r="N1269" s="366"/>
      <c r="O1269" s="366"/>
      <c r="P1269" s="366"/>
      <c r="Q1269" s="366"/>
      <c r="R1269" s="366"/>
      <c r="S1269" s="366"/>
      <c r="T1269" s="366"/>
      <c r="U1269" s="366"/>
      <c r="V1269" s="366"/>
      <c r="W1269" s="366"/>
      <c r="X1269" s="366"/>
      <c r="Y1269" s="366"/>
      <c r="Z1269" s="366"/>
      <c r="AA1269" s="366"/>
      <c r="AB1269" s="366"/>
      <c r="AC1269" s="366"/>
      <c r="AD1269" s="366"/>
      <c r="AE1269" s="366"/>
      <c r="AF1269" s="366"/>
      <c r="AG1269" s="366"/>
      <c r="AH1269" s="366"/>
      <c r="AI1269" s="366"/>
      <c r="AJ1269" s="366"/>
      <c r="AK1269" s="376">
        <f t="shared" si="200"/>
        <v>0</v>
      </c>
      <c r="AL1269" s="377">
        <f>AK1269</f>
        <v>0</v>
      </c>
      <c r="AM1269" s="378"/>
      <c r="AN1269" s="633">
        <f>SUM(AL1269:AM1270)</f>
        <v>5</v>
      </c>
    </row>
    <row r="1270" spans="3:40" ht="12.75" x14ac:dyDescent="0.2">
      <c r="C1270" s="581"/>
      <c r="D1270" s="585"/>
      <c r="E1270" s="382" t="s">
        <v>19</v>
      </c>
      <c r="F1270" s="381"/>
      <c r="G1270" s="381"/>
      <c r="H1270" s="381"/>
      <c r="I1270" s="381"/>
      <c r="J1270" s="381"/>
      <c r="K1270" s="381"/>
      <c r="L1270" s="381"/>
      <c r="M1270" s="382">
        <v>5</v>
      </c>
      <c r="N1270" s="382"/>
      <c r="O1270" s="382"/>
      <c r="P1270" s="381"/>
      <c r="Q1270" s="381"/>
      <c r="R1270" s="381"/>
      <c r="S1270" s="381"/>
      <c r="T1270" s="381"/>
      <c r="U1270" s="381"/>
      <c r="V1270" s="381"/>
      <c r="W1270" s="381"/>
      <c r="X1270" s="381"/>
      <c r="Y1270" s="381"/>
      <c r="Z1270" s="382"/>
      <c r="AA1270" s="381"/>
      <c r="AB1270" s="381"/>
      <c r="AC1270" s="381"/>
      <c r="AD1270" s="381"/>
      <c r="AE1270" s="381"/>
      <c r="AF1270" s="381"/>
      <c r="AG1270" s="381"/>
      <c r="AH1270" s="381"/>
      <c r="AI1270" s="381"/>
      <c r="AJ1270" s="381"/>
      <c r="AK1270" s="383">
        <f t="shared" si="200"/>
        <v>5</v>
      </c>
      <c r="AL1270" s="380"/>
      <c r="AM1270" s="381">
        <f>AK1270</f>
        <v>5</v>
      </c>
      <c r="AN1270" s="583"/>
    </row>
    <row r="1271" spans="3:40" ht="12.75" x14ac:dyDescent="0.2">
      <c r="C1271" s="362" t="s">
        <v>32</v>
      </c>
      <c r="D1271" s="384"/>
      <c r="E1271" s="369"/>
      <c r="F1271" s="369"/>
      <c r="G1271" s="369"/>
      <c r="H1271" s="369"/>
      <c r="I1271" s="369"/>
      <c r="J1271" s="369"/>
      <c r="K1271" s="369"/>
      <c r="L1271" s="369"/>
      <c r="M1271" s="369"/>
      <c r="N1271" s="369"/>
      <c r="O1271" s="369"/>
      <c r="P1271" s="369"/>
      <c r="Q1271" s="369"/>
      <c r="R1271" s="369"/>
      <c r="S1271" s="369"/>
      <c r="T1271" s="369"/>
      <c r="U1271" s="369"/>
      <c r="V1271" s="369"/>
      <c r="W1271" s="369"/>
      <c r="X1271" s="369"/>
      <c r="Y1271" s="369"/>
      <c r="Z1271" s="369"/>
      <c r="AA1271" s="369"/>
      <c r="AB1271" s="369"/>
      <c r="AC1271" s="369"/>
      <c r="AD1271" s="369"/>
      <c r="AE1271" s="369"/>
      <c r="AF1271" s="369"/>
      <c r="AG1271" s="369"/>
      <c r="AH1271" s="369"/>
      <c r="AI1271" s="369"/>
      <c r="AJ1271" s="369"/>
      <c r="AK1271" s="385">
        <f t="shared" ref="AK1271:AM1271" si="203">SUM(AK1261:AK1270)</f>
        <v>1675</v>
      </c>
      <c r="AL1271" s="366">
        <f t="shared" si="203"/>
        <v>1670</v>
      </c>
      <c r="AM1271" s="369">
        <f t="shared" si="203"/>
        <v>5</v>
      </c>
      <c r="AN1271" s="374"/>
    </row>
    <row r="1272" spans="3:40" ht="12.75" x14ac:dyDescent="0.2">
      <c r="C1272" s="630" t="s">
        <v>83</v>
      </c>
      <c r="D1272" s="423" t="s">
        <v>84</v>
      </c>
      <c r="E1272" s="424" t="s">
        <v>18</v>
      </c>
      <c r="F1272" s="425"/>
      <c r="G1272" s="425"/>
      <c r="H1272" s="425"/>
      <c r="I1272" s="425"/>
      <c r="J1272" s="424"/>
      <c r="K1272" s="424"/>
      <c r="L1272" s="425"/>
      <c r="M1272" s="424"/>
      <c r="N1272" s="425"/>
      <c r="O1272" s="424"/>
      <c r="P1272" s="425"/>
      <c r="Q1272" s="425"/>
      <c r="R1272" s="425"/>
      <c r="S1272" s="425"/>
      <c r="T1272" s="425"/>
      <c r="U1272" s="424"/>
      <c r="V1272" s="425"/>
      <c r="W1272" s="425"/>
      <c r="X1272" s="425"/>
      <c r="Y1272" s="425"/>
      <c r="Z1272" s="425"/>
      <c r="AA1272" s="425"/>
      <c r="AB1272" s="425"/>
      <c r="AC1272" s="425"/>
      <c r="AD1272" s="425"/>
      <c r="AE1272" s="425"/>
      <c r="AF1272" s="425"/>
      <c r="AG1272" s="425"/>
      <c r="AH1272" s="425"/>
      <c r="AI1272" s="425"/>
      <c r="AJ1272" s="426"/>
      <c r="AK1272" s="425"/>
      <c r="AL1272" s="427">
        <f>SUM(F1272:AJ1272)</f>
        <v>0</v>
      </c>
      <c r="AM1272" s="427"/>
      <c r="AN1272" s="374"/>
    </row>
    <row r="1273" spans="3:40" ht="12.75" x14ac:dyDescent="0.2">
      <c r="C1273" s="580"/>
      <c r="D1273" s="413" t="s">
        <v>85</v>
      </c>
      <c r="E1273" s="428" t="s">
        <v>19</v>
      </c>
      <c r="F1273" s="427"/>
      <c r="G1273" s="427"/>
      <c r="H1273" s="427"/>
      <c r="I1273" s="427"/>
      <c r="J1273" s="427"/>
      <c r="K1273" s="427"/>
      <c r="L1273" s="427"/>
      <c r="M1273" s="427"/>
      <c r="N1273" s="427"/>
      <c r="O1273" s="427"/>
      <c r="P1273" s="427"/>
      <c r="Q1273" s="427"/>
      <c r="R1273" s="427"/>
      <c r="S1273" s="427"/>
      <c r="T1273" s="427"/>
      <c r="U1273" s="428"/>
      <c r="V1273" s="427"/>
      <c r="W1273" s="427"/>
      <c r="X1273" s="427"/>
      <c r="Y1273" s="427"/>
      <c r="Z1273" s="427"/>
      <c r="AA1273" s="427"/>
      <c r="AB1273" s="427"/>
      <c r="AC1273" s="427"/>
      <c r="AD1273" s="427"/>
      <c r="AE1273" s="427"/>
      <c r="AF1273" s="427"/>
      <c r="AG1273" s="427"/>
      <c r="AH1273" s="427"/>
      <c r="AI1273" s="427"/>
      <c r="AJ1273" s="429"/>
      <c r="AK1273" s="427"/>
      <c r="AL1273" s="427"/>
      <c r="AM1273" s="427">
        <f t="shared" ref="AM1273:AM1274" si="204">SUM(F1273:AJ1273)</f>
        <v>0</v>
      </c>
      <c r="AN1273" s="374"/>
    </row>
    <row r="1274" spans="3:40" ht="12.75" x14ac:dyDescent="0.2">
      <c r="C1274" s="581"/>
      <c r="D1274" s="430" t="s">
        <v>86</v>
      </c>
      <c r="E1274" s="431" t="s">
        <v>19</v>
      </c>
      <c r="F1274" s="432"/>
      <c r="G1274" s="432"/>
      <c r="H1274" s="432"/>
      <c r="I1274" s="432"/>
      <c r="J1274" s="432"/>
      <c r="K1274" s="432"/>
      <c r="L1274" s="432"/>
      <c r="M1274" s="432"/>
      <c r="N1274" s="432"/>
      <c r="O1274" s="431"/>
      <c r="P1274" s="432"/>
      <c r="Q1274" s="432"/>
      <c r="R1274" s="432"/>
      <c r="S1274" s="432"/>
      <c r="T1274" s="432"/>
      <c r="U1274" s="431"/>
      <c r="V1274" s="432"/>
      <c r="W1274" s="432"/>
      <c r="X1274" s="432"/>
      <c r="Y1274" s="432"/>
      <c r="Z1274" s="432"/>
      <c r="AA1274" s="432"/>
      <c r="AB1274" s="432"/>
      <c r="AC1274" s="432"/>
      <c r="AD1274" s="432"/>
      <c r="AE1274" s="432"/>
      <c r="AF1274" s="432"/>
      <c r="AG1274" s="432"/>
      <c r="AH1274" s="432"/>
      <c r="AI1274" s="432"/>
      <c r="AJ1274" s="433"/>
      <c r="AK1274" s="427"/>
      <c r="AL1274" s="427"/>
      <c r="AM1274" s="427">
        <f t="shared" si="204"/>
        <v>0</v>
      </c>
      <c r="AN1274" s="374"/>
    </row>
    <row r="1275" spans="3:40" ht="12.75" x14ac:dyDescent="0.2">
      <c r="C1275" s="629" t="s">
        <v>33</v>
      </c>
      <c r="D1275" s="386" t="s">
        <v>34</v>
      </c>
      <c r="E1275" s="387" t="s">
        <v>19</v>
      </c>
      <c r="F1275" s="388"/>
      <c r="G1275" s="388"/>
      <c r="H1275" s="388"/>
      <c r="I1275" s="388"/>
      <c r="J1275" s="387">
        <v>60</v>
      </c>
      <c r="K1275" s="388"/>
      <c r="L1275" s="388"/>
      <c r="M1275" s="388"/>
      <c r="N1275" s="388"/>
      <c r="O1275" s="388"/>
      <c r="P1275" s="388"/>
      <c r="Q1275" s="388"/>
      <c r="R1275" s="388"/>
      <c r="S1275" s="388"/>
      <c r="T1275" s="388"/>
      <c r="U1275" s="388"/>
      <c r="V1275" s="388"/>
      <c r="W1275" s="388"/>
      <c r="X1275" s="388"/>
      <c r="Y1275" s="388"/>
      <c r="Z1275" s="388"/>
      <c r="AA1275" s="388"/>
      <c r="AB1275" s="388"/>
      <c r="AC1275" s="388"/>
      <c r="AD1275" s="388"/>
      <c r="AE1275" s="388"/>
      <c r="AF1275" s="388"/>
      <c r="AG1275" s="388"/>
      <c r="AH1275" s="388"/>
      <c r="AI1275" s="388"/>
      <c r="AJ1275" s="388"/>
      <c r="AK1275" s="389">
        <f t="shared" ref="AK1275:AK1323" si="205">SUM(F1275:AJ1275)</f>
        <v>60</v>
      </c>
      <c r="AL1275" s="390"/>
      <c r="AM1275" s="388">
        <f>AK1275</f>
        <v>60</v>
      </c>
      <c r="AN1275" s="391">
        <f>AM1275</f>
        <v>60</v>
      </c>
    </row>
    <row r="1276" spans="3:40" ht="12.75" x14ac:dyDescent="0.2">
      <c r="C1276" s="580"/>
      <c r="D1276" s="392" t="s">
        <v>35</v>
      </c>
      <c r="E1276" s="393" t="s">
        <v>18</v>
      </c>
      <c r="F1276" s="394"/>
      <c r="G1276" s="394"/>
      <c r="H1276" s="394"/>
      <c r="I1276" s="393"/>
      <c r="J1276" s="393">
        <v>10</v>
      </c>
      <c r="K1276" s="394"/>
      <c r="L1276" s="394"/>
      <c r="M1276" s="394"/>
      <c r="N1276" s="394"/>
      <c r="O1276" s="394"/>
      <c r="P1276" s="394"/>
      <c r="Q1276" s="394"/>
      <c r="R1276" s="394"/>
      <c r="S1276" s="394"/>
      <c r="T1276" s="394"/>
      <c r="U1276" s="394"/>
      <c r="V1276" s="394"/>
      <c r="W1276" s="394"/>
      <c r="X1276" s="394"/>
      <c r="Y1276" s="393"/>
      <c r="Z1276" s="394"/>
      <c r="AA1276" s="394"/>
      <c r="AB1276" s="394"/>
      <c r="AC1276" s="394"/>
      <c r="AD1276" s="394"/>
      <c r="AE1276" s="394"/>
      <c r="AF1276" s="394"/>
      <c r="AG1276" s="394"/>
      <c r="AH1276" s="394"/>
      <c r="AI1276" s="394"/>
      <c r="AJ1276" s="394"/>
      <c r="AK1276" s="395">
        <f t="shared" si="205"/>
        <v>10</v>
      </c>
      <c r="AL1276" s="394">
        <f>AK1276</f>
        <v>10</v>
      </c>
      <c r="AM1276" s="396"/>
      <c r="AN1276" s="397">
        <f>AL1276</f>
        <v>10</v>
      </c>
    </row>
    <row r="1277" spans="3:40" ht="12.75" x14ac:dyDescent="0.2">
      <c r="C1277" s="580"/>
      <c r="D1277" s="434" t="s">
        <v>36</v>
      </c>
      <c r="E1277" s="398" t="s">
        <v>19</v>
      </c>
      <c r="F1277" s="399"/>
      <c r="G1277" s="399"/>
      <c r="H1277" s="399"/>
      <c r="I1277" s="399"/>
      <c r="J1277" s="398">
        <v>27</v>
      </c>
      <c r="K1277" s="399"/>
      <c r="L1277" s="399"/>
      <c r="M1277" s="399"/>
      <c r="N1277" s="399"/>
      <c r="O1277" s="399"/>
      <c r="P1277" s="399"/>
      <c r="Q1277" s="399"/>
      <c r="R1277" s="399"/>
      <c r="S1277" s="399"/>
      <c r="T1277" s="399"/>
      <c r="U1277" s="399"/>
      <c r="V1277" s="399"/>
      <c r="W1277" s="399"/>
      <c r="X1277" s="399"/>
      <c r="Y1277" s="399"/>
      <c r="Z1277" s="399"/>
      <c r="AA1277" s="399"/>
      <c r="AB1277" s="399"/>
      <c r="AC1277" s="399"/>
      <c r="AD1277" s="399"/>
      <c r="AE1277" s="399"/>
      <c r="AF1277" s="399"/>
      <c r="AG1277" s="399"/>
      <c r="AH1277" s="399"/>
      <c r="AI1277" s="399"/>
      <c r="AJ1277" s="399"/>
      <c r="AK1277" s="400">
        <f t="shared" si="205"/>
        <v>27</v>
      </c>
      <c r="AL1277" s="401"/>
      <c r="AM1277" s="399">
        <f>AK1277</f>
        <v>27</v>
      </c>
      <c r="AN1277" s="435">
        <f>AM1277</f>
        <v>27</v>
      </c>
    </row>
    <row r="1278" spans="3:40" ht="12.75" x14ac:dyDescent="0.2">
      <c r="C1278" s="580"/>
      <c r="D1278" s="643" t="s">
        <v>91</v>
      </c>
      <c r="E1278" s="393" t="s">
        <v>18</v>
      </c>
      <c r="F1278" s="393">
        <v>0.9</v>
      </c>
      <c r="G1278" s="394"/>
      <c r="H1278" s="394"/>
      <c r="I1278" s="393">
        <v>50</v>
      </c>
      <c r="J1278" s="394"/>
      <c r="K1278" s="394"/>
      <c r="L1278" s="394"/>
      <c r="M1278" s="394">
        <f>15</f>
        <v>15</v>
      </c>
      <c r="N1278" s="394"/>
      <c r="O1278" s="393"/>
      <c r="P1278" s="394"/>
      <c r="Q1278" s="393"/>
      <c r="R1278" s="394"/>
      <c r="S1278" s="394"/>
      <c r="T1278" s="393"/>
      <c r="U1278" s="394"/>
      <c r="V1278" s="393">
        <v>10</v>
      </c>
      <c r="W1278" s="393">
        <v>12.1</v>
      </c>
      <c r="X1278" s="394"/>
      <c r="Y1278" s="393">
        <v>12.6</v>
      </c>
      <c r="Z1278" s="393"/>
      <c r="AA1278" s="394"/>
      <c r="AB1278" s="393">
        <v>15</v>
      </c>
      <c r="AC1278" s="394"/>
      <c r="AD1278" s="393"/>
      <c r="AE1278" s="393">
        <v>10</v>
      </c>
      <c r="AF1278" s="393"/>
      <c r="AG1278" s="394"/>
      <c r="AH1278" s="394"/>
      <c r="AI1278" s="394"/>
      <c r="AJ1278" s="394"/>
      <c r="AK1278" s="395">
        <f t="shared" si="205"/>
        <v>125.6</v>
      </c>
      <c r="AL1278" s="403">
        <f>AK1278</f>
        <v>125.6</v>
      </c>
      <c r="AM1278" s="396"/>
      <c r="AN1278" s="634">
        <f>SUM(AL1278:AM1279)</f>
        <v>125.6</v>
      </c>
    </row>
    <row r="1279" spans="3:40" ht="12.75" x14ac:dyDescent="0.2">
      <c r="C1279" s="580"/>
      <c r="D1279" s="577"/>
      <c r="E1279" s="404" t="s">
        <v>19</v>
      </c>
      <c r="F1279" s="396"/>
      <c r="G1279" s="396"/>
      <c r="H1279" s="404"/>
      <c r="I1279" s="396"/>
      <c r="J1279" s="396"/>
      <c r="K1279" s="396"/>
      <c r="L1279" s="404"/>
      <c r="M1279" s="396"/>
      <c r="N1279" s="404"/>
      <c r="O1279" s="396"/>
      <c r="P1279" s="396"/>
      <c r="Q1279" s="396"/>
      <c r="R1279" s="396"/>
      <c r="S1279" s="396"/>
      <c r="T1279" s="404"/>
      <c r="U1279" s="404"/>
      <c r="V1279" s="404"/>
      <c r="W1279" s="404"/>
      <c r="X1279" s="404"/>
      <c r="Y1279" s="396"/>
      <c r="Z1279" s="396"/>
      <c r="AA1279" s="404"/>
      <c r="AB1279" s="404"/>
      <c r="AC1279" s="404"/>
      <c r="AD1279" s="404"/>
      <c r="AE1279" s="404"/>
      <c r="AF1279" s="396"/>
      <c r="AG1279" s="396"/>
      <c r="AH1279" s="396"/>
      <c r="AI1279" s="396"/>
      <c r="AJ1279" s="396"/>
      <c r="AK1279" s="405">
        <f t="shared" si="205"/>
        <v>0</v>
      </c>
      <c r="AL1279" s="406"/>
      <c r="AM1279" s="407">
        <f>AK1279</f>
        <v>0</v>
      </c>
      <c r="AN1279" s="583"/>
    </row>
    <row r="1280" spans="3:40" ht="12.75" x14ac:dyDescent="0.2">
      <c r="C1280" s="580"/>
      <c r="D1280" s="402" t="s">
        <v>38</v>
      </c>
      <c r="E1280" s="393" t="s">
        <v>18</v>
      </c>
      <c r="F1280" s="394"/>
      <c r="G1280" s="394"/>
      <c r="H1280" s="394"/>
      <c r="I1280" s="394"/>
      <c r="J1280" s="394"/>
      <c r="K1280" s="394"/>
      <c r="L1280" s="394"/>
      <c r="M1280" s="394"/>
      <c r="N1280" s="394"/>
      <c r="O1280" s="394"/>
      <c r="P1280" s="394"/>
      <c r="Q1280" s="394"/>
      <c r="R1280" s="394"/>
      <c r="S1280" s="394"/>
      <c r="T1280" s="394"/>
      <c r="U1280" s="394"/>
      <c r="V1280" s="394"/>
      <c r="W1280" s="394"/>
      <c r="X1280" s="394"/>
      <c r="Y1280" s="394"/>
      <c r="Z1280" s="394"/>
      <c r="AA1280" s="393">
        <v>54.91</v>
      </c>
      <c r="AB1280" s="393"/>
      <c r="AC1280" s="393"/>
      <c r="AD1280" s="394"/>
      <c r="AE1280" s="394"/>
      <c r="AF1280" s="394"/>
      <c r="AG1280" s="394"/>
      <c r="AH1280" s="394"/>
      <c r="AI1280" s="394"/>
      <c r="AJ1280" s="394"/>
      <c r="AK1280" s="395">
        <f t="shared" si="205"/>
        <v>54.91</v>
      </c>
      <c r="AL1280" s="394">
        <f t="shared" ref="AL1280:AL1282" si="206">AK1280</f>
        <v>54.91</v>
      </c>
      <c r="AM1280" s="396"/>
      <c r="AN1280" s="374">
        <f t="shared" ref="AN1280:AN1281" si="207">AL1280</f>
        <v>54.91</v>
      </c>
    </row>
    <row r="1281" spans="3:40" ht="12.75" x14ac:dyDescent="0.2">
      <c r="C1281" s="580"/>
      <c r="D1281" s="402" t="s">
        <v>39</v>
      </c>
      <c r="E1281" s="393" t="s">
        <v>18</v>
      </c>
      <c r="F1281" s="394"/>
      <c r="G1281" s="394"/>
      <c r="H1281" s="394"/>
      <c r="I1281" s="394"/>
      <c r="J1281" s="394"/>
      <c r="K1281" s="394"/>
      <c r="L1281" s="394"/>
      <c r="M1281" s="393"/>
      <c r="N1281" s="394"/>
      <c r="O1281" s="394"/>
      <c r="P1281" s="394"/>
      <c r="Q1281" s="394"/>
      <c r="R1281" s="394"/>
      <c r="S1281" s="394"/>
      <c r="T1281" s="394"/>
      <c r="U1281" s="394"/>
      <c r="V1281" s="394"/>
      <c r="W1281" s="394"/>
      <c r="X1281" s="394"/>
      <c r="Y1281" s="394"/>
      <c r="Z1281" s="394"/>
      <c r="AA1281" s="394"/>
      <c r="AB1281" s="394"/>
      <c r="AC1281" s="394"/>
      <c r="AD1281" s="394"/>
      <c r="AE1281" s="394"/>
      <c r="AF1281" s="394"/>
      <c r="AG1281" s="394"/>
      <c r="AH1281" s="394"/>
      <c r="AI1281" s="394"/>
      <c r="AJ1281" s="394"/>
      <c r="AK1281" s="395">
        <f t="shared" si="205"/>
        <v>0</v>
      </c>
      <c r="AL1281" s="394">
        <f t="shared" si="206"/>
        <v>0</v>
      </c>
      <c r="AM1281" s="396"/>
      <c r="AN1281" s="374">
        <f t="shared" si="207"/>
        <v>0</v>
      </c>
    </row>
    <row r="1282" spans="3:40" ht="12.75" x14ac:dyDescent="0.2">
      <c r="C1282" s="580"/>
      <c r="D1282" s="643" t="s">
        <v>40</v>
      </c>
      <c r="E1282" s="393" t="s">
        <v>18</v>
      </c>
      <c r="F1282" s="394"/>
      <c r="G1282" s="394"/>
      <c r="H1282" s="394"/>
      <c r="I1282" s="394"/>
      <c r="J1282" s="394"/>
      <c r="K1282" s="394"/>
      <c r="L1282" s="394"/>
      <c r="M1282" s="394"/>
      <c r="N1282" s="394"/>
      <c r="O1282" s="394"/>
      <c r="P1282" s="394"/>
      <c r="Q1282" s="394"/>
      <c r="R1282" s="394"/>
      <c r="S1282" s="394"/>
      <c r="T1282" s="394"/>
      <c r="U1282" s="394"/>
      <c r="V1282" s="394"/>
      <c r="W1282" s="394"/>
      <c r="X1282" s="394"/>
      <c r="Y1282" s="394"/>
      <c r="Z1282" s="394"/>
      <c r="AA1282" s="394"/>
      <c r="AB1282" s="394"/>
      <c r="AC1282" s="394"/>
      <c r="AD1282" s="394"/>
      <c r="AE1282" s="394"/>
      <c r="AF1282" s="394"/>
      <c r="AG1282" s="394"/>
      <c r="AH1282" s="394"/>
      <c r="AI1282" s="394"/>
      <c r="AJ1282" s="394"/>
      <c r="AK1282" s="395">
        <f t="shared" si="205"/>
        <v>0</v>
      </c>
      <c r="AL1282" s="408">
        <f t="shared" si="206"/>
        <v>0</v>
      </c>
      <c r="AM1282" s="409"/>
      <c r="AN1282" s="633">
        <f>SUM(AL1282:AM1283)</f>
        <v>0</v>
      </c>
    </row>
    <row r="1283" spans="3:40" ht="12.75" x14ac:dyDescent="0.2">
      <c r="C1283" s="580"/>
      <c r="D1283" s="577"/>
      <c r="E1283" s="404" t="s">
        <v>19</v>
      </c>
      <c r="F1283" s="396"/>
      <c r="G1283" s="396"/>
      <c r="H1283" s="396"/>
      <c r="I1283" s="396"/>
      <c r="J1283" s="396"/>
      <c r="K1283" s="396"/>
      <c r="L1283" s="396"/>
      <c r="M1283" s="396"/>
      <c r="N1283" s="396"/>
      <c r="O1283" s="396"/>
      <c r="P1283" s="396"/>
      <c r="Q1283" s="396"/>
      <c r="R1283" s="396"/>
      <c r="S1283" s="396"/>
      <c r="T1283" s="396"/>
      <c r="U1283" s="396"/>
      <c r="V1283" s="396"/>
      <c r="W1283" s="396"/>
      <c r="X1283" s="396"/>
      <c r="Y1283" s="396"/>
      <c r="Z1283" s="396"/>
      <c r="AA1283" s="396"/>
      <c r="AB1283" s="396"/>
      <c r="AC1283" s="396"/>
      <c r="AD1283" s="396"/>
      <c r="AE1283" s="396"/>
      <c r="AF1283" s="396"/>
      <c r="AG1283" s="396"/>
      <c r="AH1283" s="396"/>
      <c r="AI1283" s="396"/>
      <c r="AJ1283" s="396"/>
      <c r="AK1283" s="405">
        <f t="shared" si="205"/>
        <v>0</v>
      </c>
      <c r="AL1283" s="406"/>
      <c r="AM1283" s="407">
        <f>AK1283</f>
        <v>0</v>
      </c>
      <c r="AN1283" s="583"/>
    </row>
    <row r="1284" spans="3:40" ht="12.75" x14ac:dyDescent="0.2">
      <c r="C1284" s="580"/>
      <c r="D1284" s="643" t="s">
        <v>41</v>
      </c>
      <c r="E1284" s="393" t="s">
        <v>18</v>
      </c>
      <c r="F1284" s="393">
        <v>103</v>
      </c>
      <c r="G1284" s="394"/>
      <c r="H1284" s="394"/>
      <c r="I1284" s="394"/>
      <c r="J1284" s="394"/>
      <c r="K1284" s="394"/>
      <c r="L1284" s="394"/>
      <c r="M1284" s="394"/>
      <c r="N1284" s="394"/>
      <c r="O1284" s="394"/>
      <c r="P1284" s="394"/>
      <c r="Q1284" s="394"/>
      <c r="R1284" s="394"/>
      <c r="S1284" s="394"/>
      <c r="T1284" s="394"/>
      <c r="U1284" s="394"/>
      <c r="V1284" s="394"/>
      <c r="W1284" s="394"/>
      <c r="X1284" s="394"/>
      <c r="Y1284" s="394"/>
      <c r="Z1284" s="394"/>
      <c r="AA1284" s="393">
        <v>103.1</v>
      </c>
      <c r="AB1284" s="394"/>
      <c r="AC1284" s="394"/>
      <c r="AD1284" s="394"/>
      <c r="AE1284" s="394"/>
      <c r="AF1284" s="394"/>
      <c r="AG1284" s="394"/>
      <c r="AH1284" s="394"/>
      <c r="AI1284" s="394"/>
      <c r="AJ1284" s="394"/>
      <c r="AK1284" s="395">
        <f t="shared" si="205"/>
        <v>206.1</v>
      </c>
      <c r="AL1284" s="408">
        <f>AK1284</f>
        <v>206.1</v>
      </c>
      <c r="AM1284" s="409"/>
      <c r="AN1284" s="633">
        <f>SUM(AL1284:AM1285)</f>
        <v>206.1</v>
      </c>
    </row>
    <row r="1285" spans="3:40" ht="12.75" x14ac:dyDescent="0.2">
      <c r="C1285" s="580"/>
      <c r="D1285" s="577"/>
      <c r="E1285" s="404" t="s">
        <v>19</v>
      </c>
      <c r="F1285" s="396"/>
      <c r="G1285" s="396"/>
      <c r="H1285" s="396"/>
      <c r="I1285" s="396"/>
      <c r="J1285" s="404"/>
      <c r="K1285" s="396"/>
      <c r="L1285" s="396"/>
      <c r="M1285" s="404"/>
      <c r="N1285" s="396"/>
      <c r="O1285" s="396"/>
      <c r="P1285" s="396"/>
      <c r="Q1285" s="404"/>
      <c r="R1285" s="404"/>
      <c r="S1285" s="404"/>
      <c r="T1285" s="396"/>
      <c r="U1285" s="404"/>
      <c r="V1285" s="396"/>
      <c r="W1285" s="396"/>
      <c r="X1285" s="396"/>
      <c r="Y1285" s="396"/>
      <c r="Z1285" s="396"/>
      <c r="AA1285" s="396"/>
      <c r="AB1285" s="396"/>
      <c r="AC1285" s="396"/>
      <c r="AD1285" s="396"/>
      <c r="AE1285" s="404"/>
      <c r="AF1285" s="396"/>
      <c r="AG1285" s="396"/>
      <c r="AH1285" s="396"/>
      <c r="AI1285" s="396"/>
      <c r="AJ1285" s="396"/>
      <c r="AK1285" s="405">
        <f t="shared" si="205"/>
        <v>0</v>
      </c>
      <c r="AL1285" s="406"/>
      <c r="AM1285" s="407">
        <f>AK1285</f>
        <v>0</v>
      </c>
      <c r="AN1285" s="583"/>
    </row>
    <row r="1286" spans="3:40" ht="12.75" x14ac:dyDescent="0.2">
      <c r="C1286" s="580"/>
      <c r="D1286" s="402" t="s">
        <v>42</v>
      </c>
      <c r="E1286" s="393" t="s">
        <v>18</v>
      </c>
      <c r="F1286" s="394"/>
      <c r="G1286" s="394"/>
      <c r="H1286" s="394"/>
      <c r="I1286" s="393"/>
      <c r="J1286" s="394"/>
      <c r="K1286" s="394"/>
      <c r="L1286" s="394"/>
      <c r="M1286" s="393">
        <v>5</v>
      </c>
      <c r="N1286" s="394"/>
      <c r="O1286" s="394"/>
      <c r="P1286" s="394"/>
      <c r="Q1286" s="394"/>
      <c r="R1286" s="394"/>
      <c r="S1286" s="394"/>
      <c r="T1286" s="394"/>
      <c r="U1286" s="394"/>
      <c r="V1286" s="394"/>
      <c r="W1286" s="394"/>
      <c r="X1286" s="394"/>
      <c r="Y1286" s="394"/>
      <c r="Z1286" s="394"/>
      <c r="AA1286" s="394"/>
      <c r="AB1286" s="394"/>
      <c r="AC1286" s="394"/>
      <c r="AD1286" s="394"/>
      <c r="AE1286" s="394"/>
      <c r="AF1286" s="394"/>
      <c r="AG1286" s="394"/>
      <c r="AH1286" s="394"/>
      <c r="AI1286" s="393"/>
      <c r="AJ1286" s="394"/>
      <c r="AK1286" s="395">
        <f t="shared" si="205"/>
        <v>5</v>
      </c>
      <c r="AL1286" s="394">
        <f>AK1286</f>
        <v>5</v>
      </c>
      <c r="AM1286" s="396"/>
      <c r="AN1286" s="374">
        <f>AL1286</f>
        <v>5</v>
      </c>
    </row>
    <row r="1287" spans="3:40" ht="12.75" x14ac:dyDescent="0.2">
      <c r="C1287" s="580"/>
      <c r="D1287" s="402" t="s">
        <v>43</v>
      </c>
      <c r="E1287" s="404" t="s">
        <v>19</v>
      </c>
      <c r="F1287" s="396"/>
      <c r="G1287" s="396"/>
      <c r="H1287" s="396"/>
      <c r="I1287" s="396"/>
      <c r="J1287" s="396"/>
      <c r="K1287" s="396"/>
      <c r="L1287" s="396"/>
      <c r="M1287" s="396"/>
      <c r="N1287" s="396"/>
      <c r="O1287" s="396"/>
      <c r="P1287" s="396"/>
      <c r="Q1287" s="396"/>
      <c r="R1287" s="396"/>
      <c r="S1287" s="396"/>
      <c r="T1287" s="396"/>
      <c r="U1287" s="396"/>
      <c r="V1287" s="396"/>
      <c r="W1287" s="396"/>
      <c r="X1287" s="396"/>
      <c r="Y1287" s="396"/>
      <c r="Z1287" s="396"/>
      <c r="AA1287" s="396"/>
      <c r="AB1287" s="396"/>
      <c r="AC1287" s="396"/>
      <c r="AD1287" s="396"/>
      <c r="AE1287" s="396"/>
      <c r="AF1287" s="396"/>
      <c r="AG1287" s="396"/>
      <c r="AH1287" s="396"/>
      <c r="AI1287" s="396"/>
      <c r="AJ1287" s="396"/>
      <c r="AK1287" s="405">
        <f t="shared" si="205"/>
        <v>0</v>
      </c>
      <c r="AL1287" s="394"/>
      <c r="AM1287" s="396">
        <f>AK1287</f>
        <v>0</v>
      </c>
      <c r="AN1287" s="374">
        <f>AM1287</f>
        <v>0</v>
      </c>
    </row>
    <row r="1288" spans="3:40" ht="12.75" x14ac:dyDescent="0.2">
      <c r="C1288" s="580"/>
      <c r="D1288" s="643" t="s">
        <v>44</v>
      </c>
      <c r="E1288" s="393" t="s">
        <v>18</v>
      </c>
      <c r="F1288" s="393">
        <v>5.29</v>
      </c>
      <c r="G1288" s="394"/>
      <c r="H1288" s="394"/>
      <c r="I1288" s="394"/>
      <c r="J1288" s="394"/>
      <c r="K1288" s="394"/>
      <c r="L1288" s="394"/>
      <c r="M1288" s="394"/>
      <c r="N1288" s="394"/>
      <c r="O1288" s="394"/>
      <c r="P1288" s="394"/>
      <c r="Q1288" s="394"/>
      <c r="R1288" s="394"/>
      <c r="S1288" s="394"/>
      <c r="T1288" s="394"/>
      <c r="U1288" s="394"/>
      <c r="V1288" s="394"/>
      <c r="W1288" s="394"/>
      <c r="X1288" s="394"/>
      <c r="Y1288" s="394"/>
      <c r="Z1288" s="394"/>
      <c r="AA1288" s="394"/>
      <c r="AB1288" s="394"/>
      <c r="AC1288" s="394"/>
      <c r="AD1288" s="394"/>
      <c r="AE1288" s="394"/>
      <c r="AF1288" s="394"/>
      <c r="AG1288" s="394"/>
      <c r="AH1288" s="394"/>
      <c r="AI1288" s="394"/>
      <c r="AJ1288" s="394"/>
      <c r="AK1288" s="395">
        <f t="shared" si="205"/>
        <v>5.29</v>
      </c>
      <c r="AL1288" s="408">
        <f>AK1288</f>
        <v>5.29</v>
      </c>
      <c r="AM1288" s="409"/>
      <c r="AN1288" s="633">
        <f>SUM(AL1288:AM1289)</f>
        <v>5.29</v>
      </c>
    </row>
    <row r="1289" spans="3:40" ht="12.75" x14ac:dyDescent="0.2">
      <c r="C1289" s="581"/>
      <c r="D1289" s="585"/>
      <c r="E1289" s="404" t="s">
        <v>19</v>
      </c>
      <c r="F1289" s="407"/>
      <c r="G1289" s="407"/>
      <c r="H1289" s="407"/>
      <c r="I1289" s="407"/>
      <c r="J1289" s="407"/>
      <c r="K1289" s="407"/>
      <c r="L1289" s="407"/>
      <c r="M1289" s="407"/>
      <c r="N1289" s="407"/>
      <c r="O1289" s="407"/>
      <c r="P1289" s="407"/>
      <c r="Q1289" s="407"/>
      <c r="R1289" s="407"/>
      <c r="S1289" s="407"/>
      <c r="T1289" s="407"/>
      <c r="U1289" s="407"/>
      <c r="V1289" s="407"/>
      <c r="W1289" s="407"/>
      <c r="X1289" s="407"/>
      <c r="Y1289" s="407"/>
      <c r="Z1289" s="407"/>
      <c r="AA1289" s="407"/>
      <c r="AB1289" s="407"/>
      <c r="AC1289" s="407"/>
      <c r="AD1289" s="407"/>
      <c r="AE1289" s="407"/>
      <c r="AF1289" s="407"/>
      <c r="AG1289" s="407"/>
      <c r="AH1289" s="407"/>
      <c r="AI1289" s="407"/>
      <c r="AJ1289" s="407"/>
      <c r="AK1289" s="405">
        <f t="shared" si="205"/>
        <v>0</v>
      </c>
      <c r="AL1289" s="406"/>
      <c r="AM1289" s="407">
        <f>AK1289</f>
        <v>0</v>
      </c>
      <c r="AN1289" s="583"/>
    </row>
    <row r="1290" spans="3:40" ht="12.75" x14ac:dyDescent="0.2">
      <c r="C1290" s="629" t="s">
        <v>45</v>
      </c>
      <c r="D1290" s="644" t="s">
        <v>46</v>
      </c>
      <c r="E1290" s="411" t="s">
        <v>18</v>
      </c>
      <c r="F1290" s="412"/>
      <c r="G1290" s="411"/>
      <c r="H1290" s="412">
        <f>3.85-0.09</f>
        <v>3.7600000000000002</v>
      </c>
      <c r="I1290" s="412"/>
      <c r="J1290" s="412">
        <f>2.69+2.64+11.13+4.6+2.79</f>
        <v>23.85</v>
      </c>
      <c r="K1290" s="412"/>
      <c r="L1290" s="411">
        <v>3.29</v>
      </c>
      <c r="M1290" s="412"/>
      <c r="N1290" s="411">
        <f>1.45+1.04+6.95</f>
        <v>9.4400000000000013</v>
      </c>
      <c r="O1290" s="412"/>
      <c r="P1290" s="412">
        <f>11.82+2.79+2.79</f>
        <v>17.399999999999999</v>
      </c>
      <c r="Q1290" s="411">
        <v>6.39</v>
      </c>
      <c r="R1290" s="411">
        <v>33.409999999999997</v>
      </c>
      <c r="S1290" s="411"/>
      <c r="T1290" s="411">
        <f>18.98-5.6</f>
        <v>13.38</v>
      </c>
      <c r="U1290" s="412"/>
      <c r="V1290" s="411">
        <f>1.15+4.6+6.95</f>
        <v>12.7</v>
      </c>
      <c r="W1290" s="411"/>
      <c r="X1290" s="411">
        <v>15.58</v>
      </c>
      <c r="Y1290" s="412">
        <f>3.19+4.62</f>
        <v>7.8100000000000005</v>
      </c>
      <c r="Z1290" s="412">
        <f>31.01-4.99</f>
        <v>26.020000000000003</v>
      </c>
      <c r="AA1290" s="412"/>
      <c r="AB1290" s="411"/>
      <c r="AC1290" s="412">
        <f>2.79+9.26</f>
        <v>12.05</v>
      </c>
      <c r="AD1290" s="411"/>
      <c r="AE1290" s="411">
        <v>11.7</v>
      </c>
      <c r="AF1290" s="412">
        <f>3.19+3.39+7.19</f>
        <v>13.77</v>
      </c>
      <c r="AG1290" s="412"/>
      <c r="AH1290" s="412"/>
      <c r="AI1290" s="412"/>
      <c r="AJ1290" s="412"/>
      <c r="AK1290" s="395">
        <f t="shared" si="205"/>
        <v>210.55</v>
      </c>
      <c r="AL1290" s="408">
        <f>AK1290</f>
        <v>210.55</v>
      </c>
      <c r="AM1290" s="409"/>
      <c r="AN1290" s="633">
        <f>SUM(AL1290:AM1291)</f>
        <v>210.55</v>
      </c>
    </row>
    <row r="1291" spans="3:40" ht="12.75" x14ac:dyDescent="0.2">
      <c r="C1291" s="580"/>
      <c r="D1291" s="577"/>
      <c r="E1291" s="404" t="s">
        <v>19</v>
      </c>
      <c r="F1291" s="404"/>
      <c r="G1291" s="404"/>
      <c r="H1291" s="396"/>
      <c r="I1291" s="396"/>
      <c r="J1291" s="396"/>
      <c r="K1291" s="396"/>
      <c r="L1291" s="404"/>
      <c r="M1291" s="396"/>
      <c r="N1291" s="396"/>
      <c r="O1291" s="396"/>
      <c r="P1291" s="396"/>
      <c r="Q1291" s="396"/>
      <c r="R1291" s="396"/>
      <c r="S1291" s="404"/>
      <c r="T1291" s="404"/>
      <c r="U1291" s="396"/>
      <c r="V1291" s="404"/>
      <c r="W1291" s="396"/>
      <c r="X1291" s="404"/>
      <c r="Y1291" s="396"/>
      <c r="Z1291" s="404"/>
      <c r="AA1291" s="396"/>
      <c r="AB1291" s="404"/>
      <c r="AC1291" s="404"/>
      <c r="AD1291" s="404"/>
      <c r="AE1291" s="396"/>
      <c r="AF1291" s="396"/>
      <c r="AG1291" s="396"/>
      <c r="AH1291" s="396"/>
      <c r="AI1291" s="396"/>
      <c r="AJ1291" s="396"/>
      <c r="AK1291" s="405">
        <f t="shared" si="205"/>
        <v>0</v>
      </c>
      <c r="AL1291" s="406"/>
      <c r="AM1291" s="407">
        <f>AK1291</f>
        <v>0</v>
      </c>
      <c r="AN1291" s="583"/>
    </row>
    <row r="1292" spans="3:40" ht="12.75" x14ac:dyDescent="0.2">
      <c r="C1292" s="580"/>
      <c r="D1292" s="643" t="s">
        <v>47</v>
      </c>
      <c r="E1292" s="393" t="s">
        <v>18</v>
      </c>
      <c r="F1292" s="394">
        <f>2.74+4.32</f>
        <v>7.0600000000000005</v>
      </c>
      <c r="G1292" s="393">
        <v>1.56</v>
      </c>
      <c r="H1292" s="393"/>
      <c r="I1292" s="393">
        <v>1.76</v>
      </c>
      <c r="J1292" s="393">
        <v>6.73</v>
      </c>
      <c r="K1292" s="394"/>
      <c r="L1292" s="393">
        <f>4.59+3.29</f>
        <v>7.88</v>
      </c>
      <c r="M1292" s="393"/>
      <c r="N1292" s="393">
        <v>4.2300000000000004</v>
      </c>
      <c r="O1292" s="393">
        <v>2</v>
      </c>
      <c r="P1292" s="393">
        <f>3.15+3.99</f>
        <v>7.1400000000000006</v>
      </c>
      <c r="Q1292" s="393">
        <v>3.49</v>
      </c>
      <c r="R1292" s="394">
        <f>3.49+3.39</f>
        <v>6.8800000000000008</v>
      </c>
      <c r="S1292" s="393">
        <v>15.2</v>
      </c>
      <c r="T1292" s="393"/>
      <c r="U1292" s="393"/>
      <c r="V1292" s="393">
        <f>3.49+0.84</f>
        <v>4.33</v>
      </c>
      <c r="W1292" s="394"/>
      <c r="X1292" s="393"/>
      <c r="Y1292" s="393">
        <v>2</v>
      </c>
      <c r="Z1292" s="393">
        <f>3.49+0.75+0.75</f>
        <v>4.99</v>
      </c>
      <c r="AA1292" s="393"/>
      <c r="AB1292" s="393"/>
      <c r="AC1292" s="393">
        <v>3.49</v>
      </c>
      <c r="AD1292" s="394"/>
      <c r="AE1292" s="394"/>
      <c r="AF1292" s="394"/>
      <c r="AG1292" s="394"/>
      <c r="AH1292" s="393">
        <v>19.68</v>
      </c>
      <c r="AI1292" s="394">
        <f>3.15</f>
        <v>3.15</v>
      </c>
      <c r="AJ1292" s="394"/>
      <c r="AK1292" s="395">
        <f t="shared" si="205"/>
        <v>101.57</v>
      </c>
      <c r="AL1292" s="408">
        <f>AK1292</f>
        <v>101.57</v>
      </c>
      <c r="AM1292" s="409"/>
      <c r="AN1292" s="633">
        <f>SUM(AL1292:AM1293)</f>
        <v>101.57</v>
      </c>
    </row>
    <row r="1293" spans="3:40" ht="12.75" x14ac:dyDescent="0.2">
      <c r="C1293" s="580"/>
      <c r="D1293" s="577"/>
      <c r="E1293" s="404" t="s">
        <v>19</v>
      </c>
      <c r="F1293" s="396"/>
      <c r="G1293" s="396"/>
      <c r="H1293" s="404"/>
      <c r="I1293" s="404"/>
      <c r="J1293" s="404"/>
      <c r="K1293" s="396"/>
      <c r="L1293" s="396"/>
      <c r="M1293" s="396"/>
      <c r="N1293" s="396"/>
      <c r="O1293" s="396"/>
      <c r="P1293" s="404"/>
      <c r="Q1293" s="404"/>
      <c r="R1293" s="404"/>
      <c r="S1293" s="404"/>
      <c r="T1293" s="404"/>
      <c r="U1293" s="404"/>
      <c r="V1293" s="404"/>
      <c r="W1293" s="404"/>
      <c r="X1293" s="404"/>
      <c r="Y1293" s="396"/>
      <c r="Z1293" s="404"/>
      <c r="AA1293" s="396"/>
      <c r="AB1293" s="404"/>
      <c r="AC1293" s="396"/>
      <c r="AD1293" s="396"/>
      <c r="AE1293" s="396"/>
      <c r="AF1293" s="396"/>
      <c r="AG1293" s="396"/>
      <c r="AH1293" s="396"/>
      <c r="AI1293" s="396"/>
      <c r="AJ1293" s="396"/>
      <c r="AK1293" s="405">
        <f t="shared" si="205"/>
        <v>0</v>
      </c>
      <c r="AL1293" s="406"/>
      <c r="AM1293" s="407">
        <f>AK1293</f>
        <v>0</v>
      </c>
      <c r="AN1293" s="583"/>
    </row>
    <row r="1294" spans="3:40" ht="12.75" x14ac:dyDescent="0.2">
      <c r="C1294" s="580"/>
      <c r="D1294" s="643" t="s">
        <v>48</v>
      </c>
      <c r="E1294" s="393" t="s">
        <v>18</v>
      </c>
      <c r="F1294" s="394"/>
      <c r="G1294" s="393">
        <v>3.15</v>
      </c>
      <c r="H1294" s="393">
        <v>5.23</v>
      </c>
      <c r="I1294" s="393"/>
      <c r="J1294" s="394"/>
      <c r="K1294" s="393"/>
      <c r="L1294" s="393"/>
      <c r="M1294" s="394"/>
      <c r="N1294" s="394"/>
      <c r="O1294" s="394"/>
      <c r="P1294" s="394"/>
      <c r="Q1294" s="393"/>
      <c r="R1294" s="393">
        <v>5.15</v>
      </c>
      <c r="S1294" s="393"/>
      <c r="T1294" s="393"/>
      <c r="U1294" s="393">
        <v>3.15</v>
      </c>
      <c r="V1294" s="393">
        <v>3.85</v>
      </c>
      <c r="W1294" s="393"/>
      <c r="X1294" s="393">
        <v>5.15</v>
      </c>
      <c r="Y1294" s="393"/>
      <c r="Z1294" s="394"/>
      <c r="AA1294" s="394"/>
      <c r="AB1294" s="393"/>
      <c r="AC1294" s="393">
        <v>3.15</v>
      </c>
      <c r="AD1294" s="393"/>
      <c r="AE1294" s="393">
        <v>3.15</v>
      </c>
      <c r="AF1294" s="394"/>
      <c r="AG1294" s="394"/>
      <c r="AH1294" s="394"/>
      <c r="AI1294" s="394"/>
      <c r="AJ1294" s="394"/>
      <c r="AK1294" s="395">
        <f t="shared" si="205"/>
        <v>31.979999999999997</v>
      </c>
      <c r="AL1294" s="408">
        <f>AK1294</f>
        <v>31.979999999999997</v>
      </c>
      <c r="AM1294" s="409"/>
      <c r="AN1294" s="633">
        <f>SUM(AL1294:AM1295)</f>
        <v>31.979999999999997</v>
      </c>
    </row>
    <row r="1295" spans="3:40" ht="12.75" x14ac:dyDescent="0.2">
      <c r="C1295" s="580"/>
      <c r="D1295" s="577"/>
      <c r="E1295" s="404" t="s">
        <v>19</v>
      </c>
      <c r="F1295" s="396"/>
      <c r="G1295" s="396"/>
      <c r="H1295" s="404"/>
      <c r="I1295" s="396"/>
      <c r="J1295" s="396"/>
      <c r="K1295" s="404"/>
      <c r="L1295" s="404"/>
      <c r="M1295" s="404"/>
      <c r="N1295" s="396"/>
      <c r="O1295" s="396"/>
      <c r="P1295" s="396"/>
      <c r="Q1295" s="404"/>
      <c r="R1295" s="404"/>
      <c r="S1295" s="404"/>
      <c r="T1295" s="404"/>
      <c r="U1295" s="404"/>
      <c r="V1295" s="404"/>
      <c r="W1295" s="404"/>
      <c r="X1295" s="404"/>
      <c r="Y1295" s="396"/>
      <c r="Z1295" s="396"/>
      <c r="AA1295" s="404"/>
      <c r="AB1295" s="404"/>
      <c r="AC1295" s="404"/>
      <c r="AD1295" s="404"/>
      <c r="AE1295" s="404"/>
      <c r="AF1295" s="396"/>
      <c r="AG1295" s="396"/>
      <c r="AH1295" s="396"/>
      <c r="AI1295" s="396"/>
      <c r="AJ1295" s="396"/>
      <c r="AK1295" s="405">
        <f t="shared" si="205"/>
        <v>0</v>
      </c>
      <c r="AL1295" s="406"/>
      <c r="AM1295" s="407">
        <f>AK1295</f>
        <v>0</v>
      </c>
      <c r="AN1295" s="583"/>
    </row>
    <row r="1296" spans="3:40" ht="12.75" x14ac:dyDescent="0.2">
      <c r="C1296" s="580"/>
      <c r="D1296" s="643" t="s">
        <v>49</v>
      </c>
      <c r="E1296" s="393" t="s">
        <v>18</v>
      </c>
      <c r="F1296" s="393"/>
      <c r="G1296" s="393"/>
      <c r="H1296" s="394"/>
      <c r="I1296" s="394"/>
      <c r="J1296" s="393"/>
      <c r="K1296" s="394"/>
      <c r="L1296" s="394"/>
      <c r="M1296" s="393"/>
      <c r="N1296" s="394"/>
      <c r="O1296" s="393"/>
      <c r="P1296" s="393"/>
      <c r="Q1296" s="393"/>
      <c r="R1296" s="393"/>
      <c r="S1296" s="393"/>
      <c r="T1296" s="393"/>
      <c r="U1296" s="393"/>
      <c r="V1296" s="393"/>
      <c r="W1296" s="393"/>
      <c r="X1296" s="394"/>
      <c r="Y1296" s="394"/>
      <c r="Z1296" s="393"/>
      <c r="AA1296" s="393"/>
      <c r="AB1296" s="394"/>
      <c r="AC1296" s="394"/>
      <c r="AD1296" s="394"/>
      <c r="AE1296" s="393"/>
      <c r="AF1296" s="394"/>
      <c r="AG1296" s="394"/>
      <c r="AH1296" s="394"/>
      <c r="AI1296" s="394"/>
      <c r="AJ1296" s="394"/>
      <c r="AK1296" s="395">
        <f t="shared" si="205"/>
        <v>0</v>
      </c>
      <c r="AL1296" s="408">
        <f>AK1296</f>
        <v>0</v>
      </c>
      <c r="AM1296" s="409"/>
      <c r="AN1296" s="635">
        <f>SUM(AL1296:AM1297)</f>
        <v>0</v>
      </c>
    </row>
    <row r="1297" spans="3:40" ht="12.75" x14ac:dyDescent="0.2">
      <c r="C1297" s="580"/>
      <c r="D1297" s="577"/>
      <c r="E1297" s="404" t="s">
        <v>19</v>
      </c>
      <c r="F1297" s="396"/>
      <c r="G1297" s="396"/>
      <c r="H1297" s="404"/>
      <c r="I1297" s="404"/>
      <c r="J1297" s="404"/>
      <c r="K1297" s="404"/>
      <c r="L1297" s="404"/>
      <c r="M1297" s="404"/>
      <c r="N1297" s="404"/>
      <c r="O1297" s="404"/>
      <c r="P1297" s="404"/>
      <c r="Q1297" s="404"/>
      <c r="R1297" s="404"/>
      <c r="S1297" s="404"/>
      <c r="T1297" s="404"/>
      <c r="U1297" s="404"/>
      <c r="V1297" s="404"/>
      <c r="W1297" s="404"/>
      <c r="X1297" s="404"/>
      <c r="Y1297" s="404"/>
      <c r="Z1297" s="404"/>
      <c r="AA1297" s="396"/>
      <c r="AB1297" s="396"/>
      <c r="AC1297" s="396"/>
      <c r="AD1297" s="396"/>
      <c r="AE1297" s="404"/>
      <c r="AF1297" s="396"/>
      <c r="AG1297" s="396"/>
      <c r="AH1297" s="396"/>
      <c r="AI1297" s="396"/>
      <c r="AJ1297" s="396"/>
      <c r="AK1297" s="405">
        <f t="shared" si="205"/>
        <v>0</v>
      </c>
      <c r="AL1297" s="406"/>
      <c r="AM1297" s="407">
        <f>AK1297</f>
        <v>0</v>
      </c>
      <c r="AN1297" s="585"/>
    </row>
    <row r="1298" spans="3:40" ht="12.75" x14ac:dyDescent="0.2">
      <c r="C1298" s="580"/>
      <c r="D1298" s="643" t="s">
        <v>50</v>
      </c>
      <c r="E1298" s="393" t="s">
        <v>18</v>
      </c>
      <c r="F1298" s="393">
        <v>5.6</v>
      </c>
      <c r="G1298" s="393">
        <v>5.6</v>
      </c>
      <c r="H1298" s="393">
        <v>5.6</v>
      </c>
      <c r="I1298" s="393">
        <f>5.6*2</f>
        <v>11.2</v>
      </c>
      <c r="J1298" s="393">
        <v>5.6</v>
      </c>
      <c r="K1298" s="393">
        <v>5.6</v>
      </c>
      <c r="L1298" s="393">
        <v>5.6</v>
      </c>
      <c r="M1298" s="393">
        <v>5.6</v>
      </c>
      <c r="N1298" s="393">
        <v>5.6</v>
      </c>
      <c r="O1298" s="393">
        <v>5.6</v>
      </c>
      <c r="P1298" s="393">
        <f>5.6+5.6</f>
        <v>11.2</v>
      </c>
      <c r="Q1298" s="393">
        <v>5.6</v>
      </c>
      <c r="R1298" s="393">
        <v>5.6</v>
      </c>
      <c r="S1298" s="393">
        <f>5.6*2</f>
        <v>11.2</v>
      </c>
      <c r="T1298" s="393">
        <v>5.6</v>
      </c>
      <c r="U1298" s="393">
        <f>5.6+5.6</f>
        <v>11.2</v>
      </c>
      <c r="V1298" s="393">
        <v>5.6</v>
      </c>
      <c r="W1298" s="393">
        <v>5.6</v>
      </c>
      <c r="X1298" s="393">
        <f>5+5.6</f>
        <v>10.6</v>
      </c>
      <c r="Y1298" s="393">
        <v>5.6</v>
      </c>
      <c r="Z1298" s="393">
        <v>5.6</v>
      </c>
      <c r="AA1298" s="393"/>
      <c r="AB1298" s="393">
        <f>5.6+5.6</f>
        <v>11.2</v>
      </c>
      <c r="AC1298" s="393">
        <v>5.6</v>
      </c>
      <c r="AD1298" s="393">
        <v>5.6</v>
      </c>
      <c r="AE1298" s="393">
        <f>5.6+5.6</f>
        <v>11.2</v>
      </c>
      <c r="AF1298" s="393">
        <v>5.6</v>
      </c>
      <c r="AG1298" s="393">
        <v>5.6</v>
      </c>
      <c r="AH1298" s="393">
        <v>5.6</v>
      </c>
      <c r="AI1298" s="393">
        <v>5.6</v>
      </c>
      <c r="AJ1298" s="394"/>
      <c r="AK1298" s="395">
        <f t="shared" si="205"/>
        <v>200.99999999999991</v>
      </c>
      <c r="AL1298" s="408">
        <f>AK1298</f>
        <v>200.99999999999991</v>
      </c>
      <c r="AM1298" s="409"/>
      <c r="AN1298" s="633">
        <f>SUM(AL1298:AM1299)</f>
        <v>206.59999999999991</v>
      </c>
    </row>
    <row r="1299" spans="3:40" ht="12.75" x14ac:dyDescent="0.2">
      <c r="C1299" s="580"/>
      <c r="D1299" s="577"/>
      <c r="E1299" s="404" t="s">
        <v>19</v>
      </c>
      <c r="F1299" s="404"/>
      <c r="G1299" s="404"/>
      <c r="H1299" s="404"/>
      <c r="I1299" s="404"/>
      <c r="J1299" s="404"/>
      <c r="K1299" s="404"/>
      <c r="L1299" s="404"/>
      <c r="M1299" s="404"/>
      <c r="N1299" s="404"/>
      <c r="O1299" s="404"/>
      <c r="P1299" s="404"/>
      <c r="Q1299" s="404"/>
      <c r="R1299" s="404"/>
      <c r="S1299" s="404"/>
      <c r="T1299" s="404"/>
      <c r="U1299" s="404"/>
      <c r="V1299" s="404"/>
      <c r="W1299" s="404"/>
      <c r="X1299" s="404"/>
      <c r="Y1299" s="404"/>
      <c r="Z1299" s="404"/>
      <c r="AA1299" s="404"/>
      <c r="AB1299" s="404"/>
      <c r="AC1299" s="404"/>
      <c r="AD1299" s="396"/>
      <c r="AE1299" s="396"/>
      <c r="AF1299" s="396"/>
      <c r="AG1299" s="404">
        <v>5.6</v>
      </c>
      <c r="AH1299" s="396"/>
      <c r="AI1299" s="396"/>
      <c r="AJ1299" s="396"/>
      <c r="AK1299" s="405">
        <f t="shared" si="205"/>
        <v>5.6</v>
      </c>
      <c r="AL1299" s="406"/>
      <c r="AM1299" s="407">
        <f>AK1299</f>
        <v>5.6</v>
      </c>
      <c r="AN1299" s="583"/>
    </row>
    <row r="1300" spans="3:40" ht="12.75" x14ac:dyDescent="0.2">
      <c r="C1300" s="580"/>
      <c r="D1300" s="643" t="s">
        <v>1</v>
      </c>
      <c r="E1300" s="393" t="s">
        <v>18</v>
      </c>
      <c r="F1300" s="394"/>
      <c r="G1300" s="394"/>
      <c r="H1300" s="394"/>
      <c r="I1300" s="394"/>
      <c r="J1300" s="393">
        <v>3.39</v>
      </c>
      <c r="K1300" s="393">
        <v>21</v>
      </c>
      <c r="L1300" s="394"/>
      <c r="M1300" s="394"/>
      <c r="N1300" s="394"/>
      <c r="O1300" s="394"/>
      <c r="P1300" s="394"/>
      <c r="Q1300" s="393"/>
      <c r="R1300" s="393"/>
      <c r="S1300" s="393"/>
      <c r="T1300" s="394"/>
      <c r="U1300" s="393">
        <v>15.95</v>
      </c>
      <c r="V1300" s="393">
        <v>2.59</v>
      </c>
      <c r="W1300" s="394">
        <f>17.77-5.6</f>
        <v>12.17</v>
      </c>
      <c r="X1300" s="393"/>
      <c r="Y1300" s="393"/>
      <c r="Z1300" s="393"/>
      <c r="AA1300" s="393"/>
      <c r="AB1300" s="393"/>
      <c r="AC1300" s="393"/>
      <c r="AD1300" s="394"/>
      <c r="AE1300" s="394"/>
      <c r="AF1300" s="393">
        <v>3.19</v>
      </c>
      <c r="AG1300" s="394"/>
      <c r="AH1300" s="394"/>
      <c r="AI1300" s="394"/>
      <c r="AJ1300" s="394"/>
      <c r="AK1300" s="395">
        <f t="shared" si="205"/>
        <v>58.290000000000006</v>
      </c>
      <c r="AL1300" s="403">
        <f>AK1300</f>
        <v>58.290000000000006</v>
      </c>
      <c r="AM1300" s="396"/>
      <c r="AN1300" s="633">
        <f>SUM(AL1300:AM1301)</f>
        <v>58.290000000000006</v>
      </c>
    </row>
    <row r="1301" spans="3:40" ht="12.75" x14ac:dyDescent="0.2">
      <c r="C1301" s="580"/>
      <c r="D1301" s="577"/>
      <c r="E1301" s="404" t="s">
        <v>19</v>
      </c>
      <c r="F1301" s="396"/>
      <c r="G1301" s="396"/>
      <c r="H1301" s="404"/>
      <c r="I1301" s="396"/>
      <c r="J1301" s="396"/>
      <c r="K1301" s="396"/>
      <c r="L1301" s="396"/>
      <c r="M1301" s="396"/>
      <c r="N1301" s="396"/>
      <c r="O1301" s="396"/>
      <c r="P1301" s="396"/>
      <c r="Q1301" s="404"/>
      <c r="R1301" s="404"/>
      <c r="S1301" s="404"/>
      <c r="T1301" s="396"/>
      <c r="U1301" s="404"/>
      <c r="V1301" s="404"/>
      <c r="W1301" s="396"/>
      <c r="X1301" s="404"/>
      <c r="Y1301" s="404"/>
      <c r="Z1301" s="404"/>
      <c r="AA1301" s="404"/>
      <c r="AB1301" s="404"/>
      <c r="AC1301" s="404"/>
      <c r="AD1301" s="396"/>
      <c r="AE1301" s="396"/>
      <c r="AF1301" s="396"/>
      <c r="AG1301" s="396"/>
      <c r="AH1301" s="396"/>
      <c r="AI1301" s="396"/>
      <c r="AJ1301" s="396"/>
      <c r="AK1301" s="405">
        <f t="shared" si="205"/>
        <v>0</v>
      </c>
      <c r="AL1301" s="403"/>
      <c r="AM1301" s="396">
        <f>AK1301</f>
        <v>0</v>
      </c>
      <c r="AN1301" s="583"/>
    </row>
    <row r="1302" spans="3:40" ht="12.75" x14ac:dyDescent="0.2">
      <c r="C1302" s="580"/>
      <c r="D1302" s="643" t="s">
        <v>78</v>
      </c>
      <c r="E1302" s="393" t="s">
        <v>18</v>
      </c>
      <c r="F1302" s="394"/>
      <c r="G1302" s="394"/>
      <c r="H1302" s="394"/>
      <c r="I1302" s="394"/>
      <c r="J1302" s="394"/>
      <c r="K1302" s="394"/>
      <c r="L1302" s="393"/>
      <c r="M1302" s="394"/>
      <c r="N1302" s="394"/>
      <c r="O1302" s="393"/>
      <c r="P1302" s="393"/>
      <c r="Q1302" s="394"/>
      <c r="R1302" s="394"/>
      <c r="S1302" s="394"/>
      <c r="T1302" s="394"/>
      <c r="U1302" s="394"/>
      <c r="V1302" s="394"/>
      <c r="W1302" s="393"/>
      <c r="X1302" s="393"/>
      <c r="Y1302" s="393"/>
      <c r="Z1302" s="394"/>
      <c r="AA1302" s="394"/>
      <c r="AB1302" s="394"/>
      <c r="AC1302" s="394"/>
      <c r="AD1302" s="394"/>
      <c r="AE1302" s="394"/>
      <c r="AF1302" s="394"/>
      <c r="AG1302" s="394"/>
      <c r="AH1302" s="394"/>
      <c r="AI1302" s="394"/>
      <c r="AJ1302" s="394"/>
      <c r="AK1302" s="395">
        <f t="shared" si="205"/>
        <v>0</v>
      </c>
      <c r="AL1302" s="408">
        <f>AK1302</f>
        <v>0</v>
      </c>
      <c r="AM1302" s="409"/>
      <c r="AN1302" s="634">
        <f>SUM(AL1302:AM1303)</f>
        <v>0</v>
      </c>
    </row>
    <row r="1303" spans="3:40" ht="12.75" x14ac:dyDescent="0.2">
      <c r="C1303" s="580"/>
      <c r="D1303" s="577"/>
      <c r="E1303" s="404" t="s">
        <v>19</v>
      </c>
      <c r="F1303" s="396"/>
      <c r="G1303" s="396"/>
      <c r="H1303" s="396"/>
      <c r="I1303" s="396"/>
      <c r="J1303" s="396"/>
      <c r="K1303" s="396"/>
      <c r="L1303" s="396"/>
      <c r="M1303" s="396"/>
      <c r="N1303" s="396"/>
      <c r="O1303" s="396"/>
      <c r="P1303" s="396"/>
      <c r="Q1303" s="396"/>
      <c r="R1303" s="396"/>
      <c r="S1303" s="396"/>
      <c r="T1303" s="396"/>
      <c r="U1303" s="396"/>
      <c r="V1303" s="396"/>
      <c r="W1303" s="396"/>
      <c r="X1303" s="396"/>
      <c r="Y1303" s="396"/>
      <c r="Z1303" s="396"/>
      <c r="AA1303" s="396"/>
      <c r="AB1303" s="396"/>
      <c r="AC1303" s="396"/>
      <c r="AD1303" s="396"/>
      <c r="AE1303" s="396"/>
      <c r="AF1303" s="396"/>
      <c r="AG1303" s="396"/>
      <c r="AH1303" s="396"/>
      <c r="AI1303" s="396"/>
      <c r="AJ1303" s="396"/>
      <c r="AK1303" s="405">
        <f t="shared" si="205"/>
        <v>0</v>
      </c>
      <c r="AL1303" s="406"/>
      <c r="AM1303" s="407">
        <f>AK1303</f>
        <v>0</v>
      </c>
      <c r="AN1303" s="583"/>
    </row>
    <row r="1304" spans="3:40" ht="12.75" x14ac:dyDescent="0.2">
      <c r="C1304" s="580"/>
      <c r="D1304" s="643" t="s">
        <v>52</v>
      </c>
      <c r="E1304" s="393" t="s">
        <v>18</v>
      </c>
      <c r="F1304" s="394"/>
      <c r="G1304" s="394"/>
      <c r="H1304" s="394"/>
      <c r="I1304" s="394"/>
      <c r="J1304" s="394"/>
      <c r="K1304" s="394"/>
      <c r="L1304" s="394"/>
      <c r="M1304" s="394"/>
      <c r="N1304" s="394"/>
      <c r="O1304" s="394"/>
      <c r="P1304" s="394"/>
      <c r="Q1304" s="394"/>
      <c r="R1304" s="394"/>
      <c r="S1304" s="394"/>
      <c r="T1304" s="394"/>
      <c r="U1304" s="394"/>
      <c r="V1304" s="394"/>
      <c r="W1304" s="394"/>
      <c r="X1304" s="394"/>
      <c r="Y1304" s="393"/>
      <c r="Z1304" s="393"/>
      <c r="AA1304" s="394"/>
      <c r="AB1304" s="394"/>
      <c r="AC1304" s="394"/>
      <c r="AD1304" s="394"/>
      <c r="AE1304" s="394"/>
      <c r="AF1304" s="394"/>
      <c r="AG1304" s="394"/>
      <c r="AH1304" s="394"/>
      <c r="AI1304" s="394"/>
      <c r="AJ1304" s="414"/>
      <c r="AK1304" s="395">
        <f t="shared" si="205"/>
        <v>0</v>
      </c>
      <c r="AL1304" s="408">
        <f>AK1304</f>
        <v>0</v>
      </c>
      <c r="AM1304" s="409"/>
      <c r="AN1304" s="633">
        <f>SUM(AL1304:AM1305)</f>
        <v>0</v>
      </c>
    </row>
    <row r="1305" spans="3:40" ht="12.75" x14ac:dyDescent="0.2">
      <c r="C1305" s="581"/>
      <c r="D1305" s="585"/>
      <c r="E1305" s="404" t="s">
        <v>19</v>
      </c>
      <c r="F1305" s="396"/>
      <c r="G1305" s="396"/>
      <c r="H1305" s="396"/>
      <c r="I1305" s="396"/>
      <c r="J1305" s="396"/>
      <c r="K1305" s="396"/>
      <c r="L1305" s="396"/>
      <c r="M1305" s="396"/>
      <c r="N1305" s="396"/>
      <c r="O1305" s="396"/>
      <c r="P1305" s="396"/>
      <c r="Q1305" s="396"/>
      <c r="R1305" s="396"/>
      <c r="S1305" s="396"/>
      <c r="T1305" s="396"/>
      <c r="U1305" s="396"/>
      <c r="V1305" s="396"/>
      <c r="W1305" s="396"/>
      <c r="X1305" s="396"/>
      <c r="Y1305" s="404"/>
      <c r="Z1305" s="404"/>
      <c r="AA1305" s="396"/>
      <c r="AB1305" s="396"/>
      <c r="AC1305" s="396"/>
      <c r="AD1305" s="396"/>
      <c r="AE1305" s="396"/>
      <c r="AF1305" s="396"/>
      <c r="AG1305" s="396"/>
      <c r="AH1305" s="396"/>
      <c r="AI1305" s="396"/>
      <c r="AJ1305" s="415"/>
      <c r="AK1305" s="405">
        <f t="shared" si="205"/>
        <v>0</v>
      </c>
      <c r="AL1305" s="406"/>
      <c r="AM1305" s="407">
        <f>AK1305</f>
        <v>0</v>
      </c>
      <c r="AN1305" s="583"/>
    </row>
    <row r="1306" spans="3:40" ht="12.75" x14ac:dyDescent="0.2">
      <c r="C1306" s="629" t="s">
        <v>53</v>
      </c>
      <c r="D1306" s="416" t="s">
        <v>54</v>
      </c>
      <c r="E1306" s="411" t="s">
        <v>18</v>
      </c>
      <c r="F1306" s="412"/>
      <c r="G1306" s="412"/>
      <c r="H1306" s="412"/>
      <c r="I1306" s="412"/>
      <c r="J1306" s="412"/>
      <c r="K1306" s="411"/>
      <c r="L1306" s="412"/>
      <c r="M1306" s="412"/>
      <c r="N1306" s="412"/>
      <c r="O1306" s="412"/>
      <c r="P1306" s="412"/>
      <c r="Q1306" s="412"/>
      <c r="R1306" s="412"/>
      <c r="S1306" s="412"/>
      <c r="T1306" s="412"/>
      <c r="U1306" s="412"/>
      <c r="V1306" s="412"/>
      <c r="W1306" s="412"/>
      <c r="X1306" s="412"/>
      <c r="Y1306" s="412"/>
      <c r="Z1306" s="412"/>
      <c r="AA1306" s="412"/>
      <c r="AB1306" s="412"/>
      <c r="AC1306" s="412"/>
      <c r="AD1306" s="412"/>
      <c r="AE1306" s="412"/>
      <c r="AF1306" s="412"/>
      <c r="AG1306" s="412"/>
      <c r="AH1306" s="412"/>
      <c r="AI1306" s="412"/>
      <c r="AJ1306" s="417"/>
      <c r="AK1306" s="395">
        <f t="shared" si="205"/>
        <v>0</v>
      </c>
      <c r="AL1306" s="394">
        <f t="shared" ref="AL1306:AL1308" si="208">AK1306</f>
        <v>0</v>
      </c>
      <c r="AM1306" s="396"/>
      <c r="AN1306" s="374">
        <f t="shared" ref="AN1306:AN1307" si="209">AL1306</f>
        <v>0</v>
      </c>
    </row>
    <row r="1307" spans="3:40" ht="12.75" x14ac:dyDescent="0.2">
      <c r="C1307" s="580"/>
      <c r="D1307" s="402" t="s">
        <v>55</v>
      </c>
      <c r="E1307" s="393" t="s">
        <v>18</v>
      </c>
      <c r="F1307" s="394"/>
      <c r="G1307" s="394"/>
      <c r="H1307" s="394"/>
      <c r="I1307" s="394"/>
      <c r="J1307" s="394"/>
      <c r="K1307" s="394"/>
      <c r="L1307" s="394"/>
      <c r="M1307" s="394"/>
      <c r="N1307" s="394"/>
      <c r="O1307" s="394"/>
      <c r="P1307" s="394"/>
      <c r="Q1307" s="394"/>
      <c r="R1307" s="394"/>
      <c r="S1307" s="394"/>
      <c r="T1307" s="394"/>
      <c r="U1307" s="393"/>
      <c r="V1307" s="393"/>
      <c r="W1307" s="394"/>
      <c r="X1307" s="394"/>
      <c r="Y1307" s="394"/>
      <c r="Z1307" s="394"/>
      <c r="AA1307" s="394"/>
      <c r="AB1307" s="394"/>
      <c r="AC1307" s="394"/>
      <c r="AD1307" s="394"/>
      <c r="AE1307" s="394"/>
      <c r="AF1307" s="394"/>
      <c r="AG1307" s="394"/>
      <c r="AH1307" s="394"/>
      <c r="AI1307" s="394"/>
      <c r="AJ1307" s="414"/>
      <c r="AK1307" s="395">
        <f t="shared" si="205"/>
        <v>0</v>
      </c>
      <c r="AL1307" s="394">
        <f t="shared" si="208"/>
        <v>0</v>
      </c>
      <c r="AM1307" s="396"/>
      <c r="AN1307" s="374">
        <f t="shared" si="209"/>
        <v>0</v>
      </c>
    </row>
    <row r="1308" spans="3:40" ht="12.75" x14ac:dyDescent="0.2">
      <c r="C1308" s="580"/>
      <c r="D1308" s="643" t="s">
        <v>56</v>
      </c>
      <c r="E1308" s="393" t="s">
        <v>18</v>
      </c>
      <c r="F1308" s="394"/>
      <c r="G1308" s="394"/>
      <c r="H1308" s="393"/>
      <c r="I1308" s="394"/>
      <c r="J1308" s="394"/>
      <c r="K1308" s="394"/>
      <c r="L1308" s="394"/>
      <c r="M1308" s="394"/>
      <c r="N1308" s="394"/>
      <c r="O1308" s="394"/>
      <c r="P1308" s="394"/>
      <c r="Q1308" s="394"/>
      <c r="R1308" s="394"/>
      <c r="S1308" s="394"/>
      <c r="T1308" s="393"/>
      <c r="U1308" s="393">
        <v>3.59</v>
      </c>
      <c r="V1308" s="394"/>
      <c r="W1308" s="394"/>
      <c r="X1308" s="394"/>
      <c r="Y1308" s="394"/>
      <c r="Z1308" s="394"/>
      <c r="AA1308" s="394"/>
      <c r="AB1308" s="394"/>
      <c r="AC1308" s="394"/>
      <c r="AD1308" s="394"/>
      <c r="AE1308" s="394"/>
      <c r="AF1308" s="394"/>
      <c r="AG1308" s="394"/>
      <c r="AH1308" s="394"/>
      <c r="AI1308" s="394"/>
      <c r="AJ1308" s="414"/>
      <c r="AK1308" s="395">
        <f t="shared" si="205"/>
        <v>3.59</v>
      </c>
      <c r="AL1308" s="408">
        <f t="shared" si="208"/>
        <v>3.59</v>
      </c>
      <c r="AM1308" s="409"/>
      <c r="AN1308" s="633">
        <f>SUM(AL1308:AM1309)</f>
        <v>3.59</v>
      </c>
    </row>
    <row r="1309" spans="3:40" ht="12.75" x14ac:dyDescent="0.2">
      <c r="C1309" s="580"/>
      <c r="D1309" s="577"/>
      <c r="E1309" s="404" t="s">
        <v>19</v>
      </c>
      <c r="F1309" s="396"/>
      <c r="G1309" s="396"/>
      <c r="H1309" s="396"/>
      <c r="I1309" s="396"/>
      <c r="J1309" s="396"/>
      <c r="K1309" s="396"/>
      <c r="L1309" s="396"/>
      <c r="M1309" s="396"/>
      <c r="N1309" s="396"/>
      <c r="O1309" s="396"/>
      <c r="P1309" s="396"/>
      <c r="Q1309" s="396"/>
      <c r="R1309" s="396"/>
      <c r="S1309" s="396"/>
      <c r="T1309" s="396"/>
      <c r="U1309" s="396"/>
      <c r="V1309" s="396"/>
      <c r="W1309" s="396"/>
      <c r="X1309" s="396"/>
      <c r="Y1309" s="396"/>
      <c r="Z1309" s="396"/>
      <c r="AA1309" s="396"/>
      <c r="AB1309" s="396"/>
      <c r="AC1309" s="396"/>
      <c r="AD1309" s="396"/>
      <c r="AE1309" s="396"/>
      <c r="AF1309" s="396"/>
      <c r="AG1309" s="396"/>
      <c r="AH1309" s="396"/>
      <c r="AI1309" s="396"/>
      <c r="AJ1309" s="415"/>
      <c r="AK1309" s="405">
        <f t="shared" si="205"/>
        <v>0</v>
      </c>
      <c r="AL1309" s="406"/>
      <c r="AM1309" s="407">
        <f>AK1309</f>
        <v>0</v>
      </c>
      <c r="AN1309" s="583"/>
    </row>
    <row r="1310" spans="3:40" ht="12.75" x14ac:dyDescent="0.2">
      <c r="C1310" s="580"/>
      <c r="D1310" s="643" t="s">
        <v>57</v>
      </c>
      <c r="E1310" s="393" t="s">
        <v>18</v>
      </c>
      <c r="F1310" s="394"/>
      <c r="G1310" s="394"/>
      <c r="H1310" s="394"/>
      <c r="I1310" s="394"/>
      <c r="J1310" s="394"/>
      <c r="K1310" s="394"/>
      <c r="L1310" s="394"/>
      <c r="M1310" s="393"/>
      <c r="N1310" s="394"/>
      <c r="O1310" s="394"/>
      <c r="P1310" s="394"/>
      <c r="Q1310" s="394"/>
      <c r="R1310" s="394"/>
      <c r="S1310" s="394"/>
      <c r="T1310" s="393"/>
      <c r="U1310" s="394"/>
      <c r="V1310" s="394"/>
      <c r="W1310" s="394"/>
      <c r="X1310" s="394"/>
      <c r="Y1310" s="393">
        <v>7.09</v>
      </c>
      <c r="Z1310" s="394"/>
      <c r="AA1310" s="394"/>
      <c r="AB1310" s="394"/>
      <c r="AC1310" s="394"/>
      <c r="AD1310" s="394"/>
      <c r="AE1310" s="394"/>
      <c r="AF1310" s="394"/>
      <c r="AG1310" s="394"/>
      <c r="AH1310" s="394"/>
      <c r="AI1310" s="394"/>
      <c r="AJ1310" s="414"/>
      <c r="AK1310" s="395">
        <f t="shared" si="205"/>
        <v>7.09</v>
      </c>
      <c r="AL1310" s="408">
        <f>AK1310</f>
        <v>7.09</v>
      </c>
      <c r="AM1310" s="409"/>
      <c r="AN1310" s="633">
        <f>SUM(AL1310:AM1311)</f>
        <v>7.09</v>
      </c>
    </row>
    <row r="1311" spans="3:40" ht="12.75" x14ac:dyDescent="0.2">
      <c r="C1311" s="581"/>
      <c r="D1311" s="585"/>
      <c r="E1311" s="410" t="s">
        <v>19</v>
      </c>
      <c r="F1311" s="407"/>
      <c r="G1311" s="407"/>
      <c r="H1311" s="407"/>
      <c r="I1311" s="407"/>
      <c r="J1311" s="407"/>
      <c r="K1311" s="407"/>
      <c r="L1311" s="407"/>
      <c r="M1311" s="407"/>
      <c r="N1311" s="407"/>
      <c r="O1311" s="407"/>
      <c r="P1311" s="407"/>
      <c r="Q1311" s="407"/>
      <c r="R1311" s="407"/>
      <c r="S1311" s="407"/>
      <c r="T1311" s="410"/>
      <c r="U1311" s="407"/>
      <c r="V1311" s="407"/>
      <c r="W1311" s="407"/>
      <c r="X1311" s="407"/>
      <c r="Y1311" s="407"/>
      <c r="Z1311" s="407"/>
      <c r="AA1311" s="407"/>
      <c r="AB1311" s="407"/>
      <c r="AC1311" s="407"/>
      <c r="AD1311" s="407"/>
      <c r="AE1311" s="407"/>
      <c r="AF1311" s="407"/>
      <c r="AG1311" s="407"/>
      <c r="AH1311" s="407"/>
      <c r="AI1311" s="407"/>
      <c r="AJ1311" s="418"/>
      <c r="AK1311" s="405">
        <f t="shared" si="205"/>
        <v>0</v>
      </c>
      <c r="AL1311" s="406"/>
      <c r="AM1311" s="407">
        <f>AK1311</f>
        <v>0</v>
      </c>
      <c r="AN1311" s="583"/>
    </row>
    <row r="1312" spans="3:40" ht="12.75" x14ac:dyDescent="0.2">
      <c r="C1312" s="629" t="s">
        <v>58</v>
      </c>
      <c r="D1312" s="644" t="s">
        <v>59</v>
      </c>
      <c r="E1312" s="411" t="s">
        <v>18</v>
      </c>
      <c r="F1312" s="412"/>
      <c r="G1312" s="412"/>
      <c r="H1312" s="412"/>
      <c r="I1312" s="412"/>
      <c r="J1312" s="412"/>
      <c r="K1312" s="412"/>
      <c r="L1312" s="412"/>
      <c r="M1312" s="411"/>
      <c r="N1312" s="412"/>
      <c r="O1312" s="412"/>
      <c r="P1312" s="412"/>
      <c r="Q1312" s="412"/>
      <c r="R1312" s="412"/>
      <c r="S1312" s="411"/>
      <c r="T1312" s="412"/>
      <c r="U1312" s="412"/>
      <c r="V1312" s="412"/>
      <c r="W1312" s="412"/>
      <c r="X1312" s="411"/>
      <c r="Y1312" s="411">
        <v>25</v>
      </c>
      <c r="Z1312" s="412"/>
      <c r="AA1312" s="412"/>
      <c r="AB1312" s="412"/>
      <c r="AC1312" s="412"/>
      <c r="AD1312" s="412"/>
      <c r="AE1312" s="412"/>
      <c r="AF1312" s="412"/>
      <c r="AG1312" s="412"/>
      <c r="AH1312" s="412"/>
      <c r="AI1312" s="412"/>
      <c r="AJ1312" s="417"/>
      <c r="AK1312" s="395">
        <f t="shared" si="205"/>
        <v>25</v>
      </c>
      <c r="AL1312" s="408">
        <f>AK1312</f>
        <v>25</v>
      </c>
      <c r="AM1312" s="409"/>
      <c r="AN1312" s="633">
        <f>SUM(AL1312:AM1313)</f>
        <v>25</v>
      </c>
    </row>
    <row r="1313" spans="3:45" ht="12.75" x14ac:dyDescent="0.2">
      <c r="C1313" s="580"/>
      <c r="D1313" s="577"/>
      <c r="E1313" s="404" t="s">
        <v>19</v>
      </c>
      <c r="F1313" s="396"/>
      <c r="G1313" s="396"/>
      <c r="H1313" s="396"/>
      <c r="I1313" s="396"/>
      <c r="J1313" s="396"/>
      <c r="K1313" s="404"/>
      <c r="L1313" s="396"/>
      <c r="M1313" s="396"/>
      <c r="N1313" s="396"/>
      <c r="O1313" s="404"/>
      <c r="P1313" s="396"/>
      <c r="Q1313" s="396"/>
      <c r="R1313" s="396"/>
      <c r="S1313" s="396"/>
      <c r="T1313" s="396"/>
      <c r="U1313" s="396"/>
      <c r="V1313" s="396"/>
      <c r="W1313" s="404"/>
      <c r="X1313" s="396"/>
      <c r="Y1313" s="396"/>
      <c r="Z1313" s="396"/>
      <c r="AA1313" s="396"/>
      <c r="AB1313" s="396"/>
      <c r="AC1313" s="396"/>
      <c r="AD1313" s="396"/>
      <c r="AE1313" s="396"/>
      <c r="AF1313" s="396"/>
      <c r="AG1313" s="396"/>
      <c r="AH1313" s="396"/>
      <c r="AI1313" s="396"/>
      <c r="AJ1313" s="415"/>
      <c r="AK1313" s="405">
        <f t="shared" si="205"/>
        <v>0</v>
      </c>
      <c r="AL1313" s="406"/>
      <c r="AM1313" s="407">
        <f>AK1313</f>
        <v>0</v>
      </c>
      <c r="AN1313" s="583"/>
    </row>
    <row r="1314" spans="3:45" ht="12.75" x14ac:dyDescent="0.2">
      <c r="C1314" s="580"/>
      <c r="D1314" s="643" t="s">
        <v>60</v>
      </c>
      <c r="E1314" s="393" t="s">
        <v>18</v>
      </c>
      <c r="F1314" s="394"/>
      <c r="G1314" s="394"/>
      <c r="H1314" s="394"/>
      <c r="I1314" s="394"/>
      <c r="J1314" s="394"/>
      <c r="K1314" s="393"/>
      <c r="L1314" s="394"/>
      <c r="M1314" s="394"/>
      <c r="N1314" s="394"/>
      <c r="O1314" s="394"/>
      <c r="P1314" s="394"/>
      <c r="Q1314" s="394"/>
      <c r="R1314" s="394"/>
      <c r="S1314" s="393">
        <v>17.53</v>
      </c>
      <c r="T1314" s="394"/>
      <c r="U1314" s="394"/>
      <c r="V1314" s="394"/>
      <c r="W1314" s="394"/>
      <c r="X1314" s="394"/>
      <c r="Y1314" s="394"/>
      <c r="Z1314" s="394"/>
      <c r="AA1314" s="394"/>
      <c r="AB1314" s="394"/>
      <c r="AC1314" s="394"/>
      <c r="AD1314" s="394"/>
      <c r="AE1314" s="394"/>
      <c r="AF1314" s="394"/>
      <c r="AG1314" s="394"/>
      <c r="AH1314" s="394"/>
      <c r="AI1314" s="394"/>
      <c r="AJ1314" s="414"/>
      <c r="AK1314" s="395">
        <f t="shared" si="205"/>
        <v>17.53</v>
      </c>
      <c r="AL1314" s="403">
        <f>AK1314</f>
        <v>17.53</v>
      </c>
      <c r="AM1314" s="396"/>
      <c r="AN1314" s="633">
        <f>SUM(AL1314:AM1315)</f>
        <v>17.53</v>
      </c>
    </row>
    <row r="1315" spans="3:45" ht="12.75" x14ac:dyDescent="0.2">
      <c r="C1315" s="580"/>
      <c r="D1315" s="577"/>
      <c r="E1315" s="404" t="s">
        <v>19</v>
      </c>
      <c r="F1315" s="396"/>
      <c r="G1315" s="396"/>
      <c r="H1315" s="396"/>
      <c r="I1315" s="396"/>
      <c r="J1315" s="396"/>
      <c r="K1315" s="404"/>
      <c r="L1315" s="396"/>
      <c r="M1315" s="396"/>
      <c r="N1315" s="396"/>
      <c r="O1315" s="396"/>
      <c r="P1315" s="396"/>
      <c r="Q1315" s="404"/>
      <c r="R1315" s="396"/>
      <c r="S1315" s="396"/>
      <c r="T1315" s="396"/>
      <c r="U1315" s="396"/>
      <c r="V1315" s="396"/>
      <c r="W1315" s="396"/>
      <c r="X1315" s="396"/>
      <c r="Y1315" s="396"/>
      <c r="Z1315" s="396"/>
      <c r="AA1315" s="396"/>
      <c r="AB1315" s="396"/>
      <c r="AC1315" s="396"/>
      <c r="AD1315" s="396"/>
      <c r="AE1315" s="396"/>
      <c r="AF1315" s="396"/>
      <c r="AG1315" s="396"/>
      <c r="AH1315" s="396"/>
      <c r="AI1315" s="396"/>
      <c r="AJ1315" s="415"/>
      <c r="AK1315" s="405">
        <f t="shared" si="205"/>
        <v>0</v>
      </c>
      <c r="AL1315" s="403"/>
      <c r="AM1315" s="396">
        <f>AK1315</f>
        <v>0</v>
      </c>
      <c r="AN1315" s="583"/>
    </row>
    <row r="1316" spans="3:45" ht="12.75" x14ac:dyDescent="0.2">
      <c r="C1316" s="580"/>
      <c r="D1316" s="643" t="s">
        <v>61</v>
      </c>
      <c r="E1316" s="393" t="s">
        <v>18</v>
      </c>
      <c r="F1316" s="394"/>
      <c r="G1316" s="394"/>
      <c r="H1316" s="394"/>
      <c r="I1316" s="394"/>
      <c r="J1316" s="394"/>
      <c r="K1316" s="394"/>
      <c r="L1316" s="394"/>
      <c r="M1316" s="394">
        <f>14+23+24+36+42</f>
        <v>139</v>
      </c>
      <c r="N1316" s="394"/>
      <c r="O1316" s="394"/>
      <c r="P1316" s="394"/>
      <c r="Q1316" s="394"/>
      <c r="R1316" s="394"/>
      <c r="S1316" s="394"/>
      <c r="T1316" s="394"/>
      <c r="U1316" s="394"/>
      <c r="V1316" s="394"/>
      <c r="W1316" s="394"/>
      <c r="X1316" s="394"/>
      <c r="Y1316" s="394"/>
      <c r="Z1316" s="394"/>
      <c r="AA1316" s="394"/>
      <c r="AB1316" s="394"/>
      <c r="AC1316" s="394"/>
      <c r="AD1316" s="394"/>
      <c r="AE1316" s="394"/>
      <c r="AF1316" s="393"/>
      <c r="AG1316" s="394"/>
      <c r="AH1316" s="394"/>
      <c r="AI1316" s="394"/>
      <c r="AJ1316" s="414"/>
      <c r="AK1316" s="414">
        <f t="shared" si="205"/>
        <v>139</v>
      </c>
      <c r="AL1316" s="408">
        <f>AK1316</f>
        <v>139</v>
      </c>
      <c r="AM1316" s="409"/>
      <c r="AN1316" s="633">
        <f>SUM(AL1316:AM1317)</f>
        <v>139</v>
      </c>
    </row>
    <row r="1317" spans="3:45" ht="12.75" x14ac:dyDescent="0.2">
      <c r="C1317" s="580"/>
      <c r="D1317" s="577"/>
      <c r="E1317" s="404" t="s">
        <v>19</v>
      </c>
      <c r="F1317" s="396"/>
      <c r="G1317" s="396"/>
      <c r="H1317" s="396"/>
      <c r="I1317" s="396"/>
      <c r="J1317" s="396"/>
      <c r="K1317" s="396"/>
      <c r="L1317" s="396"/>
      <c r="M1317" s="396"/>
      <c r="N1317" s="396"/>
      <c r="O1317" s="396"/>
      <c r="P1317" s="396"/>
      <c r="Q1317" s="396"/>
      <c r="R1317" s="396"/>
      <c r="S1317" s="396"/>
      <c r="T1317" s="396"/>
      <c r="U1317" s="396"/>
      <c r="V1317" s="396"/>
      <c r="W1317" s="404"/>
      <c r="X1317" s="396"/>
      <c r="Y1317" s="404"/>
      <c r="Z1317" s="396"/>
      <c r="AA1317" s="396"/>
      <c r="AB1317" s="396"/>
      <c r="AC1317" s="396"/>
      <c r="AD1317" s="396"/>
      <c r="AE1317" s="396"/>
      <c r="AF1317" s="396"/>
      <c r="AG1317" s="396"/>
      <c r="AH1317" s="396"/>
      <c r="AI1317" s="396"/>
      <c r="AJ1317" s="415"/>
      <c r="AK1317" s="415">
        <f t="shared" si="205"/>
        <v>0</v>
      </c>
      <c r="AL1317" s="406"/>
      <c r="AM1317" s="407">
        <f>AK1317</f>
        <v>0</v>
      </c>
      <c r="AN1317" s="583"/>
    </row>
    <row r="1318" spans="3:45" ht="12.75" x14ac:dyDescent="0.2">
      <c r="C1318" s="580"/>
      <c r="D1318" s="643" t="s">
        <v>62</v>
      </c>
      <c r="E1318" s="393" t="s">
        <v>18</v>
      </c>
      <c r="F1318" s="394"/>
      <c r="G1318" s="394"/>
      <c r="H1318" s="394"/>
      <c r="I1318" s="393">
        <v>10</v>
      </c>
      <c r="J1318" s="394"/>
      <c r="K1318" s="394"/>
      <c r="L1318" s="394"/>
      <c r="M1318" s="394"/>
      <c r="N1318" s="393">
        <v>10</v>
      </c>
      <c r="O1318" s="394"/>
      <c r="P1318" s="394"/>
      <c r="Q1318" s="393">
        <v>10</v>
      </c>
      <c r="R1318" s="394"/>
      <c r="S1318" s="394"/>
      <c r="T1318" s="394"/>
      <c r="U1318" s="394"/>
      <c r="V1318" s="393">
        <v>10</v>
      </c>
      <c r="W1318" s="393"/>
      <c r="X1318" s="393">
        <v>10</v>
      </c>
      <c r="Y1318" s="393"/>
      <c r="Z1318" s="394"/>
      <c r="AA1318" s="394"/>
      <c r="AB1318" s="394"/>
      <c r="AC1318" s="393">
        <v>10</v>
      </c>
      <c r="AD1318" s="394"/>
      <c r="AE1318" s="394"/>
      <c r="AF1318" s="393">
        <v>10</v>
      </c>
      <c r="AG1318" s="394"/>
      <c r="AH1318" s="394"/>
      <c r="AI1318" s="393">
        <v>10</v>
      </c>
      <c r="AJ1318" s="414"/>
      <c r="AK1318" s="414">
        <f t="shared" si="205"/>
        <v>80</v>
      </c>
      <c r="AL1318" s="408">
        <f>AK1318</f>
        <v>80</v>
      </c>
      <c r="AM1318" s="409"/>
      <c r="AN1318" s="633">
        <f>SUM(AL1318:AM1319)</f>
        <v>80</v>
      </c>
    </row>
    <row r="1319" spans="3:45" ht="12.75" x14ac:dyDescent="0.2">
      <c r="C1319" s="581"/>
      <c r="D1319" s="577"/>
      <c r="E1319" s="404" t="s">
        <v>19</v>
      </c>
      <c r="F1319" s="396"/>
      <c r="G1319" s="396"/>
      <c r="H1319" s="396"/>
      <c r="I1319" s="396"/>
      <c r="J1319" s="396"/>
      <c r="K1319" s="396"/>
      <c r="L1319" s="396"/>
      <c r="M1319" s="396"/>
      <c r="N1319" s="396"/>
      <c r="O1319" s="396"/>
      <c r="P1319" s="396"/>
      <c r="Q1319" s="396"/>
      <c r="R1319" s="396"/>
      <c r="S1319" s="396"/>
      <c r="T1319" s="396"/>
      <c r="U1319" s="396"/>
      <c r="V1319" s="396"/>
      <c r="W1319" s="404"/>
      <c r="X1319" s="396"/>
      <c r="Y1319" s="404"/>
      <c r="Z1319" s="396"/>
      <c r="AA1319" s="396"/>
      <c r="AB1319" s="396"/>
      <c r="AC1319" s="396"/>
      <c r="AD1319" s="396"/>
      <c r="AE1319" s="396"/>
      <c r="AF1319" s="396"/>
      <c r="AG1319" s="396"/>
      <c r="AH1319" s="396"/>
      <c r="AI1319" s="396"/>
      <c r="AJ1319" s="415"/>
      <c r="AK1319" s="415">
        <f t="shared" si="205"/>
        <v>0</v>
      </c>
      <c r="AL1319" s="406"/>
      <c r="AM1319" s="407">
        <f>AK1319</f>
        <v>0</v>
      </c>
      <c r="AN1319" s="583"/>
    </row>
    <row r="1320" spans="3:45" ht="12.75" x14ac:dyDescent="0.2">
      <c r="C1320" s="629" t="s">
        <v>63</v>
      </c>
      <c r="D1320" s="644" t="s">
        <v>75</v>
      </c>
      <c r="E1320" s="411" t="s">
        <v>18</v>
      </c>
      <c r="F1320" s="412"/>
      <c r="G1320" s="412"/>
      <c r="H1320" s="412"/>
      <c r="I1320" s="412"/>
      <c r="J1320" s="412"/>
      <c r="K1320" s="412"/>
      <c r="L1320" s="412"/>
      <c r="M1320" s="412"/>
      <c r="N1320" s="412"/>
      <c r="O1320" s="412"/>
      <c r="P1320" s="412"/>
      <c r="Q1320" s="412"/>
      <c r="R1320" s="412"/>
      <c r="S1320" s="412"/>
      <c r="T1320" s="412"/>
      <c r="U1320" s="412"/>
      <c r="V1320" s="412"/>
      <c r="W1320" s="411">
        <v>255</v>
      </c>
      <c r="X1320" s="412"/>
      <c r="Y1320" s="411">
        <v>160</v>
      </c>
      <c r="Z1320" s="412"/>
      <c r="AA1320" s="412"/>
      <c r="AB1320" s="412"/>
      <c r="AC1320" s="412"/>
      <c r="AD1320" s="412"/>
      <c r="AE1320" s="412"/>
      <c r="AF1320" s="412"/>
      <c r="AG1320" s="412"/>
      <c r="AH1320" s="412"/>
      <c r="AI1320" s="412"/>
      <c r="AJ1320" s="417"/>
      <c r="AK1320" s="395">
        <f t="shared" si="205"/>
        <v>415</v>
      </c>
      <c r="AL1320" s="412">
        <f>AK1320</f>
        <v>415</v>
      </c>
      <c r="AM1320" s="409"/>
      <c r="AN1320" s="633">
        <f>SUM(AL1320:AM1321)</f>
        <v>431</v>
      </c>
    </row>
    <row r="1321" spans="3:45" ht="12.75" x14ac:dyDescent="0.2">
      <c r="C1321" s="580"/>
      <c r="D1321" s="577"/>
      <c r="E1321" s="404" t="s">
        <v>19</v>
      </c>
      <c r="F1321" s="396"/>
      <c r="G1321" s="396"/>
      <c r="H1321" s="396"/>
      <c r="I1321" s="396"/>
      <c r="J1321" s="396"/>
      <c r="K1321" s="396"/>
      <c r="L1321" s="396"/>
      <c r="M1321" s="396"/>
      <c r="N1321" s="396"/>
      <c r="O1321" s="396"/>
      <c r="P1321" s="396"/>
      <c r="Q1321" s="396"/>
      <c r="R1321" s="396"/>
      <c r="S1321" s="396"/>
      <c r="T1321" s="396"/>
      <c r="U1321" s="396"/>
      <c r="V1321" s="396"/>
      <c r="W1321" s="396"/>
      <c r="X1321" s="404">
        <v>16</v>
      </c>
      <c r="Y1321" s="396"/>
      <c r="Z1321" s="396"/>
      <c r="AA1321" s="396"/>
      <c r="AB1321" s="396"/>
      <c r="AC1321" s="396"/>
      <c r="AD1321" s="396"/>
      <c r="AE1321" s="396"/>
      <c r="AF1321" s="396"/>
      <c r="AG1321" s="396"/>
      <c r="AH1321" s="396"/>
      <c r="AI1321" s="396"/>
      <c r="AJ1321" s="415"/>
      <c r="AK1321" s="405">
        <f t="shared" si="205"/>
        <v>16</v>
      </c>
      <c r="AL1321" s="406"/>
      <c r="AM1321" s="407">
        <f>AK1321</f>
        <v>16</v>
      </c>
      <c r="AN1321" s="583"/>
    </row>
    <row r="1322" spans="3:45" ht="12.75" x14ac:dyDescent="0.2">
      <c r="C1322" s="580"/>
      <c r="D1322" s="643" t="s">
        <v>65</v>
      </c>
      <c r="E1322" s="393" t="s">
        <v>18</v>
      </c>
      <c r="F1322" s="394"/>
      <c r="G1322" s="394"/>
      <c r="H1322" s="394"/>
      <c r="I1322" s="394"/>
      <c r="J1322" s="394"/>
      <c r="K1322" s="394"/>
      <c r="L1322" s="394"/>
      <c r="M1322" s="394"/>
      <c r="N1322" s="394"/>
      <c r="O1322" s="394"/>
      <c r="P1322" s="394"/>
      <c r="Q1322" s="394"/>
      <c r="R1322" s="394"/>
      <c r="S1322" s="394"/>
      <c r="T1322" s="394"/>
      <c r="U1322" s="394"/>
      <c r="V1322" s="394"/>
      <c r="W1322" s="394"/>
      <c r="X1322" s="394"/>
      <c r="Y1322" s="394"/>
      <c r="Z1322" s="394"/>
      <c r="AA1322" s="394"/>
      <c r="AB1322" s="394"/>
      <c r="AC1322" s="394"/>
      <c r="AD1322" s="394"/>
      <c r="AE1322" s="394"/>
      <c r="AF1322" s="394"/>
      <c r="AG1322" s="394"/>
      <c r="AH1322" s="394"/>
      <c r="AI1322" s="394"/>
      <c r="AJ1322" s="414"/>
      <c r="AK1322" s="395">
        <f t="shared" si="205"/>
        <v>0</v>
      </c>
      <c r="AL1322" s="408">
        <f>AK1322</f>
        <v>0</v>
      </c>
      <c r="AM1322" s="409"/>
      <c r="AN1322" s="633">
        <f>SUM(AL1322:AM1323)</f>
        <v>0</v>
      </c>
    </row>
    <row r="1323" spans="3:45" ht="12.75" x14ac:dyDescent="0.2">
      <c r="C1323" s="581"/>
      <c r="D1323" s="585"/>
      <c r="E1323" s="410" t="s">
        <v>19</v>
      </c>
      <c r="F1323" s="407"/>
      <c r="G1323" s="407"/>
      <c r="H1323" s="407"/>
      <c r="I1323" s="407"/>
      <c r="J1323" s="410"/>
      <c r="K1323" s="407"/>
      <c r="L1323" s="407"/>
      <c r="M1323" s="407"/>
      <c r="N1323" s="407"/>
      <c r="O1323" s="407"/>
      <c r="P1323" s="407"/>
      <c r="Q1323" s="407"/>
      <c r="R1323" s="407"/>
      <c r="S1323" s="407"/>
      <c r="T1323" s="407"/>
      <c r="U1323" s="410"/>
      <c r="V1323" s="407"/>
      <c r="W1323" s="407"/>
      <c r="X1323" s="407"/>
      <c r="Y1323" s="407"/>
      <c r="Z1323" s="407"/>
      <c r="AA1323" s="407"/>
      <c r="AB1323" s="407"/>
      <c r="AC1323" s="407"/>
      <c r="AD1323" s="407"/>
      <c r="AE1323" s="407"/>
      <c r="AF1323" s="407"/>
      <c r="AG1323" s="407"/>
      <c r="AH1323" s="407"/>
      <c r="AI1323" s="407"/>
      <c r="AJ1323" s="418"/>
      <c r="AK1323" s="419">
        <f t="shared" si="205"/>
        <v>0</v>
      </c>
      <c r="AL1323" s="406"/>
      <c r="AM1323" s="407">
        <f>AK1323</f>
        <v>0</v>
      </c>
      <c r="AN1323" s="583"/>
    </row>
    <row r="1324" spans="3:45" ht="12.75" x14ac:dyDescent="0.2">
      <c r="C1324" s="420" t="s">
        <v>32</v>
      </c>
      <c r="D1324" s="396"/>
      <c r="E1324" s="396"/>
      <c r="F1324" s="396">
        <f t="shared" ref="F1324:AM1324" si="210">SUM(F1275:F1323)</f>
        <v>121.85000000000001</v>
      </c>
      <c r="G1324" s="396">
        <f t="shared" si="210"/>
        <v>10.309999999999999</v>
      </c>
      <c r="H1324" s="396">
        <f t="shared" si="210"/>
        <v>14.59</v>
      </c>
      <c r="I1324" s="396">
        <f t="shared" si="210"/>
        <v>72.959999999999994</v>
      </c>
      <c r="J1324" s="396">
        <f t="shared" si="210"/>
        <v>136.57</v>
      </c>
      <c r="K1324" s="396">
        <f t="shared" si="210"/>
        <v>26.6</v>
      </c>
      <c r="L1324" s="396">
        <f t="shared" si="210"/>
        <v>16.77</v>
      </c>
      <c r="M1324" s="396">
        <f t="shared" si="210"/>
        <v>164.6</v>
      </c>
      <c r="N1324" s="396">
        <f t="shared" si="210"/>
        <v>29.270000000000003</v>
      </c>
      <c r="O1324" s="396">
        <f t="shared" si="210"/>
        <v>7.6</v>
      </c>
      <c r="P1324" s="396">
        <f t="shared" si="210"/>
        <v>35.739999999999995</v>
      </c>
      <c r="Q1324" s="396">
        <f t="shared" si="210"/>
        <v>25.479999999999997</v>
      </c>
      <c r="R1324" s="396">
        <f t="shared" si="210"/>
        <v>51.04</v>
      </c>
      <c r="S1324" s="396">
        <f t="shared" si="210"/>
        <v>43.93</v>
      </c>
      <c r="T1324" s="396">
        <f t="shared" si="210"/>
        <v>18.98</v>
      </c>
      <c r="U1324" s="396">
        <f t="shared" si="210"/>
        <v>33.89</v>
      </c>
      <c r="V1324" s="396">
        <f t="shared" si="210"/>
        <v>49.070000000000007</v>
      </c>
      <c r="W1324" s="396">
        <f t="shared" si="210"/>
        <v>284.87</v>
      </c>
      <c r="X1324" s="396">
        <f t="shared" si="210"/>
        <v>57.33</v>
      </c>
      <c r="Y1324" s="396">
        <f t="shared" si="210"/>
        <v>220.1</v>
      </c>
      <c r="Z1324" s="396">
        <f t="shared" si="210"/>
        <v>36.610000000000007</v>
      </c>
      <c r="AA1324" s="396">
        <f t="shared" si="210"/>
        <v>158.01</v>
      </c>
      <c r="AB1324" s="396">
        <f t="shared" si="210"/>
        <v>26.2</v>
      </c>
      <c r="AC1324" s="396">
        <f t="shared" si="210"/>
        <v>34.29</v>
      </c>
      <c r="AD1324" s="396">
        <f t="shared" si="210"/>
        <v>5.6</v>
      </c>
      <c r="AE1324" s="396">
        <f t="shared" si="210"/>
        <v>36.049999999999997</v>
      </c>
      <c r="AF1324" s="396">
        <f t="shared" si="210"/>
        <v>32.56</v>
      </c>
      <c r="AG1324" s="396">
        <f t="shared" si="210"/>
        <v>11.2</v>
      </c>
      <c r="AH1324" s="396">
        <f t="shared" si="210"/>
        <v>25.28</v>
      </c>
      <c r="AI1324" s="396">
        <f t="shared" si="210"/>
        <v>18.75</v>
      </c>
      <c r="AJ1324" s="396">
        <f t="shared" si="210"/>
        <v>0</v>
      </c>
      <c r="AK1324" s="421">
        <f t="shared" si="210"/>
        <v>1806.0999999999997</v>
      </c>
      <c r="AL1324" s="394">
        <f t="shared" si="210"/>
        <v>1697.4999999999998</v>
      </c>
      <c r="AM1324" s="396">
        <f t="shared" si="210"/>
        <v>108.6</v>
      </c>
    </row>
    <row r="1325" spans="3:45" ht="12.75" x14ac:dyDescent="0.2">
      <c r="F1325" s="440"/>
      <c r="G1325" s="440"/>
      <c r="H1325" s="440"/>
      <c r="I1325" s="440"/>
      <c r="J1325" s="440"/>
      <c r="K1325" s="440"/>
      <c r="L1325" s="440"/>
      <c r="M1325" s="440"/>
      <c r="N1325" s="440"/>
      <c r="O1325" s="440"/>
      <c r="P1325" s="440"/>
      <c r="Q1325" s="440"/>
      <c r="R1325" s="440"/>
      <c r="S1325" s="440"/>
      <c r="T1325" s="440"/>
      <c r="U1325" s="440"/>
      <c r="V1325" s="440"/>
      <c r="W1325" s="440"/>
      <c r="X1325" s="440"/>
      <c r="Y1325" s="440"/>
      <c r="Z1325" s="440"/>
      <c r="AA1325" s="440"/>
      <c r="AB1325" s="440"/>
      <c r="AC1325" s="440"/>
      <c r="AD1325" s="440"/>
      <c r="AE1325" s="440"/>
      <c r="AF1325" s="440"/>
      <c r="AG1325" s="440"/>
      <c r="AH1325" s="440"/>
      <c r="AI1325" s="440"/>
      <c r="AJ1325" s="440"/>
    </row>
    <row r="1326" spans="3:45" ht="12.75" x14ac:dyDescent="0.2">
      <c r="F1326" s="440"/>
      <c r="G1326" s="440"/>
      <c r="H1326" s="440"/>
      <c r="I1326" s="440"/>
      <c r="J1326" s="440"/>
      <c r="K1326" s="440"/>
      <c r="L1326" s="440"/>
      <c r="M1326" s="440"/>
      <c r="N1326" s="440"/>
      <c r="O1326" s="440"/>
      <c r="P1326" s="440"/>
      <c r="Q1326" s="440"/>
      <c r="R1326" s="440"/>
      <c r="S1326" s="440"/>
      <c r="T1326" s="440"/>
      <c r="U1326" s="440"/>
      <c r="V1326" s="440"/>
      <c r="W1326" s="440"/>
      <c r="X1326" s="440"/>
      <c r="Y1326" s="440"/>
      <c r="Z1326" s="440"/>
      <c r="AA1326" s="440"/>
      <c r="AB1326" s="440"/>
      <c r="AC1326" s="440"/>
      <c r="AD1326" s="440"/>
      <c r="AE1326" s="440"/>
      <c r="AF1326" s="440"/>
      <c r="AG1326" s="440"/>
      <c r="AH1326" s="440"/>
      <c r="AI1326" s="440"/>
      <c r="AJ1326" s="440"/>
    </row>
    <row r="1327" spans="3:45" ht="12.75" x14ac:dyDescent="0.2">
      <c r="F1327" s="642" t="s">
        <v>92</v>
      </c>
      <c r="G1327" s="577"/>
      <c r="H1327" s="577"/>
      <c r="I1327" s="577"/>
      <c r="J1327" s="577"/>
      <c r="K1327" s="577"/>
      <c r="L1327" s="577"/>
      <c r="M1327" s="577"/>
      <c r="N1327" s="577"/>
      <c r="O1327" s="577"/>
      <c r="P1327" s="577"/>
      <c r="Q1327" s="577"/>
      <c r="R1327" s="577"/>
      <c r="S1327" s="577"/>
      <c r="T1327" s="577"/>
      <c r="U1327" s="577"/>
      <c r="V1327" s="577"/>
      <c r="W1327" s="577"/>
      <c r="X1327" s="577"/>
      <c r="Y1327" s="577"/>
      <c r="Z1327" s="577"/>
      <c r="AA1327" s="577"/>
      <c r="AB1327" s="577"/>
      <c r="AC1327" s="577"/>
      <c r="AD1327" s="577"/>
      <c r="AE1327" s="577"/>
      <c r="AF1327" s="577"/>
      <c r="AG1327" s="577"/>
      <c r="AH1327" s="577"/>
      <c r="AI1327" s="577"/>
      <c r="AJ1327" s="577"/>
    </row>
    <row r="1328" spans="3:45" ht="12.75" x14ac:dyDescent="0.2">
      <c r="E1328" s="362" t="s">
        <v>9</v>
      </c>
      <c r="F1328" s="362" t="s">
        <v>14</v>
      </c>
      <c r="G1328" s="362" t="s">
        <v>15</v>
      </c>
      <c r="H1328" s="362" t="s">
        <v>16</v>
      </c>
      <c r="I1328" s="362" t="s">
        <v>10</v>
      </c>
      <c r="J1328" s="362" t="s">
        <v>11</v>
      </c>
      <c r="K1328" s="362" t="s">
        <v>12</v>
      </c>
      <c r="L1328" s="362" t="s">
        <v>13</v>
      </c>
      <c r="M1328" s="362" t="s">
        <v>14</v>
      </c>
      <c r="N1328" s="362" t="s">
        <v>15</v>
      </c>
      <c r="O1328" s="362" t="s">
        <v>16</v>
      </c>
      <c r="P1328" s="362" t="s">
        <v>10</v>
      </c>
      <c r="Q1328" s="362" t="s">
        <v>11</v>
      </c>
      <c r="R1328" s="362" t="s">
        <v>12</v>
      </c>
      <c r="S1328" s="362" t="s">
        <v>13</v>
      </c>
      <c r="T1328" s="362" t="s">
        <v>14</v>
      </c>
      <c r="U1328" s="362" t="s">
        <v>15</v>
      </c>
      <c r="V1328" s="362" t="s">
        <v>16</v>
      </c>
      <c r="W1328" s="362" t="s">
        <v>10</v>
      </c>
      <c r="X1328" s="362" t="s">
        <v>11</v>
      </c>
      <c r="Y1328" s="362" t="s">
        <v>12</v>
      </c>
      <c r="Z1328" s="362" t="s">
        <v>13</v>
      </c>
      <c r="AA1328" s="362" t="s">
        <v>14</v>
      </c>
      <c r="AB1328" s="362" t="s">
        <v>15</v>
      </c>
      <c r="AC1328" s="362" t="s">
        <v>16</v>
      </c>
      <c r="AD1328" s="362" t="s">
        <v>10</v>
      </c>
      <c r="AE1328" s="362" t="s">
        <v>11</v>
      </c>
      <c r="AF1328" s="362" t="s">
        <v>12</v>
      </c>
      <c r="AG1328" s="362" t="s">
        <v>13</v>
      </c>
      <c r="AH1328" s="362" t="s">
        <v>14</v>
      </c>
      <c r="AI1328" s="362" t="s">
        <v>15</v>
      </c>
      <c r="AJ1328" s="362" t="s">
        <v>16</v>
      </c>
      <c r="AK1328" s="362"/>
      <c r="AL1328" s="363"/>
      <c r="AM1328" s="364"/>
      <c r="AN1328" s="365"/>
      <c r="AP1328" s="366"/>
      <c r="AQ1328" s="367" t="s">
        <v>17</v>
      </c>
      <c r="AR1328" s="367" t="s">
        <v>18</v>
      </c>
      <c r="AS1328" s="367" t="s">
        <v>19</v>
      </c>
    </row>
    <row r="1329" spans="3:45" ht="12.75" x14ac:dyDescent="0.2">
      <c r="E1329" s="362" t="s">
        <v>20</v>
      </c>
      <c r="F1329" s="362">
        <v>1</v>
      </c>
      <c r="G1329" s="362">
        <v>2</v>
      </c>
      <c r="H1329" s="362">
        <v>3</v>
      </c>
      <c r="I1329" s="362">
        <v>4</v>
      </c>
      <c r="J1329" s="362">
        <v>5</v>
      </c>
      <c r="K1329" s="362">
        <v>6</v>
      </c>
      <c r="L1329" s="362">
        <v>7</v>
      </c>
      <c r="M1329" s="362">
        <v>8</v>
      </c>
      <c r="N1329" s="362">
        <v>9</v>
      </c>
      <c r="O1329" s="362">
        <v>10</v>
      </c>
      <c r="P1329" s="362">
        <v>11</v>
      </c>
      <c r="Q1329" s="362">
        <v>12</v>
      </c>
      <c r="R1329" s="362">
        <v>13</v>
      </c>
      <c r="S1329" s="362">
        <v>14</v>
      </c>
      <c r="T1329" s="362">
        <v>15</v>
      </c>
      <c r="U1329" s="362">
        <v>16</v>
      </c>
      <c r="V1329" s="362">
        <v>17</v>
      </c>
      <c r="W1329" s="362">
        <v>18</v>
      </c>
      <c r="X1329" s="362">
        <v>19</v>
      </c>
      <c r="Y1329" s="362">
        <v>20</v>
      </c>
      <c r="Z1329" s="362">
        <v>21</v>
      </c>
      <c r="AA1329" s="362">
        <v>22</v>
      </c>
      <c r="AB1329" s="362">
        <v>23</v>
      </c>
      <c r="AC1329" s="362">
        <v>24</v>
      </c>
      <c r="AD1329" s="362">
        <v>25</v>
      </c>
      <c r="AE1329" s="362">
        <v>26</v>
      </c>
      <c r="AF1329" s="362">
        <v>27</v>
      </c>
      <c r="AG1329" s="362">
        <v>28</v>
      </c>
      <c r="AH1329" s="362">
        <v>29</v>
      </c>
      <c r="AI1329" s="362">
        <v>30</v>
      </c>
      <c r="AJ1329" s="362">
        <v>31</v>
      </c>
      <c r="AK1329" s="362" t="s">
        <v>21</v>
      </c>
      <c r="AL1329" s="363" t="s">
        <v>18</v>
      </c>
      <c r="AM1329" s="364" t="s">
        <v>19</v>
      </c>
      <c r="AN1329" s="368" t="s">
        <v>22</v>
      </c>
      <c r="AP1329" s="367" t="s">
        <v>23</v>
      </c>
      <c r="AQ1329" s="369">
        <f>AK1340-AK1393</f>
        <v>36.910000000000082</v>
      </c>
      <c r="AR1329" s="369">
        <f>(AL1340-AL1393)-AL1341+AM1342</f>
        <v>363.26</v>
      </c>
      <c r="AS1329" s="369">
        <f>(AM1340-AM1393)+AL1341-AM1342-AM1343</f>
        <v>-326.34999999999997</v>
      </c>
    </row>
    <row r="1330" spans="3:45" ht="12.75" x14ac:dyDescent="0.2">
      <c r="C1330" s="628" t="s">
        <v>24</v>
      </c>
      <c r="D1330" s="370" t="s">
        <v>25</v>
      </c>
      <c r="E1330" s="371" t="s">
        <v>18</v>
      </c>
      <c r="F1330" s="372"/>
      <c r="G1330" s="372"/>
      <c r="H1330" s="371"/>
      <c r="I1330" s="372"/>
      <c r="J1330" s="371">
        <v>980</v>
      </c>
      <c r="K1330" s="372"/>
      <c r="L1330" s="372"/>
      <c r="M1330" s="372"/>
      <c r="N1330" s="372"/>
      <c r="O1330" s="372"/>
      <c r="P1330" s="372"/>
      <c r="Q1330" s="372"/>
      <c r="R1330" s="372"/>
      <c r="S1330" s="372"/>
      <c r="T1330" s="371"/>
      <c r="U1330" s="372"/>
      <c r="V1330" s="372"/>
      <c r="W1330" s="372"/>
      <c r="X1330" s="371"/>
      <c r="Y1330" s="371">
        <v>525</v>
      </c>
      <c r="Z1330" s="372"/>
      <c r="AA1330" s="372"/>
      <c r="AB1330" s="372"/>
      <c r="AC1330" s="372"/>
      <c r="AD1330" s="372"/>
      <c r="AE1330" s="372"/>
      <c r="AF1330" s="372"/>
      <c r="AG1330" s="372"/>
      <c r="AH1330" s="372"/>
      <c r="AI1330" s="372"/>
      <c r="AJ1330" s="372"/>
      <c r="AK1330" s="373">
        <f t="shared" ref="AK1330:AK1339" si="211">SUM(F1330:AJ1330)</f>
        <v>1505</v>
      </c>
      <c r="AL1330" s="366">
        <f t="shared" ref="AL1330:AL1331" si="212">AK1330</f>
        <v>1505</v>
      </c>
      <c r="AM1330" s="369"/>
      <c r="AN1330" s="374">
        <f>AL1330</f>
        <v>1505</v>
      </c>
    </row>
    <row r="1331" spans="3:45" ht="12.75" x14ac:dyDescent="0.2">
      <c r="C1331" s="580"/>
      <c r="D1331" s="645" t="s">
        <v>26</v>
      </c>
      <c r="E1331" s="363" t="s">
        <v>18</v>
      </c>
      <c r="F1331" s="366"/>
      <c r="G1331" s="366"/>
      <c r="H1331" s="366"/>
      <c r="I1331" s="366"/>
      <c r="J1331" s="366"/>
      <c r="K1331" s="366"/>
      <c r="L1331" s="366"/>
      <c r="M1331" s="366"/>
      <c r="N1331" s="366"/>
      <c r="O1331" s="366"/>
      <c r="P1331" s="366"/>
      <c r="Q1331" s="366"/>
      <c r="R1331" s="366"/>
      <c r="S1331" s="366"/>
      <c r="T1331" s="366"/>
      <c r="U1331" s="366"/>
      <c r="V1331" s="366"/>
      <c r="W1331" s="366"/>
      <c r="X1331" s="366"/>
      <c r="Y1331" s="366"/>
      <c r="Z1331" s="366"/>
      <c r="AA1331" s="366"/>
      <c r="AB1331" s="366"/>
      <c r="AC1331" s="366"/>
      <c r="AD1331" s="366"/>
      <c r="AE1331" s="366"/>
      <c r="AF1331" s="366"/>
      <c r="AG1331" s="366"/>
      <c r="AH1331" s="366"/>
      <c r="AI1331" s="366"/>
      <c r="AJ1331" s="366"/>
      <c r="AK1331" s="376">
        <f t="shared" si="211"/>
        <v>0</v>
      </c>
      <c r="AL1331" s="377">
        <f t="shared" si="212"/>
        <v>0</v>
      </c>
      <c r="AM1331" s="378"/>
      <c r="AN1331" s="633">
        <f>SUM(AL1331:AM1332)</f>
        <v>0</v>
      </c>
    </row>
    <row r="1332" spans="3:45" ht="12.75" x14ac:dyDescent="0.2">
      <c r="C1332" s="580"/>
      <c r="D1332" s="577"/>
      <c r="E1332" s="364" t="s">
        <v>19</v>
      </c>
      <c r="F1332" s="369"/>
      <c r="G1332" s="369"/>
      <c r="H1332" s="369"/>
      <c r="I1332" s="369"/>
      <c r="J1332" s="369"/>
      <c r="K1332" s="369"/>
      <c r="L1332" s="369"/>
      <c r="M1332" s="369"/>
      <c r="N1332" s="369"/>
      <c r="O1332" s="369"/>
      <c r="P1332" s="369"/>
      <c r="Q1332" s="369"/>
      <c r="R1332" s="369"/>
      <c r="S1332" s="369"/>
      <c r="T1332" s="369"/>
      <c r="U1332" s="369"/>
      <c r="V1332" s="369"/>
      <c r="W1332" s="369"/>
      <c r="X1332" s="369"/>
      <c r="Y1332" s="369"/>
      <c r="Z1332" s="369"/>
      <c r="AA1332" s="369"/>
      <c r="AB1332" s="369"/>
      <c r="AC1332" s="369"/>
      <c r="AD1332" s="369"/>
      <c r="AE1332" s="369"/>
      <c r="AF1332" s="369"/>
      <c r="AG1332" s="369"/>
      <c r="AH1332" s="369"/>
      <c r="AI1332" s="369"/>
      <c r="AJ1332" s="369"/>
      <c r="AK1332" s="379">
        <f t="shared" si="211"/>
        <v>0</v>
      </c>
      <c r="AL1332" s="380"/>
      <c r="AM1332" s="381">
        <f t="shared" ref="AM1332:AM1333" si="213">AK1332</f>
        <v>0</v>
      </c>
      <c r="AN1332" s="583"/>
    </row>
    <row r="1333" spans="3:45" ht="12.75" x14ac:dyDescent="0.2">
      <c r="C1333" s="580"/>
      <c r="D1333" s="375" t="s">
        <v>27</v>
      </c>
      <c r="E1333" s="364" t="s">
        <v>19</v>
      </c>
      <c r="F1333" s="369"/>
      <c r="G1333" s="369"/>
      <c r="H1333" s="369"/>
      <c r="I1333" s="369"/>
      <c r="J1333" s="369"/>
      <c r="K1333" s="369"/>
      <c r="L1333" s="369"/>
      <c r="M1333" s="369"/>
      <c r="N1333" s="369"/>
      <c r="O1333" s="369"/>
      <c r="P1333" s="369"/>
      <c r="Q1333" s="369"/>
      <c r="R1333" s="369"/>
      <c r="S1333" s="369"/>
      <c r="T1333" s="369"/>
      <c r="U1333" s="369"/>
      <c r="V1333" s="369"/>
      <c r="W1333" s="369"/>
      <c r="X1333" s="369"/>
      <c r="Y1333" s="369"/>
      <c r="Z1333" s="369"/>
      <c r="AA1333" s="369"/>
      <c r="AB1333" s="369"/>
      <c r="AC1333" s="369"/>
      <c r="AD1333" s="369"/>
      <c r="AE1333" s="369"/>
      <c r="AF1333" s="369"/>
      <c r="AG1333" s="369"/>
      <c r="AH1333" s="369"/>
      <c r="AI1333" s="369"/>
      <c r="AJ1333" s="369"/>
      <c r="AK1333" s="379">
        <f t="shared" si="211"/>
        <v>0</v>
      </c>
      <c r="AL1333" s="366"/>
      <c r="AM1333" s="369">
        <f t="shared" si="213"/>
        <v>0</v>
      </c>
      <c r="AN1333" s="374">
        <f>AM1333</f>
        <v>0</v>
      </c>
    </row>
    <row r="1334" spans="3:45" ht="12.75" x14ac:dyDescent="0.2">
      <c r="C1334" s="580"/>
      <c r="D1334" s="645" t="s">
        <v>28</v>
      </c>
      <c r="E1334" s="363" t="s">
        <v>18</v>
      </c>
      <c r="F1334" s="366"/>
      <c r="G1334" s="366"/>
      <c r="H1334" s="366"/>
      <c r="I1334" s="366"/>
      <c r="J1334" s="366"/>
      <c r="K1334" s="366"/>
      <c r="L1334" s="366"/>
      <c r="M1334" s="366"/>
      <c r="N1334" s="366"/>
      <c r="O1334" s="366"/>
      <c r="P1334" s="366"/>
      <c r="Q1334" s="366"/>
      <c r="R1334" s="366"/>
      <c r="S1334" s="366"/>
      <c r="T1334" s="366"/>
      <c r="U1334" s="366"/>
      <c r="V1334" s="366"/>
      <c r="W1334" s="366"/>
      <c r="X1334" s="366"/>
      <c r="Y1334" s="366"/>
      <c r="Z1334" s="366"/>
      <c r="AA1334" s="366"/>
      <c r="AB1334" s="366"/>
      <c r="AC1334" s="366"/>
      <c r="AD1334" s="366"/>
      <c r="AE1334" s="366"/>
      <c r="AF1334" s="366"/>
      <c r="AG1334" s="366"/>
      <c r="AH1334" s="366"/>
      <c r="AI1334" s="366"/>
      <c r="AJ1334" s="366"/>
      <c r="AK1334" s="376">
        <f t="shared" si="211"/>
        <v>0</v>
      </c>
      <c r="AL1334" s="377">
        <f>AK1334</f>
        <v>0</v>
      </c>
      <c r="AM1334" s="378"/>
      <c r="AN1334" s="633">
        <f>SUM(AL1334:AM1335)</f>
        <v>0</v>
      </c>
    </row>
    <row r="1335" spans="3:45" ht="12.75" x14ac:dyDescent="0.2">
      <c r="C1335" s="580"/>
      <c r="D1335" s="577"/>
      <c r="E1335" s="364" t="s">
        <v>19</v>
      </c>
      <c r="F1335" s="369"/>
      <c r="G1335" s="364"/>
      <c r="H1335" s="364"/>
      <c r="I1335" s="369"/>
      <c r="J1335" s="364"/>
      <c r="K1335" s="369"/>
      <c r="L1335" s="369"/>
      <c r="M1335" s="369"/>
      <c r="N1335" s="369"/>
      <c r="O1335" s="369"/>
      <c r="P1335" s="369"/>
      <c r="Q1335" s="369"/>
      <c r="R1335" s="369"/>
      <c r="S1335" s="364"/>
      <c r="T1335" s="369"/>
      <c r="U1335" s="369"/>
      <c r="V1335" s="369"/>
      <c r="W1335" s="364"/>
      <c r="X1335" s="364"/>
      <c r="Y1335" s="369"/>
      <c r="Z1335" s="369"/>
      <c r="AA1335" s="369"/>
      <c r="AB1335" s="369"/>
      <c r="AC1335" s="369"/>
      <c r="AD1335" s="369"/>
      <c r="AE1335" s="369"/>
      <c r="AF1335" s="369"/>
      <c r="AG1335" s="369"/>
      <c r="AH1335" s="369"/>
      <c r="AI1335" s="364"/>
      <c r="AJ1335" s="369"/>
      <c r="AK1335" s="379">
        <f t="shared" si="211"/>
        <v>0</v>
      </c>
      <c r="AL1335" s="380"/>
      <c r="AM1335" s="381">
        <f>AK1335</f>
        <v>0</v>
      </c>
      <c r="AN1335" s="583"/>
    </row>
    <row r="1336" spans="3:45" ht="12.75" x14ac:dyDescent="0.2">
      <c r="C1336" s="580"/>
      <c r="D1336" s="645" t="s">
        <v>29</v>
      </c>
      <c r="E1336" s="363" t="s">
        <v>18</v>
      </c>
      <c r="F1336" s="366"/>
      <c r="G1336" s="366"/>
      <c r="H1336" s="366"/>
      <c r="I1336" s="366"/>
      <c r="J1336" s="366"/>
      <c r="K1336" s="366"/>
      <c r="L1336" s="366"/>
      <c r="M1336" s="366"/>
      <c r="N1336" s="366"/>
      <c r="O1336" s="366"/>
      <c r="P1336" s="366"/>
      <c r="Q1336" s="366"/>
      <c r="R1336" s="366"/>
      <c r="S1336" s="366"/>
      <c r="T1336" s="366"/>
      <c r="U1336" s="366"/>
      <c r="V1336" s="366"/>
      <c r="W1336" s="366"/>
      <c r="X1336" s="366"/>
      <c r="Y1336" s="366"/>
      <c r="Z1336" s="366"/>
      <c r="AA1336" s="366"/>
      <c r="AB1336" s="363"/>
      <c r="AC1336" s="366"/>
      <c r="AD1336" s="366"/>
      <c r="AE1336" s="366"/>
      <c r="AF1336" s="366"/>
      <c r="AG1336" s="366"/>
      <c r="AH1336" s="366"/>
      <c r="AI1336" s="366"/>
      <c r="AJ1336" s="366"/>
      <c r="AK1336" s="376">
        <f t="shared" si="211"/>
        <v>0</v>
      </c>
      <c r="AL1336" s="377">
        <f>AK1336</f>
        <v>0</v>
      </c>
      <c r="AM1336" s="378"/>
      <c r="AN1336" s="633">
        <f>SUM(AL1336:AM1337)</f>
        <v>0</v>
      </c>
    </row>
    <row r="1337" spans="3:45" ht="12.75" x14ac:dyDescent="0.2">
      <c r="C1337" s="580"/>
      <c r="D1337" s="577"/>
      <c r="E1337" s="364" t="s">
        <v>19</v>
      </c>
      <c r="F1337" s="369"/>
      <c r="G1337" s="369"/>
      <c r="H1337" s="369"/>
      <c r="I1337" s="369"/>
      <c r="J1337" s="369"/>
      <c r="K1337" s="369"/>
      <c r="L1337" s="369"/>
      <c r="M1337" s="369"/>
      <c r="N1337" s="369"/>
      <c r="O1337" s="369"/>
      <c r="P1337" s="369"/>
      <c r="Q1337" s="369"/>
      <c r="R1337" s="369"/>
      <c r="S1337" s="369"/>
      <c r="T1337" s="369"/>
      <c r="U1337" s="369"/>
      <c r="V1337" s="369"/>
      <c r="W1337" s="369"/>
      <c r="X1337" s="369"/>
      <c r="Y1337" s="369"/>
      <c r="Z1337" s="369"/>
      <c r="AA1337" s="369"/>
      <c r="AB1337" s="364"/>
      <c r="AC1337" s="369"/>
      <c r="AD1337" s="369"/>
      <c r="AE1337" s="369"/>
      <c r="AF1337" s="369"/>
      <c r="AG1337" s="369"/>
      <c r="AH1337" s="369"/>
      <c r="AI1337" s="369"/>
      <c r="AJ1337" s="369"/>
      <c r="AK1337" s="379">
        <f t="shared" si="211"/>
        <v>0</v>
      </c>
      <c r="AL1337" s="380"/>
      <c r="AM1337" s="381">
        <f>AK1337</f>
        <v>0</v>
      </c>
      <c r="AN1337" s="583"/>
    </row>
    <row r="1338" spans="3:45" ht="12.75" x14ac:dyDescent="0.2">
      <c r="C1338" s="580"/>
      <c r="D1338" s="645" t="s">
        <v>31</v>
      </c>
      <c r="E1338" s="363" t="s">
        <v>18</v>
      </c>
      <c r="F1338" s="366"/>
      <c r="G1338" s="366"/>
      <c r="H1338" s="366"/>
      <c r="I1338" s="366"/>
      <c r="J1338" s="366"/>
      <c r="K1338" s="366"/>
      <c r="L1338" s="366"/>
      <c r="M1338" s="366"/>
      <c r="N1338" s="366"/>
      <c r="O1338" s="366"/>
      <c r="P1338" s="366"/>
      <c r="Q1338" s="366"/>
      <c r="R1338" s="366"/>
      <c r="S1338" s="366"/>
      <c r="T1338" s="366"/>
      <c r="U1338" s="366"/>
      <c r="V1338" s="366"/>
      <c r="W1338" s="366"/>
      <c r="X1338" s="366"/>
      <c r="Y1338" s="366"/>
      <c r="Z1338" s="366"/>
      <c r="AA1338" s="366"/>
      <c r="AB1338" s="366"/>
      <c r="AC1338" s="366"/>
      <c r="AD1338" s="366"/>
      <c r="AE1338" s="366"/>
      <c r="AF1338" s="366"/>
      <c r="AG1338" s="366"/>
      <c r="AH1338" s="366"/>
      <c r="AI1338" s="366"/>
      <c r="AJ1338" s="366"/>
      <c r="AK1338" s="376">
        <f t="shared" si="211"/>
        <v>0</v>
      </c>
      <c r="AL1338" s="377">
        <f>AK1338</f>
        <v>0</v>
      </c>
      <c r="AM1338" s="378"/>
      <c r="AN1338" s="633">
        <f>SUM(AL1338:AM1339)</f>
        <v>0</v>
      </c>
    </row>
    <row r="1339" spans="3:45" ht="12.75" x14ac:dyDescent="0.2">
      <c r="C1339" s="581"/>
      <c r="D1339" s="585"/>
      <c r="E1339" s="382" t="s">
        <v>19</v>
      </c>
      <c r="F1339" s="381"/>
      <c r="G1339" s="381"/>
      <c r="H1339" s="381"/>
      <c r="I1339" s="381"/>
      <c r="J1339" s="381"/>
      <c r="K1339" s="381"/>
      <c r="L1339" s="381"/>
      <c r="M1339" s="382"/>
      <c r="N1339" s="382"/>
      <c r="O1339" s="382"/>
      <c r="P1339" s="381"/>
      <c r="Q1339" s="381"/>
      <c r="R1339" s="381"/>
      <c r="S1339" s="381"/>
      <c r="T1339" s="381"/>
      <c r="U1339" s="381"/>
      <c r="V1339" s="381"/>
      <c r="W1339" s="381"/>
      <c r="X1339" s="381"/>
      <c r="Y1339" s="381"/>
      <c r="Z1339" s="382"/>
      <c r="AA1339" s="381"/>
      <c r="AB1339" s="381"/>
      <c r="AC1339" s="381"/>
      <c r="AD1339" s="381"/>
      <c r="AE1339" s="381"/>
      <c r="AF1339" s="381"/>
      <c r="AG1339" s="381"/>
      <c r="AH1339" s="381"/>
      <c r="AI1339" s="381"/>
      <c r="AJ1339" s="381"/>
      <c r="AK1339" s="383">
        <f t="shared" si="211"/>
        <v>0</v>
      </c>
      <c r="AL1339" s="380"/>
      <c r="AM1339" s="381">
        <f>AK1339</f>
        <v>0</v>
      </c>
      <c r="AN1339" s="583"/>
    </row>
    <row r="1340" spans="3:45" ht="12.75" x14ac:dyDescent="0.2">
      <c r="C1340" s="362" t="s">
        <v>32</v>
      </c>
      <c r="D1340" s="384"/>
      <c r="E1340" s="369"/>
      <c r="F1340" s="369"/>
      <c r="G1340" s="369"/>
      <c r="H1340" s="369"/>
      <c r="I1340" s="369"/>
      <c r="J1340" s="369"/>
      <c r="K1340" s="369"/>
      <c r="L1340" s="369"/>
      <c r="M1340" s="369"/>
      <c r="N1340" s="369"/>
      <c r="O1340" s="369"/>
      <c r="P1340" s="369"/>
      <c r="Q1340" s="369"/>
      <c r="R1340" s="369"/>
      <c r="S1340" s="369"/>
      <c r="T1340" s="369"/>
      <c r="U1340" s="369"/>
      <c r="V1340" s="369"/>
      <c r="W1340" s="369"/>
      <c r="X1340" s="369"/>
      <c r="Y1340" s="369"/>
      <c r="Z1340" s="369"/>
      <c r="AA1340" s="369"/>
      <c r="AB1340" s="369"/>
      <c r="AC1340" s="369"/>
      <c r="AD1340" s="369"/>
      <c r="AE1340" s="369"/>
      <c r="AF1340" s="369"/>
      <c r="AG1340" s="369"/>
      <c r="AH1340" s="369"/>
      <c r="AI1340" s="369"/>
      <c r="AJ1340" s="369"/>
      <c r="AK1340" s="385">
        <f t="shared" ref="AK1340:AM1340" si="214">SUM(AK1330:AK1339)</f>
        <v>1505</v>
      </c>
      <c r="AL1340" s="366">
        <f t="shared" si="214"/>
        <v>1505</v>
      </c>
      <c r="AM1340" s="369">
        <f t="shared" si="214"/>
        <v>0</v>
      </c>
      <c r="AN1340" s="374"/>
    </row>
    <row r="1341" spans="3:45" ht="12.75" x14ac:dyDescent="0.2">
      <c r="C1341" s="630" t="s">
        <v>83</v>
      </c>
      <c r="D1341" s="423" t="s">
        <v>84</v>
      </c>
      <c r="E1341" s="424" t="s">
        <v>18</v>
      </c>
      <c r="F1341" s="425"/>
      <c r="G1341" s="425"/>
      <c r="H1341" s="425"/>
      <c r="I1341" s="425"/>
      <c r="J1341" s="424"/>
      <c r="K1341" s="424"/>
      <c r="L1341" s="425"/>
      <c r="M1341" s="424"/>
      <c r="N1341" s="425"/>
      <c r="O1341" s="424"/>
      <c r="P1341" s="425"/>
      <c r="Q1341" s="425"/>
      <c r="R1341" s="425"/>
      <c r="S1341" s="425"/>
      <c r="T1341" s="425"/>
      <c r="U1341" s="424"/>
      <c r="V1341" s="425"/>
      <c r="W1341" s="425"/>
      <c r="X1341" s="425"/>
      <c r="Y1341" s="425"/>
      <c r="Z1341" s="425"/>
      <c r="AA1341" s="425"/>
      <c r="AB1341" s="425"/>
      <c r="AC1341" s="425"/>
      <c r="AD1341" s="425"/>
      <c r="AE1341" s="425"/>
      <c r="AF1341" s="425"/>
      <c r="AG1341" s="425"/>
      <c r="AH1341" s="425"/>
      <c r="AI1341" s="425"/>
      <c r="AJ1341" s="426"/>
      <c r="AK1341" s="425"/>
      <c r="AL1341" s="427">
        <f>SUM(F1341:AJ1341)</f>
        <v>0</v>
      </c>
      <c r="AM1341" s="427"/>
      <c r="AN1341" s="374"/>
    </row>
    <row r="1342" spans="3:45" ht="12.75" x14ac:dyDescent="0.2">
      <c r="C1342" s="580"/>
      <c r="D1342" s="413" t="s">
        <v>85</v>
      </c>
      <c r="E1342" s="428" t="s">
        <v>19</v>
      </c>
      <c r="F1342" s="427"/>
      <c r="G1342" s="427"/>
      <c r="H1342" s="427"/>
      <c r="I1342" s="427"/>
      <c r="J1342" s="427"/>
      <c r="K1342" s="427"/>
      <c r="L1342" s="427"/>
      <c r="M1342" s="427"/>
      <c r="N1342" s="427"/>
      <c r="O1342" s="427"/>
      <c r="P1342" s="427"/>
      <c r="Q1342" s="427"/>
      <c r="R1342" s="427"/>
      <c r="S1342" s="427"/>
      <c r="T1342" s="427"/>
      <c r="U1342" s="428"/>
      <c r="V1342" s="427"/>
      <c r="W1342" s="427"/>
      <c r="X1342" s="427"/>
      <c r="Y1342" s="427"/>
      <c r="Z1342" s="427"/>
      <c r="AA1342" s="427"/>
      <c r="AB1342" s="427"/>
      <c r="AC1342" s="427"/>
      <c r="AD1342" s="427"/>
      <c r="AE1342" s="427"/>
      <c r="AF1342" s="427"/>
      <c r="AG1342" s="427"/>
      <c r="AH1342" s="427"/>
      <c r="AI1342" s="427"/>
      <c r="AJ1342" s="429"/>
      <c r="AK1342" s="427"/>
      <c r="AL1342" s="427"/>
      <c r="AM1342" s="427">
        <f t="shared" ref="AM1342:AM1343" si="215">SUM(F1342:AJ1342)</f>
        <v>0</v>
      </c>
      <c r="AN1342" s="374"/>
    </row>
    <row r="1343" spans="3:45" ht="12.75" x14ac:dyDescent="0.2">
      <c r="C1343" s="581"/>
      <c r="D1343" s="430" t="s">
        <v>86</v>
      </c>
      <c r="E1343" s="431" t="s">
        <v>19</v>
      </c>
      <c r="F1343" s="432"/>
      <c r="G1343" s="432"/>
      <c r="H1343" s="432"/>
      <c r="I1343" s="432"/>
      <c r="J1343" s="432"/>
      <c r="K1343" s="432"/>
      <c r="L1343" s="432"/>
      <c r="M1343" s="432"/>
      <c r="N1343" s="432"/>
      <c r="O1343" s="431"/>
      <c r="P1343" s="432"/>
      <c r="Q1343" s="432"/>
      <c r="R1343" s="432"/>
      <c r="S1343" s="432"/>
      <c r="T1343" s="432"/>
      <c r="U1343" s="431"/>
      <c r="V1343" s="432"/>
      <c r="W1343" s="432"/>
      <c r="X1343" s="432"/>
      <c r="Y1343" s="432"/>
      <c r="Z1343" s="432"/>
      <c r="AA1343" s="432"/>
      <c r="AB1343" s="432"/>
      <c r="AC1343" s="432"/>
      <c r="AD1343" s="432"/>
      <c r="AE1343" s="432"/>
      <c r="AF1343" s="432"/>
      <c r="AG1343" s="432"/>
      <c r="AH1343" s="432"/>
      <c r="AI1343" s="432"/>
      <c r="AJ1343" s="433"/>
      <c r="AK1343" s="427"/>
      <c r="AL1343" s="427"/>
      <c r="AM1343" s="427">
        <f t="shared" si="215"/>
        <v>0</v>
      </c>
      <c r="AN1343" s="374"/>
    </row>
    <row r="1344" spans="3:45" ht="12.75" x14ac:dyDescent="0.2">
      <c r="C1344" s="631" t="s">
        <v>93</v>
      </c>
      <c r="D1344" s="646" t="s">
        <v>94</v>
      </c>
      <c r="E1344" s="428" t="s">
        <v>18</v>
      </c>
      <c r="F1344" s="427"/>
      <c r="G1344" s="427"/>
      <c r="H1344" s="427"/>
      <c r="I1344" s="427"/>
      <c r="J1344" s="427"/>
      <c r="K1344" s="427"/>
      <c r="L1344" s="427"/>
      <c r="M1344" s="427"/>
      <c r="N1344" s="427"/>
      <c r="O1344" s="427"/>
      <c r="P1344" s="427"/>
      <c r="Q1344" s="427"/>
      <c r="R1344" s="427"/>
      <c r="S1344" s="427"/>
      <c r="T1344" s="427"/>
      <c r="U1344" s="428"/>
      <c r="V1344" s="427"/>
      <c r="W1344" s="427"/>
      <c r="X1344" s="427"/>
      <c r="Y1344" s="427"/>
      <c r="Z1344" s="427"/>
      <c r="AA1344" s="427"/>
      <c r="AB1344" s="427"/>
      <c r="AC1344" s="427"/>
      <c r="AD1344" s="427"/>
      <c r="AE1344" s="427"/>
      <c r="AF1344" s="427"/>
      <c r="AG1344" s="427"/>
      <c r="AH1344" s="427"/>
      <c r="AI1344" s="427"/>
      <c r="AJ1344" s="429"/>
      <c r="AK1344" s="425"/>
      <c r="AL1344" s="425">
        <f>SUM(F1344:AJ1344)</f>
        <v>0</v>
      </c>
      <c r="AM1344" s="425"/>
      <c r="AN1344" s="637">
        <f>SUM(AL1344:AM1345)</f>
        <v>0</v>
      </c>
    </row>
    <row r="1345" spans="3:40" ht="12.75" x14ac:dyDescent="0.2">
      <c r="C1345" s="581"/>
      <c r="D1345" s="577"/>
      <c r="E1345" s="431" t="s">
        <v>19</v>
      </c>
      <c r="F1345" s="427"/>
      <c r="G1345" s="427"/>
      <c r="H1345" s="427"/>
      <c r="I1345" s="427"/>
      <c r="J1345" s="427"/>
      <c r="K1345" s="427"/>
      <c r="L1345" s="427"/>
      <c r="M1345" s="427"/>
      <c r="N1345" s="427"/>
      <c r="O1345" s="427"/>
      <c r="P1345" s="427"/>
      <c r="Q1345" s="427"/>
      <c r="R1345" s="427"/>
      <c r="S1345" s="427"/>
      <c r="T1345" s="427"/>
      <c r="U1345" s="428"/>
      <c r="V1345" s="427"/>
      <c r="W1345" s="427"/>
      <c r="X1345" s="427"/>
      <c r="Y1345" s="427"/>
      <c r="Z1345" s="427"/>
      <c r="AA1345" s="427"/>
      <c r="AB1345" s="427"/>
      <c r="AC1345" s="427"/>
      <c r="AD1345" s="427"/>
      <c r="AE1345" s="427"/>
      <c r="AF1345" s="427"/>
      <c r="AG1345" s="427"/>
      <c r="AH1345" s="427"/>
      <c r="AI1345" s="427"/>
      <c r="AJ1345" s="429"/>
      <c r="AK1345" s="427"/>
      <c r="AL1345" s="427"/>
      <c r="AM1345" s="427">
        <f>SUM(F1345:AJ1345)</f>
        <v>0</v>
      </c>
      <c r="AN1345" s="577"/>
    </row>
    <row r="1346" spans="3:40" ht="12.75" x14ac:dyDescent="0.2">
      <c r="C1346" s="629" t="s">
        <v>33</v>
      </c>
      <c r="D1346" s="416" t="s">
        <v>34</v>
      </c>
      <c r="E1346" s="441" t="s">
        <v>19</v>
      </c>
      <c r="F1346" s="409"/>
      <c r="G1346" s="409"/>
      <c r="H1346" s="409"/>
      <c r="I1346" s="409"/>
      <c r="J1346" s="441">
        <v>60</v>
      </c>
      <c r="K1346" s="409"/>
      <c r="L1346" s="409"/>
      <c r="M1346" s="409"/>
      <c r="N1346" s="409"/>
      <c r="O1346" s="409"/>
      <c r="P1346" s="409"/>
      <c r="Q1346" s="409"/>
      <c r="R1346" s="409"/>
      <c r="S1346" s="409"/>
      <c r="T1346" s="409"/>
      <c r="U1346" s="409"/>
      <c r="V1346" s="409"/>
      <c r="W1346" s="409"/>
      <c r="X1346" s="409"/>
      <c r="Y1346" s="409"/>
      <c r="Z1346" s="409"/>
      <c r="AA1346" s="409"/>
      <c r="AB1346" s="409"/>
      <c r="AC1346" s="409"/>
      <c r="AD1346" s="409"/>
      <c r="AE1346" s="409"/>
      <c r="AF1346" s="409"/>
      <c r="AG1346" s="409"/>
      <c r="AH1346" s="409"/>
      <c r="AI1346" s="409"/>
      <c r="AJ1346" s="409"/>
      <c r="AK1346" s="442">
        <f t="shared" ref="AK1346:AK1392" si="216">SUM(F1346:AJ1346)</f>
        <v>60</v>
      </c>
      <c r="AL1346" s="394"/>
      <c r="AM1346" s="396">
        <f>AK1346</f>
        <v>60</v>
      </c>
      <c r="AN1346" s="374">
        <f>AM1346</f>
        <v>60</v>
      </c>
    </row>
    <row r="1347" spans="3:40" ht="12.75" x14ac:dyDescent="0.2">
      <c r="C1347" s="580"/>
      <c r="D1347" s="402" t="s">
        <v>35</v>
      </c>
      <c r="E1347" s="393" t="s">
        <v>18</v>
      </c>
      <c r="F1347" s="394"/>
      <c r="G1347" s="394"/>
      <c r="H1347" s="394"/>
      <c r="I1347" s="393"/>
      <c r="J1347" s="393">
        <v>20</v>
      </c>
      <c r="K1347" s="394"/>
      <c r="L1347" s="394"/>
      <c r="M1347" s="394"/>
      <c r="N1347" s="394"/>
      <c r="O1347" s="394"/>
      <c r="P1347" s="394"/>
      <c r="Q1347" s="394"/>
      <c r="R1347" s="394"/>
      <c r="S1347" s="394"/>
      <c r="T1347" s="394"/>
      <c r="U1347" s="394"/>
      <c r="V1347" s="394"/>
      <c r="W1347" s="394"/>
      <c r="X1347" s="394"/>
      <c r="Y1347" s="393"/>
      <c r="Z1347" s="394"/>
      <c r="AA1347" s="394"/>
      <c r="AB1347" s="394"/>
      <c r="AC1347" s="394"/>
      <c r="AD1347" s="394"/>
      <c r="AE1347" s="394"/>
      <c r="AF1347" s="394"/>
      <c r="AG1347" s="394"/>
      <c r="AH1347" s="394"/>
      <c r="AI1347" s="394"/>
      <c r="AJ1347" s="394"/>
      <c r="AK1347" s="395">
        <f t="shared" si="216"/>
        <v>20</v>
      </c>
      <c r="AL1347" s="394">
        <f>AK1347</f>
        <v>20</v>
      </c>
      <c r="AM1347" s="396"/>
      <c r="AN1347" s="374">
        <f>AL1347</f>
        <v>20</v>
      </c>
    </row>
    <row r="1348" spans="3:40" ht="12.75" x14ac:dyDescent="0.2">
      <c r="C1348" s="580"/>
      <c r="D1348" s="402" t="s">
        <v>36</v>
      </c>
      <c r="E1348" s="404" t="s">
        <v>19</v>
      </c>
      <c r="F1348" s="396"/>
      <c r="G1348" s="396"/>
      <c r="H1348" s="396"/>
      <c r="I1348" s="396"/>
      <c r="J1348" s="404">
        <v>27</v>
      </c>
      <c r="K1348" s="396"/>
      <c r="L1348" s="396"/>
      <c r="M1348" s="396"/>
      <c r="N1348" s="396"/>
      <c r="O1348" s="396"/>
      <c r="P1348" s="396"/>
      <c r="Q1348" s="396"/>
      <c r="R1348" s="396"/>
      <c r="S1348" s="396"/>
      <c r="T1348" s="396"/>
      <c r="U1348" s="396"/>
      <c r="V1348" s="396"/>
      <c r="W1348" s="396"/>
      <c r="X1348" s="396"/>
      <c r="Y1348" s="396"/>
      <c r="Z1348" s="396"/>
      <c r="AA1348" s="396"/>
      <c r="AB1348" s="396"/>
      <c r="AC1348" s="396"/>
      <c r="AD1348" s="396"/>
      <c r="AE1348" s="396"/>
      <c r="AF1348" s="396"/>
      <c r="AG1348" s="396"/>
      <c r="AH1348" s="396"/>
      <c r="AI1348" s="396"/>
      <c r="AJ1348" s="396"/>
      <c r="AK1348" s="405">
        <f t="shared" si="216"/>
        <v>27</v>
      </c>
      <c r="AL1348" s="394"/>
      <c r="AM1348" s="396">
        <f>AK1348</f>
        <v>27</v>
      </c>
      <c r="AN1348" s="374">
        <f>AM1348</f>
        <v>27</v>
      </c>
    </row>
    <row r="1349" spans="3:40" ht="12.75" x14ac:dyDescent="0.2">
      <c r="C1349" s="580"/>
      <c r="D1349" s="643" t="s">
        <v>37</v>
      </c>
      <c r="E1349" s="393" t="s">
        <v>18</v>
      </c>
      <c r="F1349" s="394"/>
      <c r="G1349" s="394"/>
      <c r="H1349" s="394"/>
      <c r="I1349" s="394"/>
      <c r="J1349" s="394"/>
      <c r="K1349" s="394"/>
      <c r="L1349" s="394"/>
      <c r="M1349" s="394"/>
      <c r="N1349" s="394"/>
      <c r="O1349" s="393">
        <f>11.7+50</f>
        <v>61.7</v>
      </c>
      <c r="P1349" s="394"/>
      <c r="Q1349" s="393"/>
      <c r="R1349" s="394"/>
      <c r="S1349" s="394"/>
      <c r="T1349" s="393"/>
      <c r="U1349" s="394"/>
      <c r="V1349" s="393">
        <v>0.9</v>
      </c>
      <c r="W1349" s="393"/>
      <c r="X1349" s="394"/>
      <c r="Y1349" s="393"/>
      <c r="Z1349" s="393"/>
      <c r="AA1349" s="394"/>
      <c r="AB1349" s="394"/>
      <c r="AC1349" s="394"/>
      <c r="AD1349" s="393"/>
      <c r="AE1349" s="394"/>
      <c r="AF1349" s="393"/>
      <c r="AG1349" s="394"/>
      <c r="AH1349" s="394"/>
      <c r="AI1349" s="394"/>
      <c r="AJ1349" s="394"/>
      <c r="AK1349" s="395">
        <f t="shared" si="216"/>
        <v>62.6</v>
      </c>
      <c r="AL1349" s="408">
        <f>AK1349</f>
        <v>62.6</v>
      </c>
      <c r="AM1349" s="409"/>
      <c r="AN1349" s="633">
        <f>SUM(AL1349:AM1350)</f>
        <v>62.6</v>
      </c>
    </row>
    <row r="1350" spans="3:40" ht="12.75" x14ac:dyDescent="0.2">
      <c r="C1350" s="580"/>
      <c r="D1350" s="577"/>
      <c r="E1350" s="404" t="s">
        <v>19</v>
      </c>
      <c r="F1350" s="396"/>
      <c r="G1350" s="396"/>
      <c r="H1350" s="404"/>
      <c r="I1350" s="396"/>
      <c r="J1350" s="396"/>
      <c r="K1350" s="396"/>
      <c r="L1350" s="404"/>
      <c r="M1350" s="396"/>
      <c r="N1350" s="404"/>
      <c r="O1350" s="396"/>
      <c r="P1350" s="396"/>
      <c r="Q1350" s="396"/>
      <c r="R1350" s="396"/>
      <c r="S1350" s="396"/>
      <c r="T1350" s="404"/>
      <c r="U1350" s="404"/>
      <c r="V1350" s="404"/>
      <c r="W1350" s="404"/>
      <c r="X1350" s="404"/>
      <c r="Y1350" s="396"/>
      <c r="Z1350" s="396"/>
      <c r="AA1350" s="404"/>
      <c r="AB1350" s="404"/>
      <c r="AC1350" s="404"/>
      <c r="AD1350" s="404"/>
      <c r="AE1350" s="404"/>
      <c r="AF1350" s="396"/>
      <c r="AG1350" s="396"/>
      <c r="AH1350" s="396"/>
      <c r="AI1350" s="396"/>
      <c r="AJ1350" s="396"/>
      <c r="AK1350" s="405">
        <f t="shared" si="216"/>
        <v>0</v>
      </c>
      <c r="AL1350" s="406"/>
      <c r="AM1350" s="407">
        <f>AK1350</f>
        <v>0</v>
      </c>
      <c r="AN1350" s="583"/>
    </row>
    <row r="1351" spans="3:40" ht="12.75" x14ac:dyDescent="0.2">
      <c r="C1351" s="580"/>
      <c r="D1351" s="402" t="s">
        <v>38</v>
      </c>
      <c r="E1351" s="393" t="s">
        <v>18</v>
      </c>
      <c r="F1351" s="394"/>
      <c r="G1351" s="394"/>
      <c r="H1351" s="394"/>
      <c r="I1351" s="394"/>
      <c r="J1351" s="394"/>
      <c r="K1351" s="394"/>
      <c r="L1351" s="394"/>
      <c r="M1351" s="394"/>
      <c r="N1351" s="394"/>
      <c r="O1351" s="394"/>
      <c r="P1351" s="394"/>
      <c r="Q1351" s="394"/>
      <c r="R1351" s="394"/>
      <c r="S1351" s="394"/>
      <c r="T1351" s="394"/>
      <c r="U1351" s="394"/>
      <c r="V1351" s="394"/>
      <c r="W1351" s="394"/>
      <c r="X1351" s="394"/>
      <c r="Y1351" s="394"/>
      <c r="Z1351" s="394"/>
      <c r="AA1351" s="394"/>
      <c r="AB1351" s="393">
        <v>54.09</v>
      </c>
      <c r="AC1351" s="393"/>
      <c r="AD1351" s="394"/>
      <c r="AE1351" s="394"/>
      <c r="AF1351" s="394"/>
      <c r="AG1351" s="394"/>
      <c r="AH1351" s="394"/>
      <c r="AI1351" s="394"/>
      <c r="AJ1351" s="394"/>
      <c r="AK1351" s="395">
        <f t="shared" si="216"/>
        <v>54.09</v>
      </c>
      <c r="AL1351" s="394">
        <f t="shared" ref="AL1351:AL1353" si="217">AK1351</f>
        <v>54.09</v>
      </c>
      <c r="AM1351" s="396"/>
      <c r="AN1351" s="374">
        <f t="shared" ref="AN1351:AN1352" si="218">AL1351</f>
        <v>54.09</v>
      </c>
    </row>
    <row r="1352" spans="3:40" ht="12.75" x14ac:dyDescent="0.2">
      <c r="C1352" s="580"/>
      <c r="D1352" s="402" t="s">
        <v>39</v>
      </c>
      <c r="E1352" s="393" t="s">
        <v>18</v>
      </c>
      <c r="F1352" s="394"/>
      <c r="G1352" s="394"/>
      <c r="H1352" s="394"/>
      <c r="I1352" s="394"/>
      <c r="J1352" s="394"/>
      <c r="K1352" s="394"/>
      <c r="L1352" s="394"/>
      <c r="M1352" s="393"/>
      <c r="N1352" s="394"/>
      <c r="O1352" s="394"/>
      <c r="P1352" s="394"/>
      <c r="Q1352" s="394"/>
      <c r="R1352" s="394"/>
      <c r="S1352" s="394"/>
      <c r="T1352" s="394"/>
      <c r="U1352" s="394"/>
      <c r="V1352" s="394"/>
      <c r="W1352" s="394"/>
      <c r="X1352" s="394"/>
      <c r="Y1352" s="394"/>
      <c r="Z1352" s="394"/>
      <c r="AA1352" s="394"/>
      <c r="AB1352" s="394"/>
      <c r="AC1352" s="394"/>
      <c r="AD1352" s="394"/>
      <c r="AE1352" s="394"/>
      <c r="AF1352" s="393">
        <v>23.04</v>
      </c>
      <c r="AG1352" s="394"/>
      <c r="AH1352" s="394"/>
      <c r="AI1352" s="394"/>
      <c r="AJ1352" s="394"/>
      <c r="AK1352" s="395">
        <f t="shared" si="216"/>
        <v>23.04</v>
      </c>
      <c r="AL1352" s="394">
        <f t="shared" si="217"/>
        <v>23.04</v>
      </c>
      <c r="AM1352" s="396"/>
      <c r="AN1352" s="374">
        <f t="shared" si="218"/>
        <v>23.04</v>
      </c>
    </row>
    <row r="1353" spans="3:40" ht="12.75" x14ac:dyDescent="0.2">
      <c r="C1353" s="580"/>
      <c r="D1353" s="643" t="s">
        <v>40</v>
      </c>
      <c r="E1353" s="393" t="s">
        <v>18</v>
      </c>
      <c r="F1353" s="394"/>
      <c r="G1353" s="394"/>
      <c r="H1353" s="394"/>
      <c r="I1353" s="394"/>
      <c r="J1353" s="394"/>
      <c r="K1353" s="394"/>
      <c r="L1353" s="394"/>
      <c r="M1353" s="394"/>
      <c r="N1353" s="394"/>
      <c r="O1353" s="394"/>
      <c r="P1353" s="394"/>
      <c r="Q1353" s="394"/>
      <c r="R1353" s="394"/>
      <c r="S1353" s="394"/>
      <c r="T1353" s="394"/>
      <c r="U1353" s="394"/>
      <c r="V1353" s="394"/>
      <c r="W1353" s="394"/>
      <c r="X1353" s="394"/>
      <c r="Y1353" s="394"/>
      <c r="Z1353" s="394"/>
      <c r="AA1353" s="394"/>
      <c r="AB1353" s="394"/>
      <c r="AC1353" s="394"/>
      <c r="AD1353" s="394"/>
      <c r="AE1353" s="394"/>
      <c r="AF1353" s="394"/>
      <c r="AG1353" s="394"/>
      <c r="AH1353" s="394"/>
      <c r="AI1353" s="394"/>
      <c r="AJ1353" s="394"/>
      <c r="AK1353" s="395">
        <f t="shared" si="216"/>
        <v>0</v>
      </c>
      <c r="AL1353" s="408">
        <f t="shared" si="217"/>
        <v>0</v>
      </c>
      <c r="AM1353" s="409"/>
      <c r="AN1353" s="633">
        <f>SUM(AL1353:AM1354)</f>
        <v>0</v>
      </c>
    </row>
    <row r="1354" spans="3:40" ht="12.75" x14ac:dyDescent="0.2">
      <c r="C1354" s="580"/>
      <c r="D1354" s="577"/>
      <c r="E1354" s="404" t="s">
        <v>19</v>
      </c>
      <c r="F1354" s="396"/>
      <c r="G1354" s="396"/>
      <c r="H1354" s="396"/>
      <c r="I1354" s="396"/>
      <c r="J1354" s="396"/>
      <c r="K1354" s="396"/>
      <c r="L1354" s="396"/>
      <c r="M1354" s="396"/>
      <c r="N1354" s="396"/>
      <c r="O1354" s="396"/>
      <c r="P1354" s="396"/>
      <c r="Q1354" s="396"/>
      <c r="R1354" s="396"/>
      <c r="S1354" s="396"/>
      <c r="T1354" s="396"/>
      <c r="U1354" s="396"/>
      <c r="V1354" s="396"/>
      <c r="W1354" s="396"/>
      <c r="X1354" s="396"/>
      <c r="Y1354" s="396"/>
      <c r="Z1354" s="396"/>
      <c r="AA1354" s="396"/>
      <c r="AB1354" s="396"/>
      <c r="AC1354" s="396"/>
      <c r="AD1354" s="396"/>
      <c r="AE1354" s="396"/>
      <c r="AF1354" s="396"/>
      <c r="AG1354" s="396"/>
      <c r="AH1354" s="396"/>
      <c r="AI1354" s="396"/>
      <c r="AJ1354" s="396"/>
      <c r="AK1354" s="405">
        <f t="shared" si="216"/>
        <v>0</v>
      </c>
      <c r="AL1354" s="406"/>
      <c r="AM1354" s="407">
        <f>AK1354</f>
        <v>0</v>
      </c>
      <c r="AN1354" s="583"/>
    </row>
    <row r="1355" spans="3:40" ht="12.75" x14ac:dyDescent="0.2">
      <c r="C1355" s="580"/>
      <c r="D1355" s="643" t="s">
        <v>41</v>
      </c>
      <c r="E1355" s="393" t="s">
        <v>18</v>
      </c>
      <c r="F1355" s="394"/>
      <c r="G1355" s="394"/>
      <c r="H1355" s="394"/>
      <c r="I1355" s="394"/>
      <c r="J1355" s="394"/>
      <c r="K1355" s="394"/>
      <c r="L1355" s="394"/>
      <c r="M1355" s="394"/>
      <c r="N1355" s="394"/>
      <c r="O1355" s="394"/>
      <c r="P1355" s="394"/>
      <c r="Q1355" s="394"/>
      <c r="R1355" s="394"/>
      <c r="S1355" s="394"/>
      <c r="T1355" s="394"/>
      <c r="U1355" s="394"/>
      <c r="V1355" s="394"/>
      <c r="W1355" s="394"/>
      <c r="X1355" s="394"/>
      <c r="Y1355" s="394"/>
      <c r="Z1355" s="394"/>
      <c r="AA1355" s="393"/>
      <c r="AB1355" s="394"/>
      <c r="AC1355" s="394"/>
      <c r="AD1355" s="394"/>
      <c r="AE1355" s="394"/>
      <c r="AF1355" s="394"/>
      <c r="AG1355" s="394"/>
      <c r="AH1355" s="394"/>
      <c r="AI1355" s="394"/>
      <c r="AJ1355" s="394"/>
      <c r="AK1355" s="395">
        <f t="shared" si="216"/>
        <v>0</v>
      </c>
      <c r="AL1355" s="408">
        <f>AK1355</f>
        <v>0</v>
      </c>
      <c r="AM1355" s="409"/>
      <c r="AN1355" s="635">
        <f>SUM(AL1355:AM1356)</f>
        <v>90</v>
      </c>
    </row>
    <row r="1356" spans="3:40" ht="12.75" x14ac:dyDescent="0.2">
      <c r="C1356" s="580"/>
      <c r="D1356" s="577"/>
      <c r="E1356" s="404" t="s">
        <v>19</v>
      </c>
      <c r="F1356" s="396"/>
      <c r="G1356" s="396"/>
      <c r="H1356" s="396"/>
      <c r="I1356" s="396"/>
      <c r="J1356" s="404">
        <v>90</v>
      </c>
      <c r="K1356" s="396"/>
      <c r="L1356" s="396"/>
      <c r="M1356" s="404"/>
      <c r="N1356" s="396"/>
      <c r="O1356" s="396"/>
      <c r="P1356" s="396"/>
      <c r="Q1356" s="404"/>
      <c r="R1356" s="404"/>
      <c r="S1356" s="404"/>
      <c r="T1356" s="396"/>
      <c r="U1356" s="404"/>
      <c r="V1356" s="396"/>
      <c r="W1356" s="396"/>
      <c r="X1356" s="396"/>
      <c r="Y1356" s="396"/>
      <c r="Z1356" s="396"/>
      <c r="AA1356" s="396"/>
      <c r="AB1356" s="396"/>
      <c r="AC1356" s="396"/>
      <c r="AD1356" s="396"/>
      <c r="AE1356" s="404"/>
      <c r="AF1356" s="396"/>
      <c r="AG1356" s="396"/>
      <c r="AH1356" s="396"/>
      <c r="AI1356" s="396"/>
      <c r="AJ1356" s="396"/>
      <c r="AK1356" s="405">
        <f t="shared" si="216"/>
        <v>90</v>
      </c>
      <c r="AL1356" s="406"/>
      <c r="AM1356" s="407">
        <f>AK1356</f>
        <v>90</v>
      </c>
      <c r="AN1356" s="585"/>
    </row>
    <row r="1357" spans="3:40" ht="12.75" x14ac:dyDescent="0.2">
      <c r="C1357" s="580"/>
      <c r="D1357" s="402" t="s">
        <v>42</v>
      </c>
      <c r="E1357" s="393" t="s">
        <v>18</v>
      </c>
      <c r="F1357" s="394"/>
      <c r="G1357" s="394"/>
      <c r="H1357" s="394"/>
      <c r="I1357" s="393"/>
      <c r="J1357" s="394"/>
      <c r="K1357" s="394"/>
      <c r="L1357" s="394"/>
      <c r="M1357" s="394"/>
      <c r="N1357" s="394"/>
      <c r="O1357" s="394"/>
      <c r="P1357" s="394"/>
      <c r="Q1357" s="394"/>
      <c r="R1357" s="394"/>
      <c r="S1357" s="394"/>
      <c r="T1357" s="394"/>
      <c r="U1357" s="394"/>
      <c r="V1357" s="394"/>
      <c r="W1357" s="394"/>
      <c r="X1357" s="394"/>
      <c r="Y1357" s="394"/>
      <c r="Z1357" s="394"/>
      <c r="AA1357" s="394"/>
      <c r="AB1357" s="394"/>
      <c r="AC1357" s="394"/>
      <c r="AD1357" s="394"/>
      <c r="AE1357" s="394"/>
      <c r="AF1357" s="394"/>
      <c r="AG1357" s="394"/>
      <c r="AH1357" s="394"/>
      <c r="AI1357" s="393"/>
      <c r="AJ1357" s="394"/>
      <c r="AK1357" s="395">
        <f t="shared" si="216"/>
        <v>0</v>
      </c>
      <c r="AL1357" s="394">
        <f>AK1357</f>
        <v>0</v>
      </c>
      <c r="AM1357" s="396"/>
      <c r="AN1357" s="374">
        <f>AL1357</f>
        <v>0</v>
      </c>
    </row>
    <row r="1358" spans="3:40" ht="12.75" x14ac:dyDescent="0.2">
      <c r="C1358" s="580"/>
      <c r="D1358" s="402" t="s">
        <v>43</v>
      </c>
      <c r="E1358" s="404" t="s">
        <v>19</v>
      </c>
      <c r="F1358" s="396"/>
      <c r="G1358" s="396"/>
      <c r="H1358" s="396"/>
      <c r="I1358" s="396"/>
      <c r="J1358" s="396"/>
      <c r="K1358" s="396"/>
      <c r="L1358" s="396"/>
      <c r="M1358" s="396"/>
      <c r="N1358" s="396"/>
      <c r="O1358" s="396"/>
      <c r="P1358" s="396"/>
      <c r="Q1358" s="396"/>
      <c r="R1358" s="396"/>
      <c r="S1358" s="396"/>
      <c r="T1358" s="396"/>
      <c r="U1358" s="396"/>
      <c r="V1358" s="396"/>
      <c r="W1358" s="396"/>
      <c r="X1358" s="396"/>
      <c r="Y1358" s="396"/>
      <c r="Z1358" s="396"/>
      <c r="AA1358" s="396"/>
      <c r="AB1358" s="396"/>
      <c r="AC1358" s="396"/>
      <c r="AD1358" s="396"/>
      <c r="AE1358" s="396"/>
      <c r="AF1358" s="396"/>
      <c r="AG1358" s="396"/>
      <c r="AH1358" s="396"/>
      <c r="AI1358" s="396"/>
      <c r="AJ1358" s="396"/>
      <c r="AK1358" s="405">
        <f t="shared" si="216"/>
        <v>0</v>
      </c>
      <c r="AL1358" s="394"/>
      <c r="AM1358" s="396">
        <f>AK1358</f>
        <v>0</v>
      </c>
      <c r="AN1358" s="374">
        <f>AM1358</f>
        <v>0</v>
      </c>
    </row>
    <row r="1359" spans="3:40" ht="12.75" x14ac:dyDescent="0.2">
      <c r="C1359" s="580"/>
      <c r="D1359" s="643" t="s">
        <v>44</v>
      </c>
      <c r="E1359" s="393" t="s">
        <v>18</v>
      </c>
      <c r="F1359" s="394"/>
      <c r="G1359" s="394"/>
      <c r="H1359" s="394"/>
      <c r="I1359" s="394"/>
      <c r="J1359" s="394"/>
      <c r="K1359" s="394"/>
      <c r="L1359" s="394"/>
      <c r="M1359" s="394"/>
      <c r="N1359" s="394"/>
      <c r="O1359" s="394"/>
      <c r="P1359" s="394"/>
      <c r="Q1359" s="394"/>
      <c r="R1359" s="394"/>
      <c r="S1359" s="394"/>
      <c r="T1359" s="394"/>
      <c r="U1359" s="394"/>
      <c r="V1359" s="394"/>
      <c r="W1359" s="394"/>
      <c r="X1359" s="394"/>
      <c r="Y1359" s="394"/>
      <c r="Z1359" s="394"/>
      <c r="AA1359" s="394"/>
      <c r="AB1359" s="394"/>
      <c r="AC1359" s="394"/>
      <c r="AD1359" s="394"/>
      <c r="AE1359" s="394"/>
      <c r="AF1359" s="394"/>
      <c r="AG1359" s="394"/>
      <c r="AH1359" s="394"/>
      <c r="AI1359" s="394"/>
      <c r="AJ1359" s="394"/>
      <c r="AK1359" s="395">
        <f t="shared" si="216"/>
        <v>0</v>
      </c>
      <c r="AL1359" s="408">
        <f>AK1359</f>
        <v>0</v>
      </c>
      <c r="AM1359" s="409"/>
      <c r="AN1359" s="633">
        <f>SUM(AL1359:AM1360)</f>
        <v>0</v>
      </c>
    </row>
    <row r="1360" spans="3:40" ht="12.75" x14ac:dyDescent="0.2">
      <c r="C1360" s="581"/>
      <c r="D1360" s="585"/>
      <c r="E1360" s="404" t="s">
        <v>19</v>
      </c>
      <c r="F1360" s="407"/>
      <c r="G1360" s="407"/>
      <c r="H1360" s="407"/>
      <c r="I1360" s="407"/>
      <c r="J1360" s="407"/>
      <c r="K1360" s="407"/>
      <c r="L1360" s="407"/>
      <c r="M1360" s="407"/>
      <c r="N1360" s="407"/>
      <c r="O1360" s="407"/>
      <c r="P1360" s="407"/>
      <c r="Q1360" s="407"/>
      <c r="R1360" s="407"/>
      <c r="S1360" s="407"/>
      <c r="T1360" s="407"/>
      <c r="U1360" s="407"/>
      <c r="V1360" s="407"/>
      <c r="W1360" s="407"/>
      <c r="X1360" s="407"/>
      <c r="Y1360" s="407"/>
      <c r="Z1360" s="407"/>
      <c r="AA1360" s="407"/>
      <c r="AB1360" s="407"/>
      <c r="AC1360" s="407"/>
      <c r="AD1360" s="407"/>
      <c r="AE1360" s="407"/>
      <c r="AF1360" s="407"/>
      <c r="AG1360" s="407"/>
      <c r="AH1360" s="407"/>
      <c r="AI1360" s="407"/>
      <c r="AJ1360" s="407"/>
      <c r="AK1360" s="405">
        <f t="shared" si="216"/>
        <v>0</v>
      </c>
      <c r="AL1360" s="406"/>
      <c r="AM1360" s="407">
        <f>AK1360</f>
        <v>0</v>
      </c>
      <c r="AN1360" s="583"/>
    </row>
    <row r="1361" spans="3:40" ht="12.75" x14ac:dyDescent="0.2">
      <c r="C1361" s="629" t="s">
        <v>45</v>
      </c>
      <c r="D1361" s="644" t="s">
        <v>46</v>
      </c>
      <c r="E1361" s="411" t="s">
        <v>18</v>
      </c>
      <c r="F1361" s="412"/>
      <c r="G1361" s="411"/>
      <c r="H1361" s="412"/>
      <c r="I1361" s="412"/>
      <c r="J1361" s="412"/>
      <c r="K1361" s="412">
        <f>2.12+0.99+1.25+7.97+7.93-0.11</f>
        <v>20.149999999999999</v>
      </c>
      <c r="L1361" s="412"/>
      <c r="M1361" s="412"/>
      <c r="N1361" s="411"/>
      <c r="O1361" s="412"/>
      <c r="P1361" s="412">
        <f>1.94+2.95+4.86+3.73</f>
        <v>13.48</v>
      </c>
      <c r="Q1361" s="412"/>
      <c r="R1361" s="411">
        <v>21.95</v>
      </c>
      <c r="S1361" s="411">
        <f>3.04+0.49</f>
        <v>3.5300000000000002</v>
      </c>
      <c r="T1361" s="411">
        <f>7.96+5.34+1.84+2.28</f>
        <v>17.420000000000002</v>
      </c>
      <c r="U1361" s="412"/>
      <c r="V1361" s="411"/>
      <c r="W1361" s="411"/>
      <c r="X1361" s="412"/>
      <c r="Y1361" s="412">
        <f>34.78-1.45</f>
        <v>33.33</v>
      </c>
      <c r="Z1361" s="412"/>
      <c r="AA1361" s="412"/>
      <c r="AB1361" s="411"/>
      <c r="AC1361" s="412">
        <f>17.39+2.29+3.99+2.79</f>
        <v>26.46</v>
      </c>
      <c r="AD1361" s="411"/>
      <c r="AE1361" s="412"/>
      <c r="AF1361" s="412">
        <f>3.9+3.26</f>
        <v>7.16</v>
      </c>
      <c r="AG1361" s="411">
        <v>11.31</v>
      </c>
      <c r="AH1361" s="411">
        <v>18.62</v>
      </c>
      <c r="AI1361" s="412"/>
      <c r="AJ1361" s="411">
        <v>11.28</v>
      </c>
      <c r="AK1361" s="395">
        <f t="shared" si="216"/>
        <v>184.69</v>
      </c>
      <c r="AL1361" s="408">
        <f>AK1361</f>
        <v>184.69</v>
      </c>
      <c r="AM1361" s="409"/>
      <c r="AN1361" s="635">
        <f>SUM(AL1361:AM1362)</f>
        <v>219.69</v>
      </c>
    </row>
    <row r="1362" spans="3:40" ht="12.75" x14ac:dyDescent="0.2">
      <c r="C1362" s="580"/>
      <c r="D1362" s="577"/>
      <c r="E1362" s="404" t="s">
        <v>19</v>
      </c>
      <c r="F1362" s="404">
        <v>18</v>
      </c>
      <c r="G1362" s="404">
        <v>17</v>
      </c>
      <c r="H1362" s="396"/>
      <c r="I1362" s="396"/>
      <c r="J1362" s="396"/>
      <c r="K1362" s="396"/>
      <c r="L1362" s="404"/>
      <c r="M1362" s="396"/>
      <c r="N1362" s="396"/>
      <c r="O1362" s="396"/>
      <c r="P1362" s="396"/>
      <c r="Q1362" s="396"/>
      <c r="R1362" s="396"/>
      <c r="S1362" s="404"/>
      <c r="T1362" s="404"/>
      <c r="U1362" s="396"/>
      <c r="V1362" s="404"/>
      <c r="W1362" s="396"/>
      <c r="X1362" s="404"/>
      <c r="Y1362" s="396"/>
      <c r="Z1362" s="404"/>
      <c r="AA1362" s="396"/>
      <c r="AB1362" s="404"/>
      <c r="AC1362" s="404"/>
      <c r="AD1362" s="404"/>
      <c r="AE1362" s="396"/>
      <c r="AF1362" s="396"/>
      <c r="AG1362" s="396"/>
      <c r="AH1362" s="396"/>
      <c r="AI1362" s="396"/>
      <c r="AJ1362" s="396"/>
      <c r="AK1362" s="405">
        <f t="shared" si="216"/>
        <v>35</v>
      </c>
      <c r="AL1362" s="406"/>
      <c r="AM1362" s="407">
        <f>AK1362</f>
        <v>35</v>
      </c>
      <c r="AN1362" s="585"/>
    </row>
    <row r="1363" spans="3:40" ht="12.75" x14ac:dyDescent="0.2">
      <c r="C1363" s="580"/>
      <c r="D1363" s="643" t="s">
        <v>47</v>
      </c>
      <c r="E1363" s="393" t="s">
        <v>18</v>
      </c>
      <c r="F1363" s="394"/>
      <c r="G1363" s="393"/>
      <c r="H1363" s="393"/>
      <c r="I1363" s="393"/>
      <c r="J1363" s="393">
        <v>18.98</v>
      </c>
      <c r="K1363" s="394">
        <f>1.85+3.68</f>
        <v>5.53</v>
      </c>
      <c r="L1363" s="393">
        <v>15.58</v>
      </c>
      <c r="M1363" s="393"/>
      <c r="N1363" s="393"/>
      <c r="O1363" s="393"/>
      <c r="P1363" s="393">
        <f>8.39+1.02</f>
        <v>9.41</v>
      </c>
      <c r="Q1363" s="393"/>
      <c r="R1363" s="394"/>
      <c r="S1363" s="393">
        <v>3.07</v>
      </c>
      <c r="T1363" s="393"/>
      <c r="U1363" s="393">
        <f>4.67+4.67+3.32+5.49+3.58+1.71</f>
        <v>23.439999999999998</v>
      </c>
      <c r="V1363" s="393">
        <f>1.8+9.28</f>
        <v>11.08</v>
      </c>
      <c r="W1363" s="394">
        <f>2.01+4.27</f>
        <v>6.2799999999999994</v>
      </c>
      <c r="X1363" s="393"/>
      <c r="Y1363" s="393">
        <v>1.45</v>
      </c>
      <c r="Z1363" s="393">
        <f>4.99-0.02</f>
        <v>4.9700000000000006</v>
      </c>
      <c r="AA1363" s="393"/>
      <c r="AB1363" s="393"/>
      <c r="AC1363" s="393">
        <f>29.68+2.06</f>
        <v>31.74</v>
      </c>
      <c r="AD1363" s="393">
        <v>2.08</v>
      </c>
      <c r="AE1363" s="394"/>
      <c r="AF1363" s="394">
        <f>1.38+3.96+1.56</f>
        <v>6.9</v>
      </c>
      <c r="AG1363" s="394"/>
      <c r="AH1363" s="394"/>
      <c r="AI1363" s="393">
        <f>1.71+7.14</f>
        <v>8.85</v>
      </c>
      <c r="AJ1363" s="394"/>
      <c r="AK1363" s="395">
        <f t="shared" si="216"/>
        <v>149.36000000000001</v>
      </c>
      <c r="AL1363" s="408">
        <f>AK1363</f>
        <v>149.36000000000001</v>
      </c>
      <c r="AM1363" s="409"/>
      <c r="AN1363" s="635">
        <f>SUM(AL1363:AM1364)</f>
        <v>160.15</v>
      </c>
    </row>
    <row r="1364" spans="3:40" ht="12.75" x14ac:dyDescent="0.2">
      <c r="C1364" s="580"/>
      <c r="D1364" s="577"/>
      <c r="E1364" s="404" t="s">
        <v>19</v>
      </c>
      <c r="F1364" s="396"/>
      <c r="G1364" s="396"/>
      <c r="H1364" s="404">
        <v>6.2</v>
      </c>
      <c r="I1364" s="404">
        <v>4.59</v>
      </c>
      <c r="J1364" s="404"/>
      <c r="K1364" s="396"/>
      <c r="L1364" s="396"/>
      <c r="M1364" s="396"/>
      <c r="N1364" s="396"/>
      <c r="O1364" s="396"/>
      <c r="P1364" s="404"/>
      <c r="Q1364" s="404"/>
      <c r="R1364" s="404"/>
      <c r="S1364" s="404"/>
      <c r="T1364" s="404"/>
      <c r="U1364" s="404"/>
      <c r="V1364" s="404"/>
      <c r="W1364" s="404"/>
      <c r="X1364" s="404"/>
      <c r="Y1364" s="396"/>
      <c r="Z1364" s="404"/>
      <c r="AA1364" s="396"/>
      <c r="AB1364" s="404"/>
      <c r="AC1364" s="396"/>
      <c r="AD1364" s="396"/>
      <c r="AE1364" s="396"/>
      <c r="AF1364" s="396"/>
      <c r="AG1364" s="396"/>
      <c r="AH1364" s="396"/>
      <c r="AI1364" s="396"/>
      <c r="AJ1364" s="396"/>
      <c r="AK1364" s="405">
        <f t="shared" si="216"/>
        <v>10.79</v>
      </c>
      <c r="AL1364" s="406"/>
      <c r="AM1364" s="407">
        <f>AK1364</f>
        <v>10.79</v>
      </c>
      <c r="AN1364" s="585"/>
    </row>
    <row r="1365" spans="3:40" ht="12.75" x14ac:dyDescent="0.2">
      <c r="C1365" s="580"/>
      <c r="D1365" s="643" t="s">
        <v>48</v>
      </c>
      <c r="E1365" s="393" t="s">
        <v>18</v>
      </c>
      <c r="F1365" s="394"/>
      <c r="G1365" s="393"/>
      <c r="H1365" s="393"/>
      <c r="I1365" s="393"/>
      <c r="J1365" s="394"/>
      <c r="K1365" s="393"/>
      <c r="L1365" s="393"/>
      <c r="M1365" s="394">
        <f>0.89+4.56</f>
        <v>5.4499999999999993</v>
      </c>
      <c r="N1365" s="394">
        <f>10.53-5.6</f>
        <v>4.93</v>
      </c>
      <c r="O1365" s="394"/>
      <c r="P1365" s="394"/>
      <c r="Q1365" s="393"/>
      <c r="R1365" s="393"/>
      <c r="S1365" s="393"/>
      <c r="T1365" s="393"/>
      <c r="U1365" s="393"/>
      <c r="V1365" s="393"/>
      <c r="W1365" s="393"/>
      <c r="X1365" s="393"/>
      <c r="Y1365" s="393"/>
      <c r="Z1365" s="394"/>
      <c r="AA1365" s="394"/>
      <c r="AB1365" s="393"/>
      <c r="AC1365" s="394"/>
      <c r="AD1365" s="393"/>
      <c r="AE1365" s="393"/>
      <c r="AF1365" s="394"/>
      <c r="AG1365" s="394"/>
      <c r="AH1365" s="394"/>
      <c r="AI1365" s="394"/>
      <c r="AJ1365" s="394"/>
      <c r="AK1365" s="395">
        <f t="shared" si="216"/>
        <v>10.379999999999999</v>
      </c>
      <c r="AL1365" s="408">
        <f>AK1365</f>
        <v>10.379999999999999</v>
      </c>
      <c r="AM1365" s="409"/>
      <c r="AN1365" s="633">
        <f>SUM(AL1365:AM1366)</f>
        <v>10.379999999999999</v>
      </c>
    </row>
    <row r="1366" spans="3:40" ht="12.75" x14ac:dyDescent="0.2">
      <c r="C1366" s="580"/>
      <c r="D1366" s="577"/>
      <c r="E1366" s="404" t="s">
        <v>19</v>
      </c>
      <c r="F1366" s="396"/>
      <c r="G1366" s="396"/>
      <c r="H1366" s="404"/>
      <c r="I1366" s="396"/>
      <c r="J1366" s="396"/>
      <c r="K1366" s="404"/>
      <c r="L1366" s="404"/>
      <c r="M1366" s="404"/>
      <c r="N1366" s="396"/>
      <c r="O1366" s="396"/>
      <c r="P1366" s="396"/>
      <c r="Q1366" s="404"/>
      <c r="R1366" s="404"/>
      <c r="S1366" s="404"/>
      <c r="T1366" s="404"/>
      <c r="U1366" s="404"/>
      <c r="V1366" s="404"/>
      <c r="W1366" s="404"/>
      <c r="X1366" s="404"/>
      <c r="Y1366" s="396"/>
      <c r="Z1366" s="396"/>
      <c r="AA1366" s="404"/>
      <c r="AB1366" s="404"/>
      <c r="AC1366" s="404"/>
      <c r="AD1366" s="404"/>
      <c r="AE1366" s="404"/>
      <c r="AF1366" s="396"/>
      <c r="AG1366" s="396"/>
      <c r="AH1366" s="396"/>
      <c r="AI1366" s="396"/>
      <c r="AJ1366" s="396"/>
      <c r="AK1366" s="405">
        <f t="shared" si="216"/>
        <v>0</v>
      </c>
      <c r="AL1366" s="406"/>
      <c r="AM1366" s="407">
        <f>AK1366</f>
        <v>0</v>
      </c>
      <c r="AN1366" s="583"/>
    </row>
    <row r="1367" spans="3:40" ht="12.75" x14ac:dyDescent="0.2">
      <c r="C1367" s="580"/>
      <c r="D1367" s="643" t="s">
        <v>49</v>
      </c>
      <c r="E1367" s="393" t="s">
        <v>18</v>
      </c>
      <c r="F1367" s="393"/>
      <c r="G1367" s="393"/>
      <c r="H1367" s="394"/>
      <c r="I1367" s="394"/>
      <c r="J1367" s="393">
        <v>3</v>
      </c>
      <c r="K1367" s="394"/>
      <c r="L1367" s="394"/>
      <c r="M1367" s="393">
        <v>3</v>
      </c>
      <c r="N1367" s="394"/>
      <c r="O1367" s="393"/>
      <c r="P1367" s="393">
        <v>27.99</v>
      </c>
      <c r="Q1367" s="393"/>
      <c r="R1367" s="394"/>
      <c r="S1367" s="393"/>
      <c r="T1367" s="393">
        <v>6</v>
      </c>
      <c r="U1367" s="393"/>
      <c r="V1367" s="393"/>
      <c r="W1367" s="393">
        <f>4.5+7.5</f>
        <v>12</v>
      </c>
      <c r="X1367" s="394"/>
      <c r="Y1367" s="394"/>
      <c r="Z1367" s="393"/>
      <c r="AA1367" s="393"/>
      <c r="AB1367" s="394"/>
      <c r="AC1367" s="394"/>
      <c r="AD1367" s="394"/>
      <c r="AE1367" s="393"/>
      <c r="AF1367" s="394"/>
      <c r="AG1367" s="394"/>
      <c r="AH1367" s="394"/>
      <c r="AI1367" s="394"/>
      <c r="AJ1367" s="394"/>
      <c r="AK1367" s="395">
        <f t="shared" si="216"/>
        <v>51.989999999999995</v>
      </c>
      <c r="AL1367" s="408">
        <f>AK1367</f>
        <v>51.989999999999995</v>
      </c>
      <c r="AM1367" s="409"/>
      <c r="AN1367" s="633">
        <f>SUM(AL1367:AM1368)</f>
        <v>51.989999999999995</v>
      </c>
    </row>
    <row r="1368" spans="3:40" ht="12.75" x14ac:dyDescent="0.2">
      <c r="C1368" s="580"/>
      <c r="D1368" s="577"/>
      <c r="E1368" s="404" t="s">
        <v>19</v>
      </c>
      <c r="F1368" s="396"/>
      <c r="G1368" s="396"/>
      <c r="H1368" s="404"/>
      <c r="I1368" s="404"/>
      <c r="J1368" s="404"/>
      <c r="K1368" s="404"/>
      <c r="L1368" s="404"/>
      <c r="M1368" s="404"/>
      <c r="N1368" s="404"/>
      <c r="O1368" s="404"/>
      <c r="P1368" s="404"/>
      <c r="Q1368" s="404"/>
      <c r="R1368" s="404"/>
      <c r="S1368" s="404"/>
      <c r="T1368" s="404"/>
      <c r="U1368" s="404"/>
      <c r="V1368" s="404"/>
      <c r="W1368" s="404"/>
      <c r="X1368" s="404"/>
      <c r="Y1368" s="404"/>
      <c r="Z1368" s="404"/>
      <c r="AA1368" s="396"/>
      <c r="AB1368" s="396"/>
      <c r="AC1368" s="396"/>
      <c r="AD1368" s="396"/>
      <c r="AE1368" s="404"/>
      <c r="AF1368" s="396"/>
      <c r="AG1368" s="396"/>
      <c r="AH1368" s="396"/>
      <c r="AI1368" s="396"/>
      <c r="AJ1368" s="396"/>
      <c r="AK1368" s="405">
        <f t="shared" si="216"/>
        <v>0</v>
      </c>
      <c r="AL1368" s="406"/>
      <c r="AM1368" s="407">
        <f>AK1368</f>
        <v>0</v>
      </c>
      <c r="AN1368" s="583"/>
    </row>
    <row r="1369" spans="3:40" ht="12.75" x14ac:dyDescent="0.2">
      <c r="C1369" s="580"/>
      <c r="D1369" s="643" t="s">
        <v>50</v>
      </c>
      <c r="E1369" s="393" t="s">
        <v>18</v>
      </c>
      <c r="F1369" s="393">
        <v>0.4</v>
      </c>
      <c r="G1369" s="393"/>
      <c r="H1369" s="393"/>
      <c r="I1369" s="393"/>
      <c r="J1369" s="393">
        <f>5.6*2</f>
        <v>11.2</v>
      </c>
      <c r="K1369" s="393">
        <v>5.6</v>
      </c>
      <c r="L1369" s="393">
        <v>5.6</v>
      </c>
      <c r="M1369" s="393">
        <v>5.6</v>
      </c>
      <c r="N1369" s="393">
        <v>5.6</v>
      </c>
      <c r="O1369" s="393">
        <f>5.6+5.9+5.6</f>
        <v>17.100000000000001</v>
      </c>
      <c r="P1369" s="393">
        <v>23.99</v>
      </c>
      <c r="Q1369" s="393">
        <v>5.6</v>
      </c>
      <c r="R1369" s="393">
        <f>5.9+5.6</f>
        <v>11.5</v>
      </c>
      <c r="S1369" s="393">
        <v>5.6</v>
      </c>
      <c r="T1369" s="393">
        <v>5.6</v>
      </c>
      <c r="U1369" s="393">
        <f>5.6+5.6</f>
        <v>11.2</v>
      </c>
      <c r="V1369" s="393">
        <v>5.6</v>
      </c>
      <c r="W1369" s="393">
        <v>5.6</v>
      </c>
      <c r="X1369" s="393">
        <f>5.6+5.6</f>
        <v>11.2</v>
      </c>
      <c r="Y1369" s="393">
        <v>5.6</v>
      </c>
      <c r="Z1369" s="393">
        <f>5.6+4.99</f>
        <v>10.59</v>
      </c>
      <c r="AA1369" s="393">
        <v>5.6</v>
      </c>
      <c r="AB1369" s="393">
        <v>5.6</v>
      </c>
      <c r="AC1369" s="393">
        <f>5.6*2</f>
        <v>11.2</v>
      </c>
      <c r="AD1369" s="393"/>
      <c r="AE1369" s="393">
        <v>5.8</v>
      </c>
      <c r="AF1369" s="393"/>
      <c r="AG1369" s="393">
        <v>5.6</v>
      </c>
      <c r="AH1369" s="393">
        <v>5.6</v>
      </c>
      <c r="AI1369" s="393">
        <v>5.6</v>
      </c>
      <c r="AJ1369" s="393">
        <v>11.2</v>
      </c>
      <c r="AK1369" s="395">
        <f t="shared" si="216"/>
        <v>209.37999999999994</v>
      </c>
      <c r="AL1369" s="408">
        <f>AK1369</f>
        <v>209.37999999999994</v>
      </c>
      <c r="AM1369" s="409"/>
      <c r="AN1369" s="633">
        <f>SUM(AL1369:AM1370)</f>
        <v>231.17999999999995</v>
      </c>
    </row>
    <row r="1370" spans="3:40" ht="12.75" x14ac:dyDescent="0.2">
      <c r="C1370" s="580"/>
      <c r="D1370" s="577"/>
      <c r="E1370" s="404" t="s">
        <v>19</v>
      </c>
      <c r="F1370" s="404">
        <v>5</v>
      </c>
      <c r="G1370" s="404">
        <v>5.6</v>
      </c>
      <c r="H1370" s="404">
        <v>5.6</v>
      </c>
      <c r="I1370" s="404">
        <v>5.6</v>
      </c>
      <c r="J1370" s="404"/>
      <c r="K1370" s="404"/>
      <c r="L1370" s="404"/>
      <c r="M1370" s="404"/>
      <c r="N1370" s="404"/>
      <c r="O1370" s="404"/>
      <c r="P1370" s="404"/>
      <c r="Q1370" s="404"/>
      <c r="R1370" s="404"/>
      <c r="S1370" s="404"/>
      <c r="T1370" s="404"/>
      <c r="U1370" s="404"/>
      <c r="V1370" s="404"/>
      <c r="W1370" s="404"/>
      <c r="X1370" s="404"/>
      <c r="Y1370" s="404"/>
      <c r="Z1370" s="404"/>
      <c r="AA1370" s="404"/>
      <c r="AB1370" s="404"/>
      <c r="AC1370" s="404"/>
      <c r="AD1370" s="396"/>
      <c r="AE1370" s="396"/>
      <c r="AF1370" s="396"/>
      <c r="AG1370" s="396"/>
      <c r="AH1370" s="396"/>
      <c r="AI1370" s="396"/>
      <c r="AJ1370" s="396"/>
      <c r="AK1370" s="405">
        <f t="shared" si="216"/>
        <v>21.799999999999997</v>
      </c>
      <c r="AL1370" s="406"/>
      <c r="AM1370" s="407">
        <f>AK1370</f>
        <v>21.799999999999997</v>
      </c>
      <c r="AN1370" s="583"/>
    </row>
    <row r="1371" spans="3:40" ht="12.75" x14ac:dyDescent="0.2">
      <c r="C1371" s="580"/>
      <c r="D1371" s="643" t="s">
        <v>1</v>
      </c>
      <c r="E1371" s="393" t="s">
        <v>18</v>
      </c>
      <c r="F1371" s="394"/>
      <c r="G1371" s="394"/>
      <c r="H1371" s="394"/>
      <c r="I1371" s="394"/>
      <c r="J1371" s="394"/>
      <c r="K1371" s="393"/>
      <c r="L1371" s="394"/>
      <c r="M1371" s="394"/>
      <c r="N1371" s="394"/>
      <c r="O1371" s="394"/>
      <c r="P1371" s="394"/>
      <c r="Q1371" s="393"/>
      <c r="R1371" s="393"/>
      <c r="S1371" s="393"/>
      <c r="T1371" s="394"/>
      <c r="U1371" s="393">
        <f>2.89+2.89+4.39</f>
        <v>10.17</v>
      </c>
      <c r="V1371" s="393"/>
      <c r="W1371" s="394"/>
      <c r="X1371" s="393"/>
      <c r="Y1371" s="393"/>
      <c r="Z1371" s="393"/>
      <c r="AA1371" s="393"/>
      <c r="AB1371" s="393"/>
      <c r="AC1371" s="393"/>
      <c r="AD1371" s="394"/>
      <c r="AE1371" s="394"/>
      <c r="AF1371" s="394"/>
      <c r="AG1371" s="394"/>
      <c r="AH1371" s="394"/>
      <c r="AI1371" s="394">
        <f>3.19+5.78</f>
        <v>8.9700000000000006</v>
      </c>
      <c r="AJ1371" s="394"/>
      <c r="AK1371" s="395">
        <f t="shared" si="216"/>
        <v>19.14</v>
      </c>
      <c r="AL1371" s="403">
        <f>AK1371</f>
        <v>19.14</v>
      </c>
      <c r="AM1371" s="396"/>
      <c r="AN1371" s="633">
        <f>SUM(AL1371:AM1372)</f>
        <v>35.900000000000006</v>
      </c>
    </row>
    <row r="1372" spans="3:40" ht="12.75" x14ac:dyDescent="0.2">
      <c r="C1372" s="580"/>
      <c r="D1372" s="577"/>
      <c r="E1372" s="404" t="s">
        <v>19</v>
      </c>
      <c r="F1372" s="396"/>
      <c r="G1372" s="396"/>
      <c r="H1372" s="404">
        <f>22.96-6.2</f>
        <v>16.760000000000002</v>
      </c>
      <c r="I1372" s="396"/>
      <c r="J1372" s="396"/>
      <c r="K1372" s="396"/>
      <c r="L1372" s="396"/>
      <c r="M1372" s="396"/>
      <c r="N1372" s="396"/>
      <c r="O1372" s="396"/>
      <c r="P1372" s="396"/>
      <c r="Q1372" s="404"/>
      <c r="R1372" s="404"/>
      <c r="S1372" s="404"/>
      <c r="T1372" s="396"/>
      <c r="U1372" s="404"/>
      <c r="V1372" s="404"/>
      <c r="W1372" s="396"/>
      <c r="X1372" s="404"/>
      <c r="Y1372" s="404"/>
      <c r="Z1372" s="404"/>
      <c r="AA1372" s="404"/>
      <c r="AB1372" s="404"/>
      <c r="AC1372" s="404"/>
      <c r="AD1372" s="396"/>
      <c r="AE1372" s="396"/>
      <c r="AF1372" s="396"/>
      <c r="AG1372" s="396"/>
      <c r="AH1372" s="396"/>
      <c r="AI1372" s="396"/>
      <c r="AJ1372" s="396"/>
      <c r="AK1372" s="405">
        <f t="shared" si="216"/>
        <v>16.760000000000002</v>
      </c>
      <c r="AL1372" s="403"/>
      <c r="AM1372" s="396">
        <f>AK1372</f>
        <v>16.760000000000002</v>
      </c>
      <c r="AN1372" s="583"/>
    </row>
    <row r="1373" spans="3:40" ht="12.75" x14ac:dyDescent="0.2">
      <c r="C1373" s="580"/>
      <c r="D1373" s="643" t="s">
        <v>78</v>
      </c>
      <c r="E1373" s="393" t="s">
        <v>18</v>
      </c>
      <c r="F1373" s="394"/>
      <c r="G1373" s="394"/>
      <c r="H1373" s="394"/>
      <c r="I1373" s="394"/>
      <c r="J1373" s="394"/>
      <c r="K1373" s="394"/>
      <c r="L1373" s="393">
        <v>9.81</v>
      </c>
      <c r="M1373" s="394"/>
      <c r="N1373" s="394"/>
      <c r="O1373" s="393"/>
      <c r="P1373" s="393">
        <v>46.4</v>
      </c>
      <c r="Q1373" s="394"/>
      <c r="R1373" s="394"/>
      <c r="S1373" s="394"/>
      <c r="T1373" s="394"/>
      <c r="U1373" s="394"/>
      <c r="V1373" s="394"/>
      <c r="W1373" s="393">
        <v>41.12</v>
      </c>
      <c r="X1373" s="393"/>
      <c r="Y1373" s="393">
        <v>17.5</v>
      </c>
      <c r="Z1373" s="394"/>
      <c r="AA1373" s="394"/>
      <c r="AB1373" s="394"/>
      <c r="AC1373" s="394"/>
      <c r="AD1373" s="393">
        <v>20.22</v>
      </c>
      <c r="AE1373" s="394"/>
      <c r="AF1373" s="394"/>
      <c r="AG1373" s="394"/>
      <c r="AH1373" s="394"/>
      <c r="AI1373" s="394"/>
      <c r="AJ1373" s="394"/>
      <c r="AK1373" s="395">
        <f t="shared" si="216"/>
        <v>135.05000000000001</v>
      </c>
      <c r="AL1373" s="408">
        <f>AK1373</f>
        <v>135.05000000000001</v>
      </c>
      <c r="AM1373" s="409"/>
      <c r="AN1373" s="634">
        <f>SUM(AL1373:AM1374)</f>
        <v>135.05000000000001</v>
      </c>
    </row>
    <row r="1374" spans="3:40" ht="12.75" x14ac:dyDescent="0.2">
      <c r="C1374" s="580"/>
      <c r="D1374" s="577"/>
      <c r="E1374" s="404" t="s">
        <v>19</v>
      </c>
      <c r="F1374" s="396"/>
      <c r="G1374" s="396"/>
      <c r="H1374" s="396"/>
      <c r="I1374" s="396"/>
      <c r="J1374" s="396"/>
      <c r="K1374" s="396"/>
      <c r="L1374" s="396"/>
      <c r="M1374" s="396"/>
      <c r="N1374" s="396"/>
      <c r="O1374" s="396"/>
      <c r="P1374" s="396"/>
      <c r="Q1374" s="396"/>
      <c r="R1374" s="396"/>
      <c r="S1374" s="396"/>
      <c r="T1374" s="396"/>
      <c r="U1374" s="396"/>
      <c r="V1374" s="396"/>
      <c r="W1374" s="396"/>
      <c r="X1374" s="396"/>
      <c r="Y1374" s="396"/>
      <c r="Z1374" s="396"/>
      <c r="AA1374" s="396"/>
      <c r="AB1374" s="396"/>
      <c r="AC1374" s="396"/>
      <c r="AD1374" s="396"/>
      <c r="AE1374" s="396"/>
      <c r="AF1374" s="396"/>
      <c r="AG1374" s="396"/>
      <c r="AH1374" s="396"/>
      <c r="AI1374" s="396"/>
      <c r="AJ1374" s="396"/>
      <c r="AK1374" s="405">
        <f t="shared" si="216"/>
        <v>0</v>
      </c>
      <c r="AL1374" s="406"/>
      <c r="AM1374" s="407">
        <f>AK1374</f>
        <v>0</v>
      </c>
      <c r="AN1374" s="583"/>
    </row>
    <row r="1375" spans="3:40" ht="12.75" x14ac:dyDescent="0.2">
      <c r="C1375" s="580"/>
      <c r="D1375" s="643" t="s">
        <v>52</v>
      </c>
      <c r="E1375" s="393" t="s">
        <v>18</v>
      </c>
      <c r="F1375" s="394"/>
      <c r="G1375" s="394"/>
      <c r="H1375" s="394"/>
      <c r="I1375" s="394"/>
      <c r="J1375" s="394"/>
      <c r="K1375" s="394"/>
      <c r="L1375" s="394"/>
      <c r="M1375" s="394"/>
      <c r="N1375" s="394"/>
      <c r="O1375" s="394"/>
      <c r="P1375" s="394"/>
      <c r="Q1375" s="394"/>
      <c r="R1375" s="394"/>
      <c r="S1375" s="394"/>
      <c r="T1375" s="394"/>
      <c r="U1375" s="394"/>
      <c r="V1375" s="394"/>
      <c r="W1375" s="394"/>
      <c r="X1375" s="394"/>
      <c r="Y1375" s="393"/>
      <c r="Z1375" s="393"/>
      <c r="AA1375" s="394"/>
      <c r="AB1375" s="394"/>
      <c r="AC1375" s="394"/>
      <c r="AD1375" s="394"/>
      <c r="AE1375" s="394"/>
      <c r="AF1375" s="394"/>
      <c r="AG1375" s="394"/>
      <c r="AH1375" s="394"/>
      <c r="AI1375" s="394"/>
      <c r="AJ1375" s="414"/>
      <c r="AK1375" s="395">
        <f t="shared" si="216"/>
        <v>0</v>
      </c>
      <c r="AL1375" s="408">
        <f>AK1375</f>
        <v>0</v>
      </c>
      <c r="AM1375" s="409"/>
      <c r="AN1375" s="633">
        <f>SUM(AL1375:AM1376)</f>
        <v>0</v>
      </c>
    </row>
    <row r="1376" spans="3:40" ht="12.75" x14ac:dyDescent="0.2">
      <c r="C1376" s="581"/>
      <c r="D1376" s="585"/>
      <c r="E1376" s="404" t="s">
        <v>19</v>
      </c>
      <c r="F1376" s="396"/>
      <c r="G1376" s="396"/>
      <c r="H1376" s="396"/>
      <c r="I1376" s="396"/>
      <c r="J1376" s="396"/>
      <c r="K1376" s="396"/>
      <c r="L1376" s="396"/>
      <c r="M1376" s="396"/>
      <c r="N1376" s="396"/>
      <c r="O1376" s="396"/>
      <c r="P1376" s="396"/>
      <c r="Q1376" s="396"/>
      <c r="R1376" s="396"/>
      <c r="S1376" s="396"/>
      <c r="T1376" s="396"/>
      <c r="U1376" s="396"/>
      <c r="V1376" s="396"/>
      <c r="W1376" s="396"/>
      <c r="X1376" s="396"/>
      <c r="Y1376" s="404"/>
      <c r="Z1376" s="404"/>
      <c r="AA1376" s="396"/>
      <c r="AB1376" s="396"/>
      <c r="AC1376" s="396"/>
      <c r="AD1376" s="396"/>
      <c r="AE1376" s="396"/>
      <c r="AF1376" s="396"/>
      <c r="AG1376" s="396"/>
      <c r="AH1376" s="396"/>
      <c r="AI1376" s="396"/>
      <c r="AJ1376" s="415"/>
      <c r="AK1376" s="405">
        <f t="shared" si="216"/>
        <v>0</v>
      </c>
      <c r="AL1376" s="406"/>
      <c r="AM1376" s="407">
        <f>AK1376</f>
        <v>0</v>
      </c>
      <c r="AN1376" s="583"/>
    </row>
    <row r="1377" spans="3:40" ht="12.75" x14ac:dyDescent="0.2">
      <c r="C1377" s="629" t="s">
        <v>53</v>
      </c>
      <c r="D1377" s="416" t="s">
        <v>54</v>
      </c>
      <c r="E1377" s="411" t="s">
        <v>18</v>
      </c>
      <c r="F1377" s="412"/>
      <c r="G1377" s="412"/>
      <c r="H1377" s="412"/>
      <c r="I1377" s="412"/>
      <c r="J1377" s="412"/>
      <c r="K1377" s="411"/>
      <c r="L1377" s="412"/>
      <c r="M1377" s="412"/>
      <c r="N1377" s="412"/>
      <c r="O1377" s="412"/>
      <c r="P1377" s="412"/>
      <c r="Q1377" s="412"/>
      <c r="R1377" s="412"/>
      <c r="S1377" s="412"/>
      <c r="T1377" s="412"/>
      <c r="U1377" s="412"/>
      <c r="V1377" s="412"/>
      <c r="W1377" s="412"/>
      <c r="X1377" s="412"/>
      <c r="Y1377" s="412"/>
      <c r="Z1377" s="412"/>
      <c r="AA1377" s="412"/>
      <c r="AB1377" s="412"/>
      <c r="AC1377" s="412"/>
      <c r="AD1377" s="412"/>
      <c r="AE1377" s="412"/>
      <c r="AF1377" s="412"/>
      <c r="AG1377" s="412"/>
      <c r="AH1377" s="412"/>
      <c r="AI1377" s="412"/>
      <c r="AJ1377" s="417"/>
      <c r="AK1377" s="395">
        <f t="shared" si="216"/>
        <v>0</v>
      </c>
      <c r="AL1377" s="394">
        <f t="shared" ref="AL1377:AL1379" si="219">AK1377</f>
        <v>0</v>
      </c>
      <c r="AM1377" s="396"/>
      <c r="AN1377" s="374">
        <f t="shared" ref="AN1377:AN1378" si="220">AL1377</f>
        <v>0</v>
      </c>
    </row>
    <row r="1378" spans="3:40" ht="12.75" x14ac:dyDescent="0.2">
      <c r="C1378" s="580"/>
      <c r="D1378" s="402" t="s">
        <v>55</v>
      </c>
      <c r="E1378" s="393" t="s">
        <v>18</v>
      </c>
      <c r="F1378" s="394"/>
      <c r="G1378" s="394"/>
      <c r="H1378" s="394"/>
      <c r="I1378" s="394"/>
      <c r="J1378" s="394"/>
      <c r="K1378" s="394"/>
      <c r="L1378" s="394"/>
      <c r="M1378" s="394"/>
      <c r="N1378" s="394"/>
      <c r="O1378" s="394"/>
      <c r="P1378" s="394"/>
      <c r="Q1378" s="394"/>
      <c r="R1378" s="394"/>
      <c r="S1378" s="394"/>
      <c r="T1378" s="394"/>
      <c r="U1378" s="393"/>
      <c r="V1378" s="393"/>
      <c r="W1378" s="394"/>
      <c r="X1378" s="394"/>
      <c r="Y1378" s="394"/>
      <c r="Z1378" s="394"/>
      <c r="AA1378" s="394"/>
      <c r="AB1378" s="394"/>
      <c r="AC1378" s="394"/>
      <c r="AD1378" s="394"/>
      <c r="AE1378" s="394"/>
      <c r="AF1378" s="394"/>
      <c r="AG1378" s="394"/>
      <c r="AH1378" s="394"/>
      <c r="AI1378" s="394"/>
      <c r="AJ1378" s="414"/>
      <c r="AK1378" s="395">
        <f t="shared" si="216"/>
        <v>0</v>
      </c>
      <c r="AL1378" s="394">
        <f t="shared" si="219"/>
        <v>0</v>
      </c>
      <c r="AM1378" s="396"/>
      <c r="AN1378" s="374">
        <f t="shared" si="220"/>
        <v>0</v>
      </c>
    </row>
    <row r="1379" spans="3:40" ht="12.75" x14ac:dyDescent="0.2">
      <c r="C1379" s="580"/>
      <c r="D1379" s="643" t="s">
        <v>56</v>
      </c>
      <c r="E1379" s="393" t="s">
        <v>18</v>
      </c>
      <c r="F1379" s="394"/>
      <c r="G1379" s="394"/>
      <c r="H1379" s="393"/>
      <c r="I1379" s="394"/>
      <c r="J1379" s="394"/>
      <c r="K1379" s="394"/>
      <c r="L1379" s="394"/>
      <c r="M1379" s="394"/>
      <c r="N1379" s="394"/>
      <c r="O1379" s="394"/>
      <c r="P1379" s="394"/>
      <c r="Q1379" s="394"/>
      <c r="R1379" s="394"/>
      <c r="S1379" s="394"/>
      <c r="T1379" s="393">
        <v>80.28</v>
      </c>
      <c r="U1379" s="394"/>
      <c r="V1379" s="394"/>
      <c r="W1379" s="394"/>
      <c r="X1379" s="394"/>
      <c r="Y1379" s="394"/>
      <c r="Z1379" s="394"/>
      <c r="AA1379" s="394"/>
      <c r="AB1379" s="394"/>
      <c r="AC1379" s="394"/>
      <c r="AD1379" s="394"/>
      <c r="AE1379" s="394"/>
      <c r="AF1379" s="394"/>
      <c r="AG1379" s="394"/>
      <c r="AH1379" s="394"/>
      <c r="AI1379" s="394"/>
      <c r="AJ1379" s="414"/>
      <c r="AK1379" s="395">
        <f t="shared" si="216"/>
        <v>80.28</v>
      </c>
      <c r="AL1379" s="408">
        <f t="shared" si="219"/>
        <v>80.28</v>
      </c>
      <c r="AM1379" s="409"/>
      <c r="AN1379" s="633">
        <f>SUM(AL1379:AM1380)</f>
        <v>80.28</v>
      </c>
    </row>
    <row r="1380" spans="3:40" ht="12.75" x14ac:dyDescent="0.2">
      <c r="C1380" s="580"/>
      <c r="D1380" s="577"/>
      <c r="E1380" s="404" t="s">
        <v>19</v>
      </c>
      <c r="F1380" s="396"/>
      <c r="G1380" s="396"/>
      <c r="H1380" s="396"/>
      <c r="I1380" s="396"/>
      <c r="J1380" s="396"/>
      <c r="K1380" s="396"/>
      <c r="L1380" s="396"/>
      <c r="M1380" s="396"/>
      <c r="N1380" s="396"/>
      <c r="O1380" s="396"/>
      <c r="P1380" s="396"/>
      <c r="Q1380" s="396"/>
      <c r="R1380" s="396"/>
      <c r="S1380" s="396"/>
      <c r="T1380" s="396"/>
      <c r="U1380" s="396"/>
      <c r="V1380" s="396"/>
      <c r="W1380" s="396"/>
      <c r="X1380" s="396"/>
      <c r="Y1380" s="396"/>
      <c r="Z1380" s="396"/>
      <c r="AA1380" s="396"/>
      <c r="AB1380" s="396"/>
      <c r="AC1380" s="396"/>
      <c r="AD1380" s="396"/>
      <c r="AE1380" s="396"/>
      <c r="AF1380" s="396"/>
      <c r="AG1380" s="396"/>
      <c r="AH1380" s="396"/>
      <c r="AI1380" s="396"/>
      <c r="AJ1380" s="415"/>
      <c r="AK1380" s="405">
        <f t="shared" si="216"/>
        <v>0</v>
      </c>
      <c r="AL1380" s="406"/>
      <c r="AM1380" s="407">
        <f>AK1380</f>
        <v>0</v>
      </c>
      <c r="AN1380" s="583"/>
    </row>
    <row r="1381" spans="3:40" ht="12.75" x14ac:dyDescent="0.2">
      <c r="C1381" s="580"/>
      <c r="D1381" s="643" t="s">
        <v>57</v>
      </c>
      <c r="E1381" s="393" t="s">
        <v>18</v>
      </c>
      <c r="F1381" s="394"/>
      <c r="G1381" s="394"/>
      <c r="H1381" s="394"/>
      <c r="I1381" s="394"/>
      <c r="J1381" s="394"/>
      <c r="K1381" s="394"/>
      <c r="L1381" s="394"/>
      <c r="M1381" s="393">
        <v>28.19</v>
      </c>
      <c r="N1381" s="394"/>
      <c r="O1381" s="394"/>
      <c r="P1381" s="394"/>
      <c r="Q1381" s="394"/>
      <c r="R1381" s="394"/>
      <c r="S1381" s="394"/>
      <c r="T1381" s="393"/>
      <c r="U1381" s="394"/>
      <c r="V1381" s="394"/>
      <c r="W1381" s="394"/>
      <c r="X1381" s="394"/>
      <c r="Y1381" s="394"/>
      <c r="Z1381" s="394"/>
      <c r="AA1381" s="394"/>
      <c r="AB1381" s="394"/>
      <c r="AC1381" s="394"/>
      <c r="AD1381" s="394"/>
      <c r="AE1381" s="394"/>
      <c r="AF1381" s="394"/>
      <c r="AG1381" s="394"/>
      <c r="AH1381" s="394"/>
      <c r="AI1381" s="394"/>
      <c r="AJ1381" s="414"/>
      <c r="AK1381" s="395">
        <f t="shared" si="216"/>
        <v>28.19</v>
      </c>
      <c r="AL1381" s="408">
        <f>AK1381</f>
        <v>28.19</v>
      </c>
      <c r="AM1381" s="409"/>
      <c r="AN1381" s="633">
        <f>SUM(AL1381:AM1382)</f>
        <v>28.19</v>
      </c>
    </row>
    <row r="1382" spans="3:40" ht="12.75" x14ac:dyDescent="0.2">
      <c r="C1382" s="581"/>
      <c r="D1382" s="585"/>
      <c r="E1382" s="410" t="s">
        <v>19</v>
      </c>
      <c r="F1382" s="407"/>
      <c r="G1382" s="407"/>
      <c r="H1382" s="407"/>
      <c r="I1382" s="407"/>
      <c r="J1382" s="407"/>
      <c r="K1382" s="407"/>
      <c r="L1382" s="407"/>
      <c r="M1382" s="407"/>
      <c r="N1382" s="407"/>
      <c r="O1382" s="407"/>
      <c r="P1382" s="407"/>
      <c r="Q1382" s="407"/>
      <c r="R1382" s="407"/>
      <c r="S1382" s="407"/>
      <c r="T1382" s="410"/>
      <c r="U1382" s="407"/>
      <c r="V1382" s="407"/>
      <c r="W1382" s="407"/>
      <c r="X1382" s="407"/>
      <c r="Y1382" s="407"/>
      <c r="Z1382" s="407"/>
      <c r="AA1382" s="407"/>
      <c r="AB1382" s="407"/>
      <c r="AC1382" s="407"/>
      <c r="AD1382" s="407"/>
      <c r="AE1382" s="407"/>
      <c r="AF1382" s="407"/>
      <c r="AG1382" s="407"/>
      <c r="AH1382" s="407"/>
      <c r="AI1382" s="407"/>
      <c r="AJ1382" s="418"/>
      <c r="AK1382" s="405">
        <f t="shared" si="216"/>
        <v>0</v>
      </c>
      <c r="AL1382" s="406"/>
      <c r="AM1382" s="407">
        <f>AK1382</f>
        <v>0</v>
      </c>
      <c r="AN1382" s="583"/>
    </row>
    <row r="1383" spans="3:40" ht="12.75" x14ac:dyDescent="0.2">
      <c r="C1383" s="629" t="s">
        <v>58</v>
      </c>
      <c r="D1383" s="644" t="s">
        <v>59</v>
      </c>
      <c r="E1383" s="411" t="s">
        <v>18</v>
      </c>
      <c r="F1383" s="412"/>
      <c r="G1383" s="412"/>
      <c r="H1383" s="412"/>
      <c r="I1383" s="412"/>
      <c r="J1383" s="412"/>
      <c r="K1383" s="412"/>
      <c r="L1383" s="412"/>
      <c r="M1383" s="411"/>
      <c r="N1383" s="412"/>
      <c r="O1383" s="412"/>
      <c r="P1383" s="412"/>
      <c r="Q1383" s="412"/>
      <c r="R1383" s="412"/>
      <c r="S1383" s="411"/>
      <c r="T1383" s="412"/>
      <c r="U1383" s="412"/>
      <c r="V1383" s="412"/>
      <c r="W1383" s="412"/>
      <c r="X1383" s="411"/>
      <c r="Y1383" s="411">
        <v>67</v>
      </c>
      <c r="Z1383" s="412"/>
      <c r="AA1383" s="412"/>
      <c r="AB1383" s="412"/>
      <c r="AC1383" s="412"/>
      <c r="AD1383" s="412"/>
      <c r="AE1383" s="412"/>
      <c r="AF1383" s="412"/>
      <c r="AG1383" s="412"/>
      <c r="AH1383" s="412"/>
      <c r="AI1383" s="412"/>
      <c r="AJ1383" s="443">
        <v>20.56</v>
      </c>
      <c r="AK1383" s="395">
        <f t="shared" si="216"/>
        <v>87.56</v>
      </c>
      <c r="AL1383" s="408">
        <f>AK1383</f>
        <v>87.56</v>
      </c>
      <c r="AM1383" s="409"/>
      <c r="AN1383" s="633">
        <f>SUM(AL1383:AM1384)</f>
        <v>112.56</v>
      </c>
    </row>
    <row r="1384" spans="3:40" ht="12.75" x14ac:dyDescent="0.2">
      <c r="C1384" s="580"/>
      <c r="D1384" s="577"/>
      <c r="E1384" s="404" t="s">
        <v>19</v>
      </c>
      <c r="F1384" s="396"/>
      <c r="G1384" s="396"/>
      <c r="H1384" s="396"/>
      <c r="I1384" s="396"/>
      <c r="J1384" s="396"/>
      <c r="K1384" s="404"/>
      <c r="L1384" s="396"/>
      <c r="M1384" s="396"/>
      <c r="N1384" s="396"/>
      <c r="O1384" s="404"/>
      <c r="P1384" s="396"/>
      <c r="Q1384" s="396"/>
      <c r="R1384" s="396"/>
      <c r="S1384" s="396"/>
      <c r="T1384" s="396"/>
      <c r="U1384" s="396"/>
      <c r="V1384" s="396"/>
      <c r="W1384" s="404"/>
      <c r="X1384" s="396"/>
      <c r="Y1384" s="396"/>
      <c r="Z1384" s="396"/>
      <c r="AA1384" s="396"/>
      <c r="AB1384" s="396"/>
      <c r="AC1384" s="396"/>
      <c r="AD1384" s="396"/>
      <c r="AE1384" s="396"/>
      <c r="AF1384" s="396"/>
      <c r="AG1384" s="404">
        <v>25</v>
      </c>
      <c r="AH1384" s="396"/>
      <c r="AI1384" s="396"/>
      <c r="AJ1384" s="415"/>
      <c r="AK1384" s="405">
        <f t="shared" si="216"/>
        <v>25</v>
      </c>
      <c r="AL1384" s="406"/>
      <c r="AM1384" s="407">
        <f>AK1384</f>
        <v>25</v>
      </c>
      <c r="AN1384" s="583"/>
    </row>
    <row r="1385" spans="3:40" ht="12.75" x14ac:dyDescent="0.2">
      <c r="C1385" s="580"/>
      <c r="D1385" s="643" t="s">
        <v>60</v>
      </c>
      <c r="E1385" s="393" t="s">
        <v>18</v>
      </c>
      <c r="F1385" s="394"/>
      <c r="G1385" s="394"/>
      <c r="H1385" s="394"/>
      <c r="I1385" s="394"/>
      <c r="J1385" s="394"/>
      <c r="K1385" s="393"/>
      <c r="L1385" s="394"/>
      <c r="M1385" s="394"/>
      <c r="N1385" s="394"/>
      <c r="O1385" s="394">
        <f>14.31+6.19+5.49</f>
        <v>25.990000000000002</v>
      </c>
      <c r="P1385" s="394"/>
      <c r="Q1385" s="394"/>
      <c r="R1385" s="394"/>
      <c r="S1385" s="394"/>
      <c r="T1385" s="394"/>
      <c r="U1385" s="394"/>
      <c r="V1385" s="394"/>
      <c r="W1385" s="394"/>
      <c r="X1385" s="394"/>
      <c r="Y1385" s="394"/>
      <c r="Z1385" s="394"/>
      <c r="AA1385" s="394"/>
      <c r="AB1385" s="394"/>
      <c r="AC1385" s="394"/>
      <c r="AD1385" s="394"/>
      <c r="AE1385" s="394"/>
      <c r="AF1385" s="394"/>
      <c r="AG1385" s="394"/>
      <c r="AH1385" s="394"/>
      <c r="AI1385" s="394"/>
      <c r="AJ1385" s="414"/>
      <c r="AK1385" s="395">
        <f t="shared" si="216"/>
        <v>25.990000000000002</v>
      </c>
      <c r="AL1385" s="403">
        <f>AK1385</f>
        <v>25.990000000000002</v>
      </c>
      <c r="AM1385" s="396"/>
      <c r="AN1385" s="633">
        <f>SUM(AL1385:AM1386)</f>
        <v>25.990000000000002</v>
      </c>
    </row>
    <row r="1386" spans="3:40" ht="12.75" x14ac:dyDescent="0.2">
      <c r="C1386" s="580"/>
      <c r="D1386" s="577"/>
      <c r="E1386" s="404" t="s">
        <v>19</v>
      </c>
      <c r="F1386" s="396"/>
      <c r="G1386" s="396"/>
      <c r="H1386" s="396"/>
      <c r="I1386" s="396"/>
      <c r="J1386" s="396"/>
      <c r="K1386" s="404"/>
      <c r="L1386" s="396"/>
      <c r="M1386" s="396"/>
      <c r="N1386" s="396"/>
      <c r="O1386" s="396"/>
      <c r="P1386" s="396"/>
      <c r="Q1386" s="404"/>
      <c r="R1386" s="396"/>
      <c r="S1386" s="396"/>
      <c r="T1386" s="396"/>
      <c r="U1386" s="396"/>
      <c r="V1386" s="396"/>
      <c r="W1386" s="396"/>
      <c r="X1386" s="396"/>
      <c r="Y1386" s="396"/>
      <c r="Z1386" s="396"/>
      <c r="AA1386" s="396"/>
      <c r="AB1386" s="396"/>
      <c r="AC1386" s="396"/>
      <c r="AD1386" s="396"/>
      <c r="AE1386" s="396"/>
      <c r="AF1386" s="396"/>
      <c r="AG1386" s="396"/>
      <c r="AH1386" s="396"/>
      <c r="AI1386" s="396"/>
      <c r="AJ1386" s="415"/>
      <c r="AK1386" s="405">
        <f t="shared" si="216"/>
        <v>0</v>
      </c>
      <c r="AL1386" s="403"/>
      <c r="AM1386" s="396">
        <f>AK1386</f>
        <v>0</v>
      </c>
      <c r="AN1386" s="583"/>
    </row>
    <row r="1387" spans="3:40" ht="12.75" x14ac:dyDescent="0.2">
      <c r="C1387" s="580"/>
      <c r="D1387" s="643" t="s">
        <v>61</v>
      </c>
      <c r="E1387" s="393" t="s">
        <v>18</v>
      </c>
      <c r="F1387" s="394"/>
      <c r="G1387" s="394"/>
      <c r="H1387" s="394"/>
      <c r="I1387" s="394"/>
      <c r="J1387" s="394"/>
      <c r="K1387" s="394"/>
      <c r="L1387" s="394"/>
      <c r="M1387" s="394"/>
      <c r="N1387" s="394"/>
      <c r="O1387" s="394"/>
      <c r="P1387" s="394"/>
      <c r="Q1387" s="394"/>
      <c r="R1387" s="394"/>
      <c r="S1387" s="394"/>
      <c r="T1387" s="394"/>
      <c r="U1387" s="394"/>
      <c r="V1387" s="394"/>
      <c r="W1387" s="394"/>
      <c r="X1387" s="394"/>
      <c r="Y1387" s="394"/>
      <c r="Z1387" s="394"/>
      <c r="AA1387" s="394"/>
      <c r="AB1387" s="394"/>
      <c r="AC1387" s="394"/>
      <c r="AD1387" s="394"/>
      <c r="AE1387" s="394"/>
      <c r="AF1387" s="393"/>
      <c r="AG1387" s="394"/>
      <c r="AH1387" s="394"/>
      <c r="AI1387" s="394"/>
      <c r="AJ1387" s="414"/>
      <c r="AK1387" s="395">
        <f t="shared" si="216"/>
        <v>0</v>
      </c>
      <c r="AL1387" s="408">
        <f>AK1387</f>
        <v>0</v>
      </c>
      <c r="AM1387" s="409"/>
      <c r="AN1387" s="633">
        <f>SUM(AL1387:AM1388)</f>
        <v>0</v>
      </c>
    </row>
    <row r="1388" spans="3:40" ht="12.75" x14ac:dyDescent="0.2">
      <c r="C1388" s="581"/>
      <c r="D1388" s="585"/>
      <c r="E1388" s="410" t="s">
        <v>19</v>
      </c>
      <c r="F1388" s="407"/>
      <c r="G1388" s="407"/>
      <c r="H1388" s="407"/>
      <c r="I1388" s="407"/>
      <c r="J1388" s="407"/>
      <c r="K1388" s="407"/>
      <c r="L1388" s="407"/>
      <c r="M1388" s="407"/>
      <c r="N1388" s="407"/>
      <c r="O1388" s="407"/>
      <c r="P1388" s="407"/>
      <c r="Q1388" s="407"/>
      <c r="R1388" s="407"/>
      <c r="S1388" s="407"/>
      <c r="T1388" s="407"/>
      <c r="U1388" s="407"/>
      <c r="V1388" s="407"/>
      <c r="W1388" s="410"/>
      <c r="X1388" s="407"/>
      <c r="Y1388" s="410"/>
      <c r="Z1388" s="407"/>
      <c r="AA1388" s="407"/>
      <c r="AB1388" s="407"/>
      <c r="AC1388" s="407"/>
      <c r="AD1388" s="407"/>
      <c r="AE1388" s="407"/>
      <c r="AF1388" s="407"/>
      <c r="AG1388" s="407"/>
      <c r="AH1388" s="407"/>
      <c r="AI1388" s="407"/>
      <c r="AJ1388" s="418"/>
      <c r="AK1388" s="405">
        <f t="shared" si="216"/>
        <v>0</v>
      </c>
      <c r="AL1388" s="406"/>
      <c r="AM1388" s="407">
        <f>AK1388</f>
        <v>0</v>
      </c>
      <c r="AN1388" s="583"/>
    </row>
    <row r="1389" spans="3:40" ht="12.75" x14ac:dyDescent="0.2">
      <c r="C1389" s="629" t="s">
        <v>63</v>
      </c>
      <c r="D1389" s="644" t="s">
        <v>75</v>
      </c>
      <c r="E1389" s="411" t="s">
        <v>18</v>
      </c>
      <c r="F1389" s="412"/>
      <c r="G1389" s="412"/>
      <c r="H1389" s="412"/>
      <c r="I1389" s="412"/>
      <c r="J1389" s="412"/>
      <c r="K1389" s="412"/>
      <c r="L1389" s="412"/>
      <c r="M1389" s="412"/>
      <c r="N1389" s="412"/>
      <c r="O1389" s="412"/>
      <c r="P1389" s="412"/>
      <c r="Q1389" s="412"/>
      <c r="R1389" s="412"/>
      <c r="S1389" s="412"/>
      <c r="T1389" s="412"/>
      <c r="U1389" s="412"/>
      <c r="V1389" s="412"/>
      <c r="W1389" s="412"/>
      <c r="X1389" s="412"/>
      <c r="Y1389" s="412"/>
      <c r="Z1389" s="412"/>
      <c r="AA1389" s="412"/>
      <c r="AB1389" s="412"/>
      <c r="AC1389" s="412"/>
      <c r="AD1389" s="412"/>
      <c r="AE1389" s="412"/>
      <c r="AF1389" s="412"/>
      <c r="AG1389" s="412"/>
      <c r="AH1389" s="412"/>
      <c r="AI1389" s="412"/>
      <c r="AJ1389" s="417"/>
      <c r="AK1389" s="395">
        <f t="shared" si="216"/>
        <v>0</v>
      </c>
      <c r="AL1389" s="412">
        <f>AK1389</f>
        <v>0</v>
      </c>
      <c r="AM1389" s="409"/>
      <c r="AN1389" s="633">
        <f>SUM(AL1389:AM1390)</f>
        <v>0</v>
      </c>
    </row>
    <row r="1390" spans="3:40" ht="12.75" x14ac:dyDescent="0.2">
      <c r="C1390" s="580"/>
      <c r="D1390" s="577"/>
      <c r="E1390" s="404" t="s">
        <v>19</v>
      </c>
      <c r="F1390" s="396"/>
      <c r="G1390" s="396"/>
      <c r="H1390" s="396"/>
      <c r="I1390" s="396"/>
      <c r="J1390" s="396"/>
      <c r="K1390" s="396"/>
      <c r="L1390" s="396"/>
      <c r="M1390" s="396"/>
      <c r="N1390" s="396"/>
      <c r="O1390" s="396"/>
      <c r="P1390" s="396"/>
      <c r="Q1390" s="396"/>
      <c r="R1390" s="396"/>
      <c r="S1390" s="396"/>
      <c r="T1390" s="396"/>
      <c r="U1390" s="396"/>
      <c r="V1390" s="396"/>
      <c r="W1390" s="396"/>
      <c r="X1390" s="396"/>
      <c r="Y1390" s="396"/>
      <c r="Z1390" s="396"/>
      <c r="AA1390" s="396"/>
      <c r="AB1390" s="396"/>
      <c r="AC1390" s="396"/>
      <c r="AD1390" s="396"/>
      <c r="AE1390" s="396"/>
      <c r="AF1390" s="396"/>
      <c r="AG1390" s="396"/>
      <c r="AH1390" s="396"/>
      <c r="AI1390" s="396"/>
      <c r="AJ1390" s="415"/>
      <c r="AK1390" s="405">
        <f t="shared" si="216"/>
        <v>0</v>
      </c>
      <c r="AL1390" s="406"/>
      <c r="AM1390" s="407">
        <f>AK1390</f>
        <v>0</v>
      </c>
      <c r="AN1390" s="583"/>
    </row>
    <row r="1391" spans="3:40" ht="12.75" x14ac:dyDescent="0.2">
      <c r="C1391" s="580"/>
      <c r="D1391" s="643" t="s">
        <v>65</v>
      </c>
      <c r="E1391" s="393" t="s">
        <v>18</v>
      </c>
      <c r="F1391" s="394"/>
      <c r="G1391" s="394"/>
      <c r="H1391" s="394"/>
      <c r="I1391" s="394"/>
      <c r="J1391" s="394"/>
      <c r="K1391" s="394"/>
      <c r="L1391" s="394"/>
      <c r="M1391" s="394"/>
      <c r="N1391" s="394"/>
      <c r="O1391" s="394"/>
      <c r="P1391" s="394"/>
      <c r="Q1391" s="394"/>
      <c r="R1391" s="394"/>
      <c r="S1391" s="394"/>
      <c r="T1391" s="394"/>
      <c r="U1391" s="394"/>
      <c r="V1391" s="394"/>
      <c r="W1391" s="394"/>
      <c r="X1391" s="394"/>
      <c r="Y1391" s="394"/>
      <c r="Z1391" s="394"/>
      <c r="AA1391" s="394"/>
      <c r="AB1391" s="394"/>
      <c r="AC1391" s="394"/>
      <c r="AD1391" s="394"/>
      <c r="AE1391" s="394"/>
      <c r="AF1391" s="394"/>
      <c r="AG1391" s="394"/>
      <c r="AH1391" s="394"/>
      <c r="AI1391" s="394"/>
      <c r="AJ1391" s="414"/>
      <c r="AK1391" s="395">
        <f t="shared" si="216"/>
        <v>0</v>
      </c>
      <c r="AL1391" s="408">
        <f>AK1391</f>
        <v>0</v>
      </c>
      <c r="AM1391" s="409"/>
      <c r="AN1391" s="633">
        <f>SUM(AL1391:AM1392)</f>
        <v>40</v>
      </c>
    </row>
    <row r="1392" spans="3:40" ht="12.75" x14ac:dyDescent="0.2">
      <c r="C1392" s="581"/>
      <c r="D1392" s="585"/>
      <c r="E1392" s="410" t="s">
        <v>19</v>
      </c>
      <c r="F1392" s="407"/>
      <c r="G1392" s="407"/>
      <c r="H1392" s="407"/>
      <c r="I1392" s="407"/>
      <c r="J1392" s="410">
        <v>40</v>
      </c>
      <c r="K1392" s="407"/>
      <c r="L1392" s="407"/>
      <c r="M1392" s="407"/>
      <c r="N1392" s="407"/>
      <c r="O1392" s="407"/>
      <c r="P1392" s="407"/>
      <c r="Q1392" s="407"/>
      <c r="R1392" s="407"/>
      <c r="S1392" s="407"/>
      <c r="T1392" s="407"/>
      <c r="U1392" s="410"/>
      <c r="V1392" s="407"/>
      <c r="W1392" s="407"/>
      <c r="X1392" s="407"/>
      <c r="Y1392" s="407"/>
      <c r="Z1392" s="407"/>
      <c r="AA1392" s="407"/>
      <c r="AB1392" s="407"/>
      <c r="AC1392" s="407"/>
      <c r="AD1392" s="407"/>
      <c r="AE1392" s="407"/>
      <c r="AF1392" s="407"/>
      <c r="AG1392" s="407"/>
      <c r="AH1392" s="407"/>
      <c r="AI1392" s="407"/>
      <c r="AJ1392" s="418"/>
      <c r="AK1392" s="419">
        <f t="shared" si="216"/>
        <v>40</v>
      </c>
      <c r="AL1392" s="406"/>
      <c r="AM1392" s="407">
        <f>AK1392</f>
        <v>40</v>
      </c>
      <c r="AN1392" s="583"/>
    </row>
    <row r="1393" spans="3:46" ht="12.75" x14ac:dyDescent="0.2">
      <c r="C1393" s="420" t="s">
        <v>32</v>
      </c>
      <c r="D1393" s="396"/>
      <c r="E1393" s="396"/>
      <c r="F1393" s="396">
        <f t="shared" ref="F1393:AM1393" si="221">SUM(F1346:F1392)</f>
        <v>23.4</v>
      </c>
      <c r="G1393" s="396">
        <f t="shared" si="221"/>
        <v>22.6</v>
      </c>
      <c r="H1393" s="396">
        <f t="shared" si="221"/>
        <v>28.560000000000002</v>
      </c>
      <c r="I1393" s="396">
        <f t="shared" si="221"/>
        <v>10.19</v>
      </c>
      <c r="J1393" s="396">
        <f t="shared" si="221"/>
        <v>270.17999999999995</v>
      </c>
      <c r="K1393" s="396">
        <f t="shared" si="221"/>
        <v>31.28</v>
      </c>
      <c r="L1393" s="396">
        <f t="shared" si="221"/>
        <v>30.990000000000002</v>
      </c>
      <c r="M1393" s="396">
        <f t="shared" si="221"/>
        <v>42.24</v>
      </c>
      <c r="N1393" s="396">
        <f t="shared" si="221"/>
        <v>10.53</v>
      </c>
      <c r="O1393" s="396">
        <f t="shared" si="221"/>
        <v>104.79000000000002</v>
      </c>
      <c r="P1393" s="396">
        <f t="shared" si="221"/>
        <v>121.26999999999998</v>
      </c>
      <c r="Q1393" s="396">
        <f t="shared" si="221"/>
        <v>5.6</v>
      </c>
      <c r="R1393" s="396">
        <f t="shared" si="221"/>
        <v>33.450000000000003</v>
      </c>
      <c r="S1393" s="396">
        <f t="shared" si="221"/>
        <v>12.2</v>
      </c>
      <c r="T1393" s="396">
        <f t="shared" si="221"/>
        <v>109.30000000000001</v>
      </c>
      <c r="U1393" s="396">
        <f t="shared" si="221"/>
        <v>44.81</v>
      </c>
      <c r="V1393" s="396">
        <f t="shared" si="221"/>
        <v>17.579999999999998</v>
      </c>
      <c r="W1393" s="396">
        <f t="shared" si="221"/>
        <v>65</v>
      </c>
      <c r="X1393" s="396">
        <f t="shared" si="221"/>
        <v>11.2</v>
      </c>
      <c r="Y1393" s="396">
        <f t="shared" si="221"/>
        <v>124.88</v>
      </c>
      <c r="Z1393" s="396">
        <f t="shared" si="221"/>
        <v>15.56</v>
      </c>
      <c r="AA1393" s="396">
        <f t="shared" si="221"/>
        <v>5.6</v>
      </c>
      <c r="AB1393" s="396">
        <f t="shared" si="221"/>
        <v>59.690000000000005</v>
      </c>
      <c r="AC1393" s="396">
        <f t="shared" si="221"/>
        <v>69.400000000000006</v>
      </c>
      <c r="AD1393" s="396">
        <f t="shared" si="221"/>
        <v>22.299999999999997</v>
      </c>
      <c r="AE1393" s="396">
        <f t="shared" si="221"/>
        <v>5.8</v>
      </c>
      <c r="AF1393" s="396">
        <f t="shared" si="221"/>
        <v>37.1</v>
      </c>
      <c r="AG1393" s="396">
        <f t="shared" si="221"/>
        <v>41.91</v>
      </c>
      <c r="AH1393" s="396">
        <f t="shared" si="221"/>
        <v>24.22</v>
      </c>
      <c r="AI1393" s="396">
        <f t="shared" si="221"/>
        <v>23.42</v>
      </c>
      <c r="AJ1393" s="396">
        <f t="shared" si="221"/>
        <v>43.039999999999992</v>
      </c>
      <c r="AK1393" s="421">
        <f t="shared" si="221"/>
        <v>1468.09</v>
      </c>
      <c r="AL1393" s="394">
        <f t="shared" si="221"/>
        <v>1141.74</v>
      </c>
      <c r="AM1393" s="396">
        <f t="shared" si="221"/>
        <v>326.34999999999997</v>
      </c>
    </row>
    <row r="1396" spans="3:46" ht="12.75" x14ac:dyDescent="0.2">
      <c r="F1396" s="642" t="s">
        <v>95</v>
      </c>
      <c r="G1396" s="577"/>
      <c r="H1396" s="577"/>
      <c r="I1396" s="577"/>
      <c r="J1396" s="577"/>
      <c r="K1396" s="577"/>
      <c r="L1396" s="577"/>
      <c r="M1396" s="577"/>
      <c r="N1396" s="577"/>
      <c r="O1396" s="577"/>
      <c r="P1396" s="577"/>
      <c r="Q1396" s="577"/>
      <c r="R1396" s="577"/>
      <c r="S1396" s="577"/>
      <c r="T1396" s="577"/>
      <c r="U1396" s="577"/>
      <c r="V1396" s="577"/>
      <c r="W1396" s="577"/>
      <c r="X1396" s="577"/>
      <c r="Y1396" s="577"/>
      <c r="Z1396" s="577"/>
      <c r="AA1396" s="577"/>
      <c r="AB1396" s="577"/>
      <c r="AC1396" s="577"/>
      <c r="AD1396" s="577"/>
      <c r="AE1396" s="577"/>
      <c r="AF1396" s="577"/>
      <c r="AG1396" s="577"/>
      <c r="AH1396" s="577"/>
      <c r="AI1396" s="577"/>
      <c r="AJ1396" s="577"/>
    </row>
    <row r="1397" spans="3:46" ht="38.25" x14ac:dyDescent="0.2">
      <c r="E1397" s="362" t="s">
        <v>9</v>
      </c>
      <c r="F1397" s="362" t="s">
        <v>11</v>
      </c>
      <c r="G1397" s="362" t="s">
        <v>12</v>
      </c>
      <c r="H1397" s="362" t="s">
        <v>13</v>
      </c>
      <c r="I1397" s="362" t="s">
        <v>14</v>
      </c>
      <c r="J1397" s="362" t="s">
        <v>15</v>
      </c>
      <c r="K1397" s="362" t="s">
        <v>16</v>
      </c>
      <c r="L1397" s="362" t="s">
        <v>10</v>
      </c>
      <c r="M1397" s="362" t="s">
        <v>11</v>
      </c>
      <c r="N1397" s="362" t="s">
        <v>12</v>
      </c>
      <c r="O1397" s="362" t="s">
        <v>13</v>
      </c>
      <c r="P1397" s="362" t="s">
        <v>14</v>
      </c>
      <c r="Q1397" s="362" t="s">
        <v>15</v>
      </c>
      <c r="R1397" s="362" t="s">
        <v>16</v>
      </c>
      <c r="S1397" s="362" t="s">
        <v>10</v>
      </c>
      <c r="T1397" s="362" t="s">
        <v>11</v>
      </c>
      <c r="U1397" s="362" t="s">
        <v>12</v>
      </c>
      <c r="V1397" s="362" t="s">
        <v>13</v>
      </c>
      <c r="W1397" s="362" t="s">
        <v>14</v>
      </c>
      <c r="X1397" s="362" t="s">
        <v>15</v>
      </c>
      <c r="Y1397" s="362" t="s">
        <v>16</v>
      </c>
      <c r="Z1397" s="362" t="s">
        <v>10</v>
      </c>
      <c r="AA1397" s="362" t="s">
        <v>11</v>
      </c>
      <c r="AB1397" s="362" t="s">
        <v>12</v>
      </c>
      <c r="AC1397" s="362" t="s">
        <v>13</v>
      </c>
      <c r="AD1397" s="362" t="s">
        <v>14</v>
      </c>
      <c r="AE1397" s="362" t="s">
        <v>15</v>
      </c>
      <c r="AF1397" s="362" t="s">
        <v>16</v>
      </c>
      <c r="AG1397" s="362" t="s">
        <v>10</v>
      </c>
      <c r="AH1397" s="362" t="s">
        <v>11</v>
      </c>
      <c r="AI1397" s="362" t="s">
        <v>12</v>
      </c>
      <c r="AJ1397" s="362" t="s">
        <v>13</v>
      </c>
      <c r="AK1397" s="362"/>
      <c r="AL1397" s="363"/>
      <c r="AM1397" s="364"/>
      <c r="AN1397" s="365"/>
      <c r="AO1397" s="444" t="s">
        <v>96</v>
      </c>
      <c r="AQ1397" s="366"/>
      <c r="AR1397" s="367" t="s">
        <v>17</v>
      </c>
      <c r="AS1397" s="367" t="s">
        <v>18</v>
      </c>
      <c r="AT1397" s="367" t="s">
        <v>19</v>
      </c>
    </row>
    <row r="1398" spans="3:46" ht="12.75" x14ac:dyDescent="0.2">
      <c r="E1398" s="362" t="s">
        <v>20</v>
      </c>
      <c r="F1398" s="362">
        <v>1</v>
      </c>
      <c r="G1398" s="362">
        <v>2</v>
      </c>
      <c r="H1398" s="362">
        <v>3</v>
      </c>
      <c r="I1398" s="362">
        <v>4</v>
      </c>
      <c r="J1398" s="362">
        <v>5</v>
      </c>
      <c r="K1398" s="362">
        <v>6</v>
      </c>
      <c r="L1398" s="362">
        <v>7</v>
      </c>
      <c r="M1398" s="362">
        <v>8</v>
      </c>
      <c r="N1398" s="362">
        <v>9</v>
      </c>
      <c r="O1398" s="362">
        <v>10</v>
      </c>
      <c r="P1398" s="362">
        <v>11</v>
      </c>
      <c r="Q1398" s="362">
        <v>12</v>
      </c>
      <c r="R1398" s="362">
        <v>13</v>
      </c>
      <c r="S1398" s="362">
        <v>14</v>
      </c>
      <c r="T1398" s="362">
        <v>15</v>
      </c>
      <c r="U1398" s="362">
        <v>16</v>
      </c>
      <c r="V1398" s="362">
        <v>17</v>
      </c>
      <c r="W1398" s="362">
        <v>18</v>
      </c>
      <c r="X1398" s="362">
        <v>19</v>
      </c>
      <c r="Y1398" s="362">
        <v>20</v>
      </c>
      <c r="Z1398" s="362">
        <v>21</v>
      </c>
      <c r="AA1398" s="362">
        <v>22</v>
      </c>
      <c r="AB1398" s="362">
        <v>23</v>
      </c>
      <c r="AC1398" s="362">
        <v>24</v>
      </c>
      <c r="AD1398" s="362">
        <v>25</v>
      </c>
      <c r="AE1398" s="362">
        <v>26</v>
      </c>
      <c r="AF1398" s="362">
        <v>27</v>
      </c>
      <c r="AG1398" s="362">
        <v>28</v>
      </c>
      <c r="AH1398" s="362">
        <v>29</v>
      </c>
      <c r="AI1398" s="362">
        <v>30</v>
      </c>
      <c r="AJ1398" s="362">
        <v>31</v>
      </c>
      <c r="AK1398" s="362" t="s">
        <v>21</v>
      </c>
      <c r="AL1398" s="363" t="s">
        <v>18</v>
      </c>
      <c r="AM1398" s="364" t="s">
        <v>19</v>
      </c>
      <c r="AN1398" s="368" t="s">
        <v>22</v>
      </c>
      <c r="AO1398" s="445"/>
      <c r="AP1398" s="446"/>
      <c r="AQ1398" s="367" t="s">
        <v>23</v>
      </c>
      <c r="AR1398" s="369">
        <f>AK1409-AK1462</f>
        <v>112.02999999999997</v>
      </c>
      <c r="AS1398" s="369">
        <f>(AL1409-AL1462)-AL1410+AM1411</f>
        <v>12.019999999999754</v>
      </c>
      <c r="AT1398" s="369">
        <f>(AM1409-AM1462)+AL1410-AM1411-AM1412</f>
        <v>9.9999999999909051E-3</v>
      </c>
    </row>
    <row r="1399" spans="3:46" ht="12.75" x14ac:dyDescent="0.2">
      <c r="C1399" s="628" t="s">
        <v>24</v>
      </c>
      <c r="D1399" s="370" t="s">
        <v>25</v>
      </c>
      <c r="E1399" s="371" t="s">
        <v>18</v>
      </c>
      <c r="F1399" s="372"/>
      <c r="G1399" s="372"/>
      <c r="H1399" s="371"/>
      <c r="I1399" s="372"/>
      <c r="J1399" s="371">
        <v>980</v>
      </c>
      <c r="K1399" s="372"/>
      <c r="L1399" s="372"/>
      <c r="M1399" s="372"/>
      <c r="N1399" s="372"/>
      <c r="O1399" s="372"/>
      <c r="P1399" s="372"/>
      <c r="Q1399" s="372"/>
      <c r="R1399" s="372"/>
      <c r="S1399" s="372"/>
      <c r="T1399" s="371"/>
      <c r="U1399" s="372"/>
      <c r="V1399" s="372"/>
      <c r="W1399" s="372"/>
      <c r="X1399" s="371">
        <v>519.75</v>
      </c>
      <c r="Y1399" s="371"/>
      <c r="Z1399" s="372"/>
      <c r="AA1399" s="372"/>
      <c r="AB1399" s="372"/>
      <c r="AC1399" s="372"/>
      <c r="AD1399" s="372"/>
      <c r="AE1399" s="372"/>
      <c r="AF1399" s="372"/>
      <c r="AG1399" s="372"/>
      <c r="AH1399" s="372"/>
      <c r="AI1399" s="372"/>
      <c r="AJ1399" s="372"/>
      <c r="AK1399" s="373">
        <f t="shared" ref="AK1399:AK1408" si="222">SUM(F1399:AJ1399)</f>
        <v>1499.75</v>
      </c>
      <c r="AL1399" s="366">
        <f t="shared" ref="AL1399:AL1400" si="223">AK1399</f>
        <v>1499.75</v>
      </c>
      <c r="AM1399" s="369"/>
      <c r="AN1399" s="374">
        <f>AL1399</f>
        <v>1499.75</v>
      </c>
      <c r="AO1399" s="447">
        <v>1505</v>
      </c>
    </row>
    <row r="1400" spans="3:46" ht="12.75" x14ac:dyDescent="0.2">
      <c r="C1400" s="580"/>
      <c r="D1400" s="645" t="s">
        <v>26</v>
      </c>
      <c r="E1400" s="363" t="s">
        <v>18</v>
      </c>
      <c r="F1400" s="366"/>
      <c r="G1400" s="366"/>
      <c r="H1400" s="366"/>
      <c r="I1400" s="366"/>
      <c r="J1400" s="366"/>
      <c r="K1400" s="366"/>
      <c r="L1400" s="366"/>
      <c r="M1400" s="366"/>
      <c r="N1400" s="366"/>
      <c r="O1400" s="366"/>
      <c r="P1400" s="366"/>
      <c r="Q1400" s="366"/>
      <c r="R1400" s="366"/>
      <c r="S1400" s="366"/>
      <c r="T1400" s="366"/>
      <c r="U1400" s="366"/>
      <c r="V1400" s="366"/>
      <c r="W1400" s="366"/>
      <c r="X1400" s="366"/>
      <c r="Y1400" s="366"/>
      <c r="Z1400" s="366"/>
      <c r="AA1400" s="366"/>
      <c r="AB1400" s="366"/>
      <c r="AC1400" s="366"/>
      <c r="AD1400" s="366"/>
      <c r="AE1400" s="366"/>
      <c r="AF1400" s="366"/>
      <c r="AG1400" s="366"/>
      <c r="AH1400" s="366"/>
      <c r="AI1400" s="366"/>
      <c r="AJ1400" s="366"/>
      <c r="AK1400" s="376">
        <f t="shared" si="222"/>
        <v>0</v>
      </c>
      <c r="AL1400" s="377">
        <f t="shared" si="223"/>
        <v>0</v>
      </c>
      <c r="AM1400" s="378"/>
      <c r="AN1400" s="633">
        <f>SUM(AL1400:AM1401)</f>
        <v>0</v>
      </c>
      <c r="AO1400" s="445"/>
    </row>
    <row r="1401" spans="3:46" ht="12.75" x14ac:dyDescent="0.2">
      <c r="C1401" s="580"/>
      <c r="D1401" s="577"/>
      <c r="E1401" s="364" t="s">
        <v>19</v>
      </c>
      <c r="F1401" s="369"/>
      <c r="G1401" s="369"/>
      <c r="H1401" s="369"/>
      <c r="I1401" s="369"/>
      <c r="J1401" s="369"/>
      <c r="K1401" s="369"/>
      <c r="L1401" s="369"/>
      <c r="M1401" s="369"/>
      <c r="N1401" s="369"/>
      <c r="O1401" s="369"/>
      <c r="P1401" s="369"/>
      <c r="Q1401" s="369"/>
      <c r="R1401" s="369"/>
      <c r="S1401" s="369"/>
      <c r="T1401" s="369"/>
      <c r="U1401" s="369"/>
      <c r="V1401" s="369"/>
      <c r="W1401" s="369"/>
      <c r="X1401" s="369"/>
      <c r="Y1401" s="369"/>
      <c r="Z1401" s="369"/>
      <c r="AA1401" s="369"/>
      <c r="AB1401" s="369"/>
      <c r="AC1401" s="369"/>
      <c r="AD1401" s="369"/>
      <c r="AE1401" s="369"/>
      <c r="AF1401" s="369"/>
      <c r="AG1401" s="369"/>
      <c r="AH1401" s="369"/>
      <c r="AI1401" s="369"/>
      <c r="AJ1401" s="369"/>
      <c r="AK1401" s="379">
        <f t="shared" si="222"/>
        <v>0</v>
      </c>
      <c r="AL1401" s="380"/>
      <c r="AM1401" s="381">
        <f t="shared" ref="AM1401:AM1402" si="224">AK1401</f>
        <v>0</v>
      </c>
      <c r="AN1401" s="583"/>
      <c r="AO1401" s="445"/>
    </row>
    <row r="1402" spans="3:46" ht="12.75" x14ac:dyDescent="0.2">
      <c r="C1402" s="580"/>
      <c r="D1402" s="375" t="s">
        <v>27</v>
      </c>
      <c r="E1402" s="364" t="s">
        <v>19</v>
      </c>
      <c r="F1402" s="369"/>
      <c r="G1402" s="369"/>
      <c r="H1402" s="369"/>
      <c r="I1402" s="369"/>
      <c r="J1402" s="369"/>
      <c r="K1402" s="369"/>
      <c r="L1402" s="369"/>
      <c r="M1402" s="369"/>
      <c r="N1402" s="369"/>
      <c r="O1402" s="369"/>
      <c r="P1402" s="369"/>
      <c r="Q1402" s="369"/>
      <c r="R1402" s="369"/>
      <c r="S1402" s="369"/>
      <c r="T1402" s="369"/>
      <c r="U1402" s="369"/>
      <c r="V1402" s="369"/>
      <c r="W1402" s="369"/>
      <c r="X1402" s="369"/>
      <c r="Y1402" s="369"/>
      <c r="Z1402" s="369"/>
      <c r="AA1402" s="369"/>
      <c r="AB1402" s="369"/>
      <c r="AC1402" s="369"/>
      <c r="AD1402" s="369"/>
      <c r="AE1402" s="369"/>
      <c r="AF1402" s="369"/>
      <c r="AG1402" s="369"/>
      <c r="AH1402" s="369"/>
      <c r="AI1402" s="369"/>
      <c r="AJ1402" s="369"/>
      <c r="AK1402" s="379">
        <f t="shared" si="222"/>
        <v>0</v>
      </c>
      <c r="AL1402" s="366"/>
      <c r="AM1402" s="369">
        <f t="shared" si="224"/>
        <v>0</v>
      </c>
      <c r="AN1402" s="374">
        <f>AM1402</f>
        <v>0</v>
      </c>
      <c r="AO1402" s="445"/>
    </row>
    <row r="1403" spans="3:46" ht="12.75" x14ac:dyDescent="0.2">
      <c r="C1403" s="580"/>
      <c r="D1403" s="645" t="s">
        <v>28</v>
      </c>
      <c r="E1403" s="363" t="s">
        <v>18</v>
      </c>
      <c r="F1403" s="366"/>
      <c r="G1403" s="366"/>
      <c r="H1403" s="366"/>
      <c r="I1403" s="366"/>
      <c r="J1403" s="366"/>
      <c r="K1403" s="366"/>
      <c r="L1403" s="366"/>
      <c r="M1403" s="366"/>
      <c r="N1403" s="366"/>
      <c r="O1403" s="366"/>
      <c r="P1403" s="366"/>
      <c r="Q1403" s="366"/>
      <c r="R1403" s="366"/>
      <c r="S1403" s="366"/>
      <c r="T1403" s="366"/>
      <c r="U1403" s="366"/>
      <c r="V1403" s="366"/>
      <c r="W1403" s="366"/>
      <c r="X1403" s="366"/>
      <c r="Y1403" s="366"/>
      <c r="Z1403" s="366"/>
      <c r="AA1403" s="366"/>
      <c r="AB1403" s="366"/>
      <c r="AC1403" s="366"/>
      <c r="AD1403" s="366"/>
      <c r="AE1403" s="366"/>
      <c r="AF1403" s="366"/>
      <c r="AG1403" s="366"/>
      <c r="AH1403" s="366"/>
      <c r="AI1403" s="366"/>
      <c r="AJ1403" s="366"/>
      <c r="AK1403" s="376">
        <f t="shared" si="222"/>
        <v>0</v>
      </c>
      <c r="AL1403" s="377">
        <f>AK1403</f>
        <v>0</v>
      </c>
      <c r="AM1403" s="378"/>
      <c r="AN1403" s="633">
        <f>SUM(AL1403:AM1404)</f>
        <v>152.5</v>
      </c>
      <c r="AO1403" s="445"/>
    </row>
    <row r="1404" spans="3:46" ht="12.75" x14ac:dyDescent="0.2">
      <c r="C1404" s="580"/>
      <c r="D1404" s="577"/>
      <c r="E1404" s="364" t="s">
        <v>19</v>
      </c>
      <c r="F1404" s="369"/>
      <c r="G1404" s="364"/>
      <c r="H1404" s="364">
        <v>50</v>
      </c>
      <c r="I1404" s="369"/>
      <c r="J1404" s="364"/>
      <c r="K1404" s="369"/>
      <c r="L1404" s="369"/>
      <c r="M1404" s="369"/>
      <c r="N1404" s="369"/>
      <c r="O1404" s="369"/>
      <c r="P1404" s="369"/>
      <c r="Q1404" s="369"/>
      <c r="R1404" s="369"/>
      <c r="S1404" s="364"/>
      <c r="T1404" s="369"/>
      <c r="U1404" s="369"/>
      <c r="V1404" s="369"/>
      <c r="W1404" s="364">
        <v>2.5</v>
      </c>
      <c r="X1404" s="364">
        <v>10</v>
      </c>
      <c r="Y1404" s="369"/>
      <c r="Z1404" s="369"/>
      <c r="AA1404" s="369"/>
      <c r="AB1404" s="369"/>
      <c r="AC1404" s="369"/>
      <c r="AD1404" s="369"/>
      <c r="AE1404" s="369"/>
      <c r="AF1404" s="369"/>
      <c r="AG1404" s="369"/>
      <c r="AH1404" s="369"/>
      <c r="AI1404" s="364">
        <v>90</v>
      </c>
      <c r="AJ1404" s="369"/>
      <c r="AK1404" s="379">
        <f t="shared" si="222"/>
        <v>152.5</v>
      </c>
      <c r="AL1404" s="380"/>
      <c r="AM1404" s="381">
        <f>AK1404</f>
        <v>152.5</v>
      </c>
      <c r="AN1404" s="583"/>
      <c r="AO1404" s="445"/>
    </row>
    <row r="1405" spans="3:46" ht="12.75" x14ac:dyDescent="0.2">
      <c r="C1405" s="580"/>
      <c r="D1405" s="645" t="s">
        <v>29</v>
      </c>
      <c r="E1405" s="363" t="s">
        <v>18</v>
      </c>
      <c r="F1405" s="366"/>
      <c r="G1405" s="366"/>
      <c r="H1405" s="366"/>
      <c r="I1405" s="366"/>
      <c r="J1405" s="366"/>
      <c r="K1405" s="366"/>
      <c r="L1405" s="366"/>
      <c r="M1405" s="366"/>
      <c r="N1405" s="366"/>
      <c r="O1405" s="366"/>
      <c r="P1405" s="366"/>
      <c r="Q1405" s="366"/>
      <c r="R1405" s="366"/>
      <c r="S1405" s="366"/>
      <c r="T1405" s="366"/>
      <c r="U1405" s="366"/>
      <c r="V1405" s="366"/>
      <c r="W1405" s="366"/>
      <c r="X1405" s="366"/>
      <c r="Y1405" s="366"/>
      <c r="Z1405" s="366"/>
      <c r="AA1405" s="366"/>
      <c r="AB1405" s="363"/>
      <c r="AC1405" s="366"/>
      <c r="AD1405" s="366"/>
      <c r="AE1405" s="366"/>
      <c r="AF1405" s="366"/>
      <c r="AG1405" s="366"/>
      <c r="AH1405" s="366"/>
      <c r="AI1405" s="366"/>
      <c r="AJ1405" s="366"/>
      <c r="AK1405" s="376">
        <f t="shared" si="222"/>
        <v>0</v>
      </c>
      <c r="AL1405" s="377">
        <f>AK1405</f>
        <v>0</v>
      </c>
      <c r="AM1405" s="378"/>
      <c r="AN1405" s="633">
        <f>SUM(AL1405:AM1406)</f>
        <v>0</v>
      </c>
      <c r="AO1405" s="445"/>
    </row>
    <row r="1406" spans="3:46" ht="12.75" x14ac:dyDescent="0.2">
      <c r="C1406" s="580"/>
      <c r="D1406" s="577"/>
      <c r="E1406" s="364" t="s">
        <v>19</v>
      </c>
      <c r="F1406" s="369"/>
      <c r="G1406" s="369"/>
      <c r="H1406" s="369"/>
      <c r="I1406" s="369"/>
      <c r="J1406" s="369"/>
      <c r="K1406" s="369"/>
      <c r="L1406" s="369"/>
      <c r="M1406" s="369"/>
      <c r="N1406" s="369"/>
      <c r="O1406" s="369"/>
      <c r="P1406" s="369"/>
      <c r="Q1406" s="369"/>
      <c r="R1406" s="369"/>
      <c r="S1406" s="369"/>
      <c r="T1406" s="369"/>
      <c r="U1406" s="369"/>
      <c r="V1406" s="369"/>
      <c r="W1406" s="369"/>
      <c r="X1406" s="369"/>
      <c r="Y1406" s="369"/>
      <c r="Z1406" s="369"/>
      <c r="AA1406" s="369"/>
      <c r="AB1406" s="364"/>
      <c r="AC1406" s="369"/>
      <c r="AD1406" s="369"/>
      <c r="AE1406" s="369"/>
      <c r="AF1406" s="369"/>
      <c r="AG1406" s="369"/>
      <c r="AH1406" s="369"/>
      <c r="AI1406" s="369"/>
      <c r="AJ1406" s="369"/>
      <c r="AK1406" s="379">
        <f t="shared" si="222"/>
        <v>0</v>
      </c>
      <c r="AL1406" s="380"/>
      <c r="AM1406" s="381">
        <f>AK1406</f>
        <v>0</v>
      </c>
      <c r="AN1406" s="583"/>
      <c r="AO1406" s="445"/>
    </row>
    <row r="1407" spans="3:46" ht="12.75" x14ac:dyDescent="0.2">
      <c r="C1407" s="580"/>
      <c r="D1407" s="645" t="s">
        <v>31</v>
      </c>
      <c r="E1407" s="363" t="s">
        <v>18</v>
      </c>
      <c r="F1407" s="366"/>
      <c r="G1407" s="366"/>
      <c r="H1407" s="366"/>
      <c r="I1407" s="366"/>
      <c r="J1407" s="366"/>
      <c r="K1407" s="366"/>
      <c r="L1407" s="366"/>
      <c r="M1407" s="366"/>
      <c r="N1407" s="366"/>
      <c r="O1407" s="366"/>
      <c r="P1407" s="366"/>
      <c r="Q1407" s="366"/>
      <c r="R1407" s="366"/>
      <c r="S1407" s="366"/>
      <c r="T1407" s="366"/>
      <c r="U1407" s="366"/>
      <c r="V1407" s="366"/>
      <c r="W1407" s="366"/>
      <c r="X1407" s="366"/>
      <c r="Y1407" s="366"/>
      <c r="Z1407" s="366"/>
      <c r="AA1407" s="366"/>
      <c r="AB1407" s="366"/>
      <c r="AC1407" s="366"/>
      <c r="AD1407" s="366"/>
      <c r="AE1407" s="366"/>
      <c r="AF1407" s="366"/>
      <c r="AG1407" s="366"/>
      <c r="AH1407" s="366"/>
      <c r="AI1407" s="366"/>
      <c r="AJ1407" s="366"/>
      <c r="AK1407" s="376">
        <f t="shared" si="222"/>
        <v>0</v>
      </c>
      <c r="AL1407" s="377">
        <f>AK1407</f>
        <v>0</v>
      </c>
      <c r="AM1407" s="378"/>
      <c r="AN1407" s="633">
        <f>SUM(AL1407:AM1408)</f>
        <v>120</v>
      </c>
      <c r="AO1407" s="445"/>
    </row>
    <row r="1408" spans="3:46" ht="12.75" x14ac:dyDescent="0.2">
      <c r="C1408" s="581"/>
      <c r="D1408" s="585"/>
      <c r="E1408" s="382" t="s">
        <v>19</v>
      </c>
      <c r="F1408" s="381"/>
      <c r="G1408" s="381"/>
      <c r="H1408" s="381"/>
      <c r="I1408" s="381"/>
      <c r="J1408" s="381"/>
      <c r="K1408" s="381"/>
      <c r="L1408" s="381"/>
      <c r="M1408" s="382"/>
      <c r="N1408" s="382"/>
      <c r="O1408" s="382">
        <v>20</v>
      </c>
      <c r="P1408" s="381"/>
      <c r="Q1408" s="381"/>
      <c r="R1408" s="381"/>
      <c r="S1408" s="381"/>
      <c r="T1408" s="381"/>
      <c r="U1408" s="381"/>
      <c r="V1408" s="381"/>
      <c r="W1408" s="381"/>
      <c r="X1408" s="381"/>
      <c r="Y1408" s="381"/>
      <c r="Z1408" s="382">
        <v>100</v>
      </c>
      <c r="AA1408" s="381"/>
      <c r="AB1408" s="381"/>
      <c r="AC1408" s="381"/>
      <c r="AD1408" s="381"/>
      <c r="AE1408" s="381"/>
      <c r="AF1408" s="381"/>
      <c r="AG1408" s="381"/>
      <c r="AH1408" s="381"/>
      <c r="AI1408" s="381"/>
      <c r="AJ1408" s="381"/>
      <c r="AK1408" s="383">
        <f t="shared" si="222"/>
        <v>120</v>
      </c>
      <c r="AL1408" s="380"/>
      <c r="AM1408" s="381">
        <f>AK1408</f>
        <v>120</v>
      </c>
      <c r="AN1408" s="583"/>
      <c r="AO1408" s="445"/>
    </row>
    <row r="1409" spans="3:41" ht="12.75" x14ac:dyDescent="0.2">
      <c r="C1409" s="362" t="s">
        <v>32</v>
      </c>
      <c r="D1409" s="384"/>
      <c r="E1409" s="369"/>
      <c r="F1409" s="369">
        <f t="shared" ref="F1409:AM1409" si="225">SUM(F1399:F1408)</f>
        <v>0</v>
      </c>
      <c r="G1409" s="369">
        <f t="shared" si="225"/>
        <v>0</v>
      </c>
      <c r="H1409" s="369">
        <f t="shared" si="225"/>
        <v>50</v>
      </c>
      <c r="I1409" s="369">
        <f t="shared" si="225"/>
        <v>0</v>
      </c>
      <c r="J1409" s="369">
        <f t="shared" si="225"/>
        <v>980</v>
      </c>
      <c r="K1409" s="369">
        <f t="shared" si="225"/>
        <v>0</v>
      </c>
      <c r="L1409" s="369">
        <f t="shared" si="225"/>
        <v>0</v>
      </c>
      <c r="M1409" s="369">
        <f t="shared" si="225"/>
        <v>0</v>
      </c>
      <c r="N1409" s="369">
        <f t="shared" si="225"/>
        <v>0</v>
      </c>
      <c r="O1409" s="369">
        <f t="shared" si="225"/>
        <v>20</v>
      </c>
      <c r="P1409" s="369">
        <f t="shared" si="225"/>
        <v>0</v>
      </c>
      <c r="Q1409" s="369">
        <f t="shared" si="225"/>
        <v>0</v>
      </c>
      <c r="R1409" s="369">
        <f t="shared" si="225"/>
        <v>0</v>
      </c>
      <c r="S1409" s="369">
        <f t="shared" si="225"/>
        <v>0</v>
      </c>
      <c r="T1409" s="369">
        <f t="shared" si="225"/>
        <v>0</v>
      </c>
      <c r="U1409" s="369">
        <f t="shared" si="225"/>
        <v>0</v>
      </c>
      <c r="V1409" s="369">
        <f t="shared" si="225"/>
        <v>0</v>
      </c>
      <c r="W1409" s="369">
        <f t="shared" si="225"/>
        <v>2.5</v>
      </c>
      <c r="X1409" s="369">
        <f t="shared" si="225"/>
        <v>529.75</v>
      </c>
      <c r="Y1409" s="369">
        <f t="shared" si="225"/>
        <v>0</v>
      </c>
      <c r="Z1409" s="369">
        <f t="shared" si="225"/>
        <v>100</v>
      </c>
      <c r="AA1409" s="369">
        <f t="shared" si="225"/>
        <v>0</v>
      </c>
      <c r="AB1409" s="369">
        <f t="shared" si="225"/>
        <v>0</v>
      </c>
      <c r="AC1409" s="369">
        <f t="shared" si="225"/>
        <v>0</v>
      </c>
      <c r="AD1409" s="369">
        <f t="shared" si="225"/>
        <v>0</v>
      </c>
      <c r="AE1409" s="369">
        <f t="shared" si="225"/>
        <v>0</v>
      </c>
      <c r="AF1409" s="369">
        <f t="shared" si="225"/>
        <v>0</v>
      </c>
      <c r="AG1409" s="369">
        <f t="shared" si="225"/>
        <v>0</v>
      </c>
      <c r="AH1409" s="369">
        <f t="shared" si="225"/>
        <v>0</v>
      </c>
      <c r="AI1409" s="369">
        <f t="shared" si="225"/>
        <v>90</v>
      </c>
      <c r="AJ1409" s="369">
        <f t="shared" si="225"/>
        <v>0</v>
      </c>
      <c r="AK1409" s="385">
        <f t="shared" si="225"/>
        <v>1772.25</v>
      </c>
      <c r="AL1409" s="366">
        <f t="shared" si="225"/>
        <v>1499.75</v>
      </c>
      <c r="AM1409" s="369">
        <f t="shared" si="225"/>
        <v>272.5</v>
      </c>
      <c r="AN1409" s="374"/>
      <c r="AO1409" s="445"/>
    </row>
    <row r="1410" spans="3:41" ht="12.75" x14ac:dyDescent="0.2">
      <c r="C1410" s="630" t="s">
        <v>83</v>
      </c>
      <c r="D1410" s="423" t="s">
        <v>84</v>
      </c>
      <c r="E1410" s="424" t="s">
        <v>18</v>
      </c>
      <c r="F1410" s="425"/>
      <c r="G1410" s="425"/>
      <c r="H1410" s="425"/>
      <c r="I1410" s="425"/>
      <c r="J1410" s="424">
        <f>20+60+30+25</f>
        <v>135</v>
      </c>
      <c r="K1410" s="424"/>
      <c r="L1410" s="425"/>
      <c r="M1410" s="424"/>
      <c r="N1410" s="425"/>
      <c r="O1410" s="424">
        <v>100</v>
      </c>
      <c r="P1410" s="425"/>
      <c r="Q1410" s="425"/>
      <c r="R1410" s="425"/>
      <c r="S1410" s="425"/>
      <c r="T1410" s="425"/>
      <c r="U1410" s="424"/>
      <c r="V1410" s="425"/>
      <c r="W1410" s="425"/>
      <c r="X1410" s="425"/>
      <c r="Y1410" s="425"/>
      <c r="Z1410" s="425"/>
      <c r="AA1410" s="425"/>
      <c r="AB1410" s="425"/>
      <c r="AC1410" s="425"/>
      <c r="AD1410" s="425"/>
      <c r="AE1410" s="425"/>
      <c r="AF1410" s="425"/>
      <c r="AG1410" s="425"/>
      <c r="AH1410" s="425"/>
      <c r="AI1410" s="425"/>
      <c r="AJ1410" s="426"/>
      <c r="AK1410" s="425"/>
      <c r="AL1410" s="427">
        <f>SUM(F1410:AJ1410)</f>
        <v>235</v>
      </c>
      <c r="AM1410" s="427"/>
      <c r="AN1410" s="374"/>
      <c r="AO1410" s="445"/>
    </row>
    <row r="1411" spans="3:41" ht="12.75" x14ac:dyDescent="0.2">
      <c r="C1411" s="580"/>
      <c r="D1411" s="413" t="s">
        <v>85</v>
      </c>
      <c r="E1411" s="428" t="s">
        <v>19</v>
      </c>
      <c r="F1411" s="427"/>
      <c r="G1411" s="427"/>
      <c r="H1411" s="427"/>
      <c r="I1411" s="427"/>
      <c r="J1411" s="427"/>
      <c r="K1411" s="427"/>
      <c r="L1411" s="427"/>
      <c r="M1411" s="427"/>
      <c r="N1411" s="427"/>
      <c r="O1411" s="427"/>
      <c r="P1411" s="427"/>
      <c r="Q1411" s="427"/>
      <c r="R1411" s="427"/>
      <c r="S1411" s="427"/>
      <c r="T1411" s="427"/>
      <c r="U1411" s="428"/>
      <c r="V1411" s="427"/>
      <c r="W1411" s="427"/>
      <c r="X1411" s="427"/>
      <c r="Y1411" s="427"/>
      <c r="Z1411" s="427"/>
      <c r="AA1411" s="427"/>
      <c r="AB1411" s="427"/>
      <c r="AC1411" s="427"/>
      <c r="AD1411" s="427"/>
      <c r="AE1411" s="427"/>
      <c r="AF1411" s="427"/>
      <c r="AG1411" s="427"/>
      <c r="AH1411" s="427"/>
      <c r="AI1411" s="427"/>
      <c r="AJ1411" s="429"/>
      <c r="AK1411" s="427"/>
      <c r="AL1411" s="427"/>
      <c r="AM1411" s="427">
        <f t="shared" ref="AM1411:AM1412" si="226">SUM(F1411:AJ1411)</f>
        <v>0</v>
      </c>
      <c r="AN1411" s="374"/>
      <c r="AO1411" s="445"/>
    </row>
    <row r="1412" spans="3:41" ht="12.75" x14ac:dyDescent="0.2">
      <c r="C1412" s="581"/>
      <c r="D1412" s="430" t="s">
        <v>86</v>
      </c>
      <c r="E1412" s="431" t="s">
        <v>19</v>
      </c>
      <c r="F1412" s="432"/>
      <c r="G1412" s="432"/>
      <c r="H1412" s="432"/>
      <c r="I1412" s="432"/>
      <c r="J1412" s="432"/>
      <c r="K1412" s="432"/>
      <c r="L1412" s="432"/>
      <c r="M1412" s="432"/>
      <c r="N1412" s="432"/>
      <c r="O1412" s="431">
        <v>100</v>
      </c>
      <c r="P1412" s="432"/>
      <c r="Q1412" s="432"/>
      <c r="R1412" s="432"/>
      <c r="S1412" s="432"/>
      <c r="T1412" s="432"/>
      <c r="U1412" s="431"/>
      <c r="V1412" s="432"/>
      <c r="W1412" s="432"/>
      <c r="X1412" s="432"/>
      <c r="Y1412" s="432"/>
      <c r="Z1412" s="432"/>
      <c r="AA1412" s="432"/>
      <c r="AB1412" s="432"/>
      <c r="AC1412" s="432"/>
      <c r="AD1412" s="432"/>
      <c r="AE1412" s="432"/>
      <c r="AF1412" s="432"/>
      <c r="AG1412" s="432"/>
      <c r="AH1412" s="432"/>
      <c r="AI1412" s="432"/>
      <c r="AJ1412" s="433"/>
      <c r="AK1412" s="427"/>
      <c r="AL1412" s="427"/>
      <c r="AM1412" s="427">
        <f t="shared" si="226"/>
        <v>100</v>
      </c>
      <c r="AN1412" s="374"/>
      <c r="AO1412" s="445"/>
    </row>
    <row r="1413" spans="3:41" ht="12.75" x14ac:dyDescent="0.2">
      <c r="C1413" s="631" t="s">
        <v>93</v>
      </c>
      <c r="D1413" s="646" t="s">
        <v>94</v>
      </c>
      <c r="E1413" s="428" t="s">
        <v>18</v>
      </c>
      <c r="F1413" s="427"/>
      <c r="G1413" s="427"/>
      <c r="H1413" s="427"/>
      <c r="I1413" s="427"/>
      <c r="J1413" s="427"/>
      <c r="K1413" s="427"/>
      <c r="L1413" s="427"/>
      <c r="M1413" s="427"/>
      <c r="N1413" s="427"/>
      <c r="O1413" s="427"/>
      <c r="P1413" s="427"/>
      <c r="Q1413" s="427"/>
      <c r="R1413" s="427"/>
      <c r="S1413" s="427"/>
      <c r="T1413" s="427"/>
      <c r="U1413" s="428"/>
      <c r="V1413" s="427"/>
      <c r="W1413" s="427"/>
      <c r="X1413" s="427"/>
      <c r="Y1413" s="427"/>
      <c r="Z1413" s="427"/>
      <c r="AA1413" s="427"/>
      <c r="AB1413" s="427"/>
      <c r="AC1413" s="427"/>
      <c r="AD1413" s="427"/>
      <c r="AE1413" s="427"/>
      <c r="AF1413" s="427"/>
      <c r="AG1413" s="427"/>
      <c r="AH1413" s="427"/>
      <c r="AI1413" s="427"/>
      <c r="AJ1413" s="429"/>
      <c r="AK1413" s="425"/>
      <c r="AL1413" s="425">
        <f>SUM(F1413:AJ1413)</f>
        <v>0</v>
      </c>
      <c r="AM1413" s="425"/>
      <c r="AN1413" s="637">
        <f>SUM(AL1413:AM1414)</f>
        <v>0</v>
      </c>
      <c r="AO1413" s="445"/>
    </row>
    <row r="1414" spans="3:41" ht="12.75" x14ac:dyDescent="0.2">
      <c r="C1414" s="581"/>
      <c r="D1414" s="577"/>
      <c r="E1414" s="431" t="s">
        <v>19</v>
      </c>
      <c r="F1414" s="427"/>
      <c r="G1414" s="427"/>
      <c r="H1414" s="427"/>
      <c r="I1414" s="427"/>
      <c r="J1414" s="427"/>
      <c r="K1414" s="427"/>
      <c r="L1414" s="427"/>
      <c r="M1414" s="427"/>
      <c r="N1414" s="427"/>
      <c r="O1414" s="427"/>
      <c r="P1414" s="427"/>
      <c r="Q1414" s="427"/>
      <c r="R1414" s="427"/>
      <c r="S1414" s="427"/>
      <c r="T1414" s="427"/>
      <c r="U1414" s="428"/>
      <c r="V1414" s="427"/>
      <c r="W1414" s="427"/>
      <c r="X1414" s="427"/>
      <c r="Y1414" s="427"/>
      <c r="Z1414" s="427"/>
      <c r="AA1414" s="427"/>
      <c r="AB1414" s="427"/>
      <c r="AC1414" s="427"/>
      <c r="AD1414" s="427"/>
      <c r="AE1414" s="427"/>
      <c r="AF1414" s="427"/>
      <c r="AG1414" s="427"/>
      <c r="AH1414" s="427"/>
      <c r="AI1414" s="427"/>
      <c r="AJ1414" s="429"/>
      <c r="AK1414" s="427"/>
      <c r="AL1414" s="427"/>
      <c r="AM1414" s="427">
        <f>SUM(F1414:AJ1414)</f>
        <v>0</v>
      </c>
      <c r="AN1414" s="577"/>
      <c r="AO1414" s="445"/>
    </row>
    <row r="1415" spans="3:41" ht="12.75" x14ac:dyDescent="0.2">
      <c r="C1415" s="629" t="s">
        <v>33</v>
      </c>
      <c r="D1415" s="416" t="s">
        <v>34</v>
      </c>
      <c r="E1415" s="441" t="s">
        <v>19</v>
      </c>
      <c r="F1415" s="409"/>
      <c r="G1415" s="409"/>
      <c r="H1415" s="409"/>
      <c r="I1415" s="409"/>
      <c r="J1415" s="441">
        <v>60</v>
      </c>
      <c r="K1415" s="409"/>
      <c r="L1415" s="409"/>
      <c r="M1415" s="409"/>
      <c r="N1415" s="409"/>
      <c r="O1415" s="409"/>
      <c r="P1415" s="409"/>
      <c r="Q1415" s="409"/>
      <c r="R1415" s="409"/>
      <c r="S1415" s="409"/>
      <c r="T1415" s="409"/>
      <c r="U1415" s="409"/>
      <c r="V1415" s="409"/>
      <c r="W1415" s="409"/>
      <c r="X1415" s="409"/>
      <c r="Y1415" s="409"/>
      <c r="Z1415" s="409"/>
      <c r="AA1415" s="409"/>
      <c r="AB1415" s="409"/>
      <c r="AC1415" s="409"/>
      <c r="AD1415" s="409"/>
      <c r="AE1415" s="409"/>
      <c r="AF1415" s="409"/>
      <c r="AG1415" s="409"/>
      <c r="AH1415" s="409"/>
      <c r="AI1415" s="409"/>
      <c r="AJ1415" s="409"/>
      <c r="AK1415" s="442">
        <f t="shared" ref="AK1415:AK1461" si="227">SUM(F1415:AJ1415)</f>
        <v>60</v>
      </c>
      <c r="AL1415" s="394"/>
      <c r="AM1415" s="396">
        <f>AK1415</f>
        <v>60</v>
      </c>
      <c r="AN1415" s="374">
        <f>AM1415</f>
        <v>60</v>
      </c>
      <c r="AO1415" s="447">
        <v>60</v>
      </c>
    </row>
    <row r="1416" spans="3:41" ht="12.75" x14ac:dyDescent="0.2">
      <c r="C1416" s="580"/>
      <c r="D1416" s="402" t="s">
        <v>35</v>
      </c>
      <c r="E1416" s="393" t="s">
        <v>18</v>
      </c>
      <c r="F1416" s="394"/>
      <c r="G1416" s="394"/>
      <c r="H1416" s="394"/>
      <c r="I1416" s="393"/>
      <c r="J1416" s="393">
        <v>10</v>
      </c>
      <c r="K1416" s="394"/>
      <c r="L1416" s="394"/>
      <c r="M1416" s="394"/>
      <c r="N1416" s="394"/>
      <c r="O1416" s="394"/>
      <c r="P1416" s="394"/>
      <c r="Q1416" s="394"/>
      <c r="R1416" s="394"/>
      <c r="S1416" s="394"/>
      <c r="T1416" s="394"/>
      <c r="U1416" s="394"/>
      <c r="V1416" s="394"/>
      <c r="W1416" s="394"/>
      <c r="X1416" s="394"/>
      <c r="Y1416" s="393"/>
      <c r="Z1416" s="394"/>
      <c r="AA1416" s="394"/>
      <c r="AB1416" s="394"/>
      <c r="AC1416" s="394"/>
      <c r="AD1416" s="394"/>
      <c r="AE1416" s="394"/>
      <c r="AF1416" s="394"/>
      <c r="AG1416" s="394"/>
      <c r="AH1416" s="394"/>
      <c r="AI1416" s="394"/>
      <c r="AJ1416" s="394"/>
      <c r="AK1416" s="395">
        <f t="shared" si="227"/>
        <v>10</v>
      </c>
      <c r="AL1416" s="394">
        <f>AK1416</f>
        <v>10</v>
      </c>
      <c r="AM1416" s="396"/>
      <c r="AN1416" s="374">
        <f>AL1416</f>
        <v>10</v>
      </c>
      <c r="AO1416" s="447">
        <v>10</v>
      </c>
    </row>
    <row r="1417" spans="3:41" ht="12.75" x14ac:dyDescent="0.2">
      <c r="C1417" s="580"/>
      <c r="D1417" s="402" t="s">
        <v>36</v>
      </c>
      <c r="E1417" s="404" t="s">
        <v>19</v>
      </c>
      <c r="F1417" s="396"/>
      <c r="G1417" s="396"/>
      <c r="H1417" s="396"/>
      <c r="I1417" s="396"/>
      <c r="J1417" s="404">
        <v>27</v>
      </c>
      <c r="K1417" s="396"/>
      <c r="L1417" s="396"/>
      <c r="M1417" s="396"/>
      <c r="N1417" s="396"/>
      <c r="O1417" s="396"/>
      <c r="P1417" s="396"/>
      <c r="Q1417" s="396"/>
      <c r="R1417" s="396"/>
      <c r="S1417" s="396"/>
      <c r="T1417" s="396"/>
      <c r="U1417" s="396"/>
      <c r="V1417" s="396"/>
      <c r="W1417" s="396"/>
      <c r="X1417" s="396"/>
      <c r="Y1417" s="396"/>
      <c r="Z1417" s="396"/>
      <c r="AA1417" s="396"/>
      <c r="AB1417" s="396"/>
      <c r="AC1417" s="396"/>
      <c r="AD1417" s="396"/>
      <c r="AE1417" s="396"/>
      <c r="AF1417" s="396"/>
      <c r="AG1417" s="396"/>
      <c r="AH1417" s="396"/>
      <c r="AI1417" s="396"/>
      <c r="AJ1417" s="396"/>
      <c r="AK1417" s="405">
        <f t="shared" si="227"/>
        <v>27</v>
      </c>
      <c r="AL1417" s="394"/>
      <c r="AM1417" s="396">
        <f>AK1417</f>
        <v>27</v>
      </c>
      <c r="AN1417" s="374">
        <f>AM1417</f>
        <v>27</v>
      </c>
      <c r="AO1417" s="447">
        <v>27</v>
      </c>
    </row>
    <row r="1418" spans="3:41" ht="12.75" x14ac:dyDescent="0.2">
      <c r="C1418" s="580"/>
      <c r="D1418" s="643" t="s">
        <v>37</v>
      </c>
      <c r="E1418" s="393" t="s">
        <v>18</v>
      </c>
      <c r="F1418" s="394"/>
      <c r="G1418" s="394"/>
      <c r="H1418" s="394"/>
      <c r="I1418" s="394"/>
      <c r="J1418" s="394"/>
      <c r="K1418" s="394"/>
      <c r="L1418" s="394"/>
      <c r="M1418" s="394"/>
      <c r="N1418" s="394"/>
      <c r="O1418" s="393">
        <v>50</v>
      </c>
      <c r="P1418" s="394"/>
      <c r="Q1418" s="393"/>
      <c r="R1418" s="394"/>
      <c r="S1418" s="394"/>
      <c r="T1418" s="393"/>
      <c r="U1418" s="394"/>
      <c r="V1418" s="394"/>
      <c r="W1418" s="393"/>
      <c r="X1418" s="394"/>
      <c r="Y1418" s="393"/>
      <c r="Z1418" s="393">
        <f>10+1.37</f>
        <v>11.370000000000001</v>
      </c>
      <c r="AA1418" s="394"/>
      <c r="AB1418" s="394"/>
      <c r="AC1418" s="394"/>
      <c r="AD1418" s="393">
        <v>10</v>
      </c>
      <c r="AE1418" s="394"/>
      <c r="AF1418" s="393">
        <v>50</v>
      </c>
      <c r="AG1418" s="394"/>
      <c r="AH1418" s="394"/>
      <c r="AI1418" s="394"/>
      <c r="AJ1418" s="394"/>
      <c r="AK1418" s="395">
        <f t="shared" si="227"/>
        <v>121.37</v>
      </c>
      <c r="AL1418" s="408">
        <f>AK1418</f>
        <v>121.37</v>
      </c>
      <c r="AM1418" s="409"/>
      <c r="AN1418" s="635">
        <f>SUM(AL1418:AM1419)</f>
        <v>121.37</v>
      </c>
      <c r="AO1418" s="639">
        <v>50</v>
      </c>
    </row>
    <row r="1419" spans="3:41" ht="12.75" x14ac:dyDescent="0.2">
      <c r="C1419" s="580"/>
      <c r="D1419" s="577"/>
      <c r="E1419" s="404" t="s">
        <v>19</v>
      </c>
      <c r="F1419" s="396"/>
      <c r="G1419" s="396"/>
      <c r="H1419" s="404"/>
      <c r="I1419" s="396"/>
      <c r="J1419" s="396"/>
      <c r="K1419" s="396"/>
      <c r="L1419" s="404"/>
      <c r="M1419" s="396"/>
      <c r="N1419" s="404"/>
      <c r="O1419" s="396"/>
      <c r="P1419" s="396"/>
      <c r="Q1419" s="396"/>
      <c r="R1419" s="396"/>
      <c r="S1419" s="396"/>
      <c r="T1419" s="404"/>
      <c r="U1419" s="404"/>
      <c r="V1419" s="404"/>
      <c r="W1419" s="404"/>
      <c r="X1419" s="404"/>
      <c r="Y1419" s="396"/>
      <c r="Z1419" s="396"/>
      <c r="AA1419" s="404"/>
      <c r="AB1419" s="404"/>
      <c r="AC1419" s="404"/>
      <c r="AD1419" s="404"/>
      <c r="AE1419" s="404"/>
      <c r="AF1419" s="396"/>
      <c r="AG1419" s="396"/>
      <c r="AH1419" s="396"/>
      <c r="AI1419" s="396"/>
      <c r="AJ1419" s="396"/>
      <c r="AK1419" s="405">
        <f t="shared" si="227"/>
        <v>0</v>
      </c>
      <c r="AL1419" s="406"/>
      <c r="AM1419" s="407">
        <f>AK1419</f>
        <v>0</v>
      </c>
      <c r="AN1419" s="585"/>
      <c r="AO1419" s="640"/>
    </row>
    <row r="1420" spans="3:41" ht="12.75" x14ac:dyDescent="0.2">
      <c r="C1420" s="580"/>
      <c r="D1420" s="402" t="s">
        <v>38</v>
      </c>
      <c r="E1420" s="393" t="s">
        <v>18</v>
      </c>
      <c r="F1420" s="394"/>
      <c r="G1420" s="394"/>
      <c r="H1420" s="394"/>
      <c r="I1420" s="394"/>
      <c r="J1420" s="394"/>
      <c r="K1420" s="394"/>
      <c r="L1420" s="394"/>
      <c r="M1420" s="394"/>
      <c r="N1420" s="394"/>
      <c r="O1420" s="394"/>
      <c r="P1420" s="394"/>
      <c r="Q1420" s="394"/>
      <c r="R1420" s="394"/>
      <c r="S1420" s="394"/>
      <c r="T1420" s="394"/>
      <c r="U1420" s="394"/>
      <c r="V1420" s="394"/>
      <c r="W1420" s="394"/>
      <c r="X1420" s="394"/>
      <c r="Y1420" s="394"/>
      <c r="Z1420" s="394"/>
      <c r="AA1420" s="394"/>
      <c r="AB1420" s="394"/>
      <c r="AC1420" s="393">
        <v>54.09</v>
      </c>
      <c r="AD1420" s="394"/>
      <c r="AE1420" s="394"/>
      <c r="AF1420" s="394"/>
      <c r="AG1420" s="394"/>
      <c r="AH1420" s="394"/>
      <c r="AI1420" s="394"/>
      <c r="AJ1420" s="394"/>
      <c r="AK1420" s="395">
        <f t="shared" si="227"/>
        <v>54.09</v>
      </c>
      <c r="AL1420" s="394">
        <f t="shared" ref="AL1420:AL1422" si="228">AK1420</f>
        <v>54.09</v>
      </c>
      <c r="AM1420" s="396"/>
      <c r="AN1420" s="374">
        <f t="shared" ref="AN1420:AN1421" si="229">AL1420</f>
        <v>54.09</v>
      </c>
      <c r="AO1420" s="448"/>
    </row>
    <row r="1421" spans="3:41" ht="12.75" x14ac:dyDescent="0.2">
      <c r="C1421" s="580"/>
      <c r="D1421" s="402" t="s">
        <v>39</v>
      </c>
      <c r="E1421" s="393" t="s">
        <v>18</v>
      </c>
      <c r="F1421" s="394"/>
      <c r="G1421" s="394"/>
      <c r="H1421" s="394"/>
      <c r="I1421" s="394"/>
      <c r="J1421" s="394"/>
      <c r="K1421" s="394"/>
      <c r="L1421" s="394"/>
      <c r="M1421" s="393"/>
      <c r="N1421" s="394"/>
      <c r="O1421" s="394"/>
      <c r="P1421" s="394"/>
      <c r="Q1421" s="394"/>
      <c r="R1421" s="394"/>
      <c r="S1421" s="394"/>
      <c r="T1421" s="394"/>
      <c r="U1421" s="394"/>
      <c r="V1421" s="394"/>
      <c r="W1421" s="394"/>
      <c r="X1421" s="394"/>
      <c r="Y1421" s="394"/>
      <c r="Z1421" s="394"/>
      <c r="AA1421" s="394"/>
      <c r="AB1421" s="394"/>
      <c r="AC1421" s="394"/>
      <c r="AD1421" s="394"/>
      <c r="AE1421" s="394"/>
      <c r="AF1421" s="394"/>
      <c r="AG1421" s="394"/>
      <c r="AH1421" s="394"/>
      <c r="AI1421" s="394"/>
      <c r="AJ1421" s="394"/>
      <c r="AK1421" s="395">
        <f t="shared" si="227"/>
        <v>0</v>
      </c>
      <c r="AL1421" s="394">
        <f t="shared" si="228"/>
        <v>0</v>
      </c>
      <c r="AM1421" s="396"/>
      <c r="AN1421" s="374">
        <f t="shared" si="229"/>
        <v>0</v>
      </c>
      <c r="AO1421" s="448"/>
    </row>
    <row r="1422" spans="3:41" ht="12.75" x14ac:dyDescent="0.2">
      <c r="C1422" s="580"/>
      <c r="D1422" s="643" t="s">
        <v>40</v>
      </c>
      <c r="E1422" s="393" t="s">
        <v>18</v>
      </c>
      <c r="F1422" s="394"/>
      <c r="G1422" s="394"/>
      <c r="H1422" s="394"/>
      <c r="I1422" s="394"/>
      <c r="J1422" s="394"/>
      <c r="K1422" s="394"/>
      <c r="L1422" s="394"/>
      <c r="M1422" s="394"/>
      <c r="N1422" s="394"/>
      <c r="O1422" s="394"/>
      <c r="P1422" s="394"/>
      <c r="Q1422" s="394"/>
      <c r="R1422" s="394"/>
      <c r="S1422" s="394"/>
      <c r="T1422" s="394"/>
      <c r="U1422" s="394"/>
      <c r="V1422" s="394"/>
      <c r="W1422" s="394"/>
      <c r="X1422" s="394"/>
      <c r="Y1422" s="394"/>
      <c r="Z1422" s="394"/>
      <c r="AA1422" s="394"/>
      <c r="AB1422" s="394"/>
      <c r="AC1422" s="394"/>
      <c r="AD1422" s="394"/>
      <c r="AE1422" s="394"/>
      <c r="AF1422" s="394"/>
      <c r="AG1422" s="394"/>
      <c r="AH1422" s="394"/>
      <c r="AI1422" s="394"/>
      <c r="AJ1422" s="394"/>
      <c r="AK1422" s="395">
        <f t="shared" si="227"/>
        <v>0</v>
      </c>
      <c r="AL1422" s="408">
        <f t="shared" si="228"/>
        <v>0</v>
      </c>
      <c r="AM1422" s="409"/>
      <c r="AN1422" s="633">
        <f>SUM(AL1422:AM1423)</f>
        <v>0</v>
      </c>
      <c r="AO1422" s="638"/>
    </row>
    <row r="1423" spans="3:41" ht="12.75" x14ac:dyDescent="0.2">
      <c r="C1423" s="580"/>
      <c r="D1423" s="577"/>
      <c r="E1423" s="404" t="s">
        <v>19</v>
      </c>
      <c r="F1423" s="396"/>
      <c r="G1423" s="396"/>
      <c r="H1423" s="396"/>
      <c r="I1423" s="396"/>
      <c r="J1423" s="396"/>
      <c r="K1423" s="396"/>
      <c r="L1423" s="396"/>
      <c r="M1423" s="396"/>
      <c r="N1423" s="396"/>
      <c r="O1423" s="396"/>
      <c r="P1423" s="396"/>
      <c r="Q1423" s="396"/>
      <c r="R1423" s="396"/>
      <c r="S1423" s="396"/>
      <c r="T1423" s="396"/>
      <c r="U1423" s="396"/>
      <c r="V1423" s="396"/>
      <c r="W1423" s="396"/>
      <c r="X1423" s="396"/>
      <c r="Y1423" s="396"/>
      <c r="Z1423" s="396"/>
      <c r="AA1423" s="396"/>
      <c r="AB1423" s="396"/>
      <c r="AC1423" s="396"/>
      <c r="AD1423" s="396"/>
      <c r="AE1423" s="396"/>
      <c r="AF1423" s="396"/>
      <c r="AG1423" s="396"/>
      <c r="AH1423" s="396"/>
      <c r="AI1423" s="396"/>
      <c r="AJ1423" s="396"/>
      <c r="AK1423" s="405">
        <f t="shared" si="227"/>
        <v>0</v>
      </c>
      <c r="AL1423" s="406"/>
      <c r="AM1423" s="407">
        <f>AK1423</f>
        <v>0</v>
      </c>
      <c r="AN1423" s="583"/>
      <c r="AO1423" s="577"/>
    </row>
    <row r="1424" spans="3:41" ht="12.75" x14ac:dyDescent="0.2">
      <c r="C1424" s="580"/>
      <c r="D1424" s="643" t="s">
        <v>41</v>
      </c>
      <c r="E1424" s="393" t="s">
        <v>18</v>
      </c>
      <c r="F1424" s="394"/>
      <c r="G1424" s="394"/>
      <c r="H1424" s="394"/>
      <c r="I1424" s="394"/>
      <c r="J1424" s="394"/>
      <c r="K1424" s="394"/>
      <c r="L1424" s="394"/>
      <c r="M1424" s="394"/>
      <c r="N1424" s="394"/>
      <c r="O1424" s="394"/>
      <c r="P1424" s="394"/>
      <c r="Q1424" s="394"/>
      <c r="R1424" s="394"/>
      <c r="S1424" s="394"/>
      <c r="T1424" s="394"/>
      <c r="U1424" s="394"/>
      <c r="V1424" s="394"/>
      <c r="W1424" s="394">
        <f>27+5.82+9+112.16+44+3</f>
        <v>200.98</v>
      </c>
      <c r="X1424" s="394"/>
      <c r="Y1424" s="394"/>
      <c r="Z1424" s="394"/>
      <c r="AA1424" s="393"/>
      <c r="AB1424" s="394"/>
      <c r="AC1424" s="394"/>
      <c r="AD1424" s="394"/>
      <c r="AE1424" s="394"/>
      <c r="AF1424" s="394"/>
      <c r="AG1424" s="394"/>
      <c r="AH1424" s="394"/>
      <c r="AI1424" s="394"/>
      <c r="AJ1424" s="394"/>
      <c r="AK1424" s="395">
        <f t="shared" si="227"/>
        <v>200.98</v>
      </c>
      <c r="AL1424" s="408">
        <f>AK1424</f>
        <v>200.98</v>
      </c>
      <c r="AM1424" s="409"/>
      <c r="AN1424" s="635">
        <f>SUM(AL1424:AM1425)</f>
        <v>300.98</v>
      </c>
      <c r="AO1424" s="639">
        <v>70</v>
      </c>
    </row>
    <row r="1425" spans="3:41" ht="12.75" x14ac:dyDescent="0.2">
      <c r="C1425" s="580"/>
      <c r="D1425" s="577"/>
      <c r="E1425" s="404" t="s">
        <v>19</v>
      </c>
      <c r="F1425" s="396"/>
      <c r="G1425" s="396"/>
      <c r="H1425" s="396"/>
      <c r="I1425" s="396"/>
      <c r="J1425" s="396"/>
      <c r="K1425" s="396"/>
      <c r="L1425" s="396"/>
      <c r="M1425" s="404"/>
      <c r="N1425" s="396"/>
      <c r="O1425" s="396"/>
      <c r="P1425" s="396"/>
      <c r="Q1425" s="404"/>
      <c r="R1425" s="404"/>
      <c r="S1425" s="404"/>
      <c r="T1425" s="396"/>
      <c r="U1425" s="404"/>
      <c r="V1425" s="396"/>
      <c r="W1425" s="396"/>
      <c r="X1425" s="396"/>
      <c r="Y1425" s="396"/>
      <c r="Z1425" s="396"/>
      <c r="AA1425" s="396"/>
      <c r="AB1425" s="396"/>
      <c r="AC1425" s="396"/>
      <c r="AD1425" s="396"/>
      <c r="AE1425" s="404">
        <v>100</v>
      </c>
      <c r="AF1425" s="396"/>
      <c r="AG1425" s="396"/>
      <c r="AH1425" s="396"/>
      <c r="AI1425" s="396"/>
      <c r="AJ1425" s="396"/>
      <c r="AK1425" s="405">
        <f t="shared" si="227"/>
        <v>100</v>
      </c>
      <c r="AL1425" s="406"/>
      <c r="AM1425" s="407">
        <f>AK1425</f>
        <v>100</v>
      </c>
      <c r="AN1425" s="585"/>
      <c r="AO1425" s="640"/>
    </row>
    <row r="1426" spans="3:41" ht="12.75" x14ac:dyDescent="0.2">
      <c r="C1426" s="580"/>
      <c r="D1426" s="402" t="s">
        <v>42</v>
      </c>
      <c r="E1426" s="393" t="s">
        <v>18</v>
      </c>
      <c r="F1426" s="394"/>
      <c r="G1426" s="394"/>
      <c r="H1426" s="394"/>
      <c r="I1426" s="393"/>
      <c r="J1426" s="394"/>
      <c r="K1426" s="394"/>
      <c r="L1426" s="394"/>
      <c r="M1426" s="394"/>
      <c r="N1426" s="394"/>
      <c r="O1426" s="394"/>
      <c r="P1426" s="394"/>
      <c r="Q1426" s="394"/>
      <c r="R1426" s="394"/>
      <c r="S1426" s="394"/>
      <c r="T1426" s="394"/>
      <c r="U1426" s="394"/>
      <c r="V1426" s="394"/>
      <c r="W1426" s="394"/>
      <c r="X1426" s="394"/>
      <c r="Y1426" s="394"/>
      <c r="Z1426" s="394"/>
      <c r="AA1426" s="394"/>
      <c r="AB1426" s="394"/>
      <c r="AC1426" s="394"/>
      <c r="AD1426" s="394"/>
      <c r="AE1426" s="394"/>
      <c r="AF1426" s="394"/>
      <c r="AG1426" s="394"/>
      <c r="AH1426" s="394"/>
      <c r="AI1426" s="393">
        <v>77.98</v>
      </c>
      <c r="AJ1426" s="394"/>
      <c r="AK1426" s="395">
        <f t="shared" si="227"/>
        <v>77.98</v>
      </c>
      <c r="AL1426" s="394">
        <f>AK1426</f>
        <v>77.98</v>
      </c>
      <c r="AM1426" s="396"/>
      <c r="AN1426" s="374">
        <f>AL1426</f>
        <v>77.98</v>
      </c>
      <c r="AO1426" s="448"/>
    </row>
    <row r="1427" spans="3:41" ht="12.75" x14ac:dyDescent="0.2">
      <c r="C1427" s="580"/>
      <c r="D1427" s="402" t="s">
        <v>43</v>
      </c>
      <c r="E1427" s="404" t="s">
        <v>19</v>
      </c>
      <c r="F1427" s="396"/>
      <c r="G1427" s="396"/>
      <c r="H1427" s="396"/>
      <c r="I1427" s="396"/>
      <c r="J1427" s="396"/>
      <c r="K1427" s="396"/>
      <c r="L1427" s="396"/>
      <c r="M1427" s="396"/>
      <c r="N1427" s="396"/>
      <c r="O1427" s="396"/>
      <c r="P1427" s="396"/>
      <c r="Q1427" s="396"/>
      <c r="R1427" s="396"/>
      <c r="S1427" s="396"/>
      <c r="T1427" s="396"/>
      <c r="U1427" s="396"/>
      <c r="V1427" s="396"/>
      <c r="W1427" s="396"/>
      <c r="X1427" s="396"/>
      <c r="Y1427" s="396"/>
      <c r="Z1427" s="396"/>
      <c r="AA1427" s="396"/>
      <c r="AB1427" s="396"/>
      <c r="AC1427" s="396"/>
      <c r="AD1427" s="396"/>
      <c r="AE1427" s="396"/>
      <c r="AF1427" s="396"/>
      <c r="AG1427" s="396"/>
      <c r="AH1427" s="396"/>
      <c r="AI1427" s="396"/>
      <c r="AJ1427" s="396"/>
      <c r="AK1427" s="405">
        <f t="shared" si="227"/>
        <v>0</v>
      </c>
      <c r="AL1427" s="394"/>
      <c r="AM1427" s="396">
        <f>AK1427</f>
        <v>0</v>
      </c>
      <c r="AN1427" s="374">
        <f>AM1427</f>
        <v>0</v>
      </c>
      <c r="AO1427" s="448"/>
    </row>
    <row r="1428" spans="3:41" ht="12.75" x14ac:dyDescent="0.2">
      <c r="C1428" s="580"/>
      <c r="D1428" s="643" t="s">
        <v>44</v>
      </c>
      <c r="E1428" s="393" t="s">
        <v>18</v>
      </c>
      <c r="F1428" s="394"/>
      <c r="G1428" s="394"/>
      <c r="H1428" s="394"/>
      <c r="I1428" s="394"/>
      <c r="J1428" s="394"/>
      <c r="K1428" s="394"/>
      <c r="L1428" s="394"/>
      <c r="M1428" s="394"/>
      <c r="N1428" s="394"/>
      <c r="O1428" s="394"/>
      <c r="P1428" s="394"/>
      <c r="Q1428" s="394"/>
      <c r="R1428" s="394"/>
      <c r="S1428" s="394"/>
      <c r="T1428" s="394"/>
      <c r="U1428" s="394"/>
      <c r="V1428" s="394"/>
      <c r="W1428" s="394"/>
      <c r="X1428" s="394"/>
      <c r="Y1428" s="394"/>
      <c r="Z1428" s="394"/>
      <c r="AA1428" s="394"/>
      <c r="AB1428" s="394"/>
      <c r="AC1428" s="394"/>
      <c r="AD1428" s="394"/>
      <c r="AE1428" s="394"/>
      <c r="AF1428" s="394"/>
      <c r="AG1428" s="394"/>
      <c r="AH1428" s="394"/>
      <c r="AI1428" s="394"/>
      <c r="AJ1428" s="394"/>
      <c r="AK1428" s="395">
        <f t="shared" si="227"/>
        <v>0</v>
      </c>
      <c r="AL1428" s="408">
        <f>AK1428</f>
        <v>0</v>
      </c>
      <c r="AM1428" s="409"/>
      <c r="AN1428" s="633">
        <f>SUM(AL1428:AM1429)</f>
        <v>0</v>
      </c>
      <c r="AO1428" s="638"/>
    </row>
    <row r="1429" spans="3:41" ht="12.75" x14ac:dyDescent="0.2">
      <c r="C1429" s="581"/>
      <c r="D1429" s="585"/>
      <c r="E1429" s="404" t="s">
        <v>19</v>
      </c>
      <c r="F1429" s="407"/>
      <c r="G1429" s="407"/>
      <c r="H1429" s="407"/>
      <c r="I1429" s="407"/>
      <c r="J1429" s="407"/>
      <c r="K1429" s="407"/>
      <c r="L1429" s="407"/>
      <c r="M1429" s="407"/>
      <c r="N1429" s="407"/>
      <c r="O1429" s="407"/>
      <c r="P1429" s="407"/>
      <c r="Q1429" s="407"/>
      <c r="R1429" s="407"/>
      <c r="S1429" s="407"/>
      <c r="T1429" s="407"/>
      <c r="U1429" s="407"/>
      <c r="V1429" s="407"/>
      <c r="W1429" s="407"/>
      <c r="X1429" s="407"/>
      <c r="Y1429" s="407"/>
      <c r="Z1429" s="407"/>
      <c r="AA1429" s="407"/>
      <c r="AB1429" s="407"/>
      <c r="AC1429" s="407"/>
      <c r="AD1429" s="407"/>
      <c r="AE1429" s="407"/>
      <c r="AF1429" s="407"/>
      <c r="AG1429" s="407"/>
      <c r="AH1429" s="407"/>
      <c r="AI1429" s="407"/>
      <c r="AJ1429" s="407"/>
      <c r="AK1429" s="405">
        <f t="shared" si="227"/>
        <v>0</v>
      </c>
      <c r="AL1429" s="406"/>
      <c r="AM1429" s="407">
        <f>AK1429</f>
        <v>0</v>
      </c>
      <c r="AN1429" s="583"/>
      <c r="AO1429" s="577"/>
    </row>
    <row r="1430" spans="3:41" ht="12.75" x14ac:dyDescent="0.2">
      <c r="C1430" s="629" t="s">
        <v>45</v>
      </c>
      <c r="D1430" s="644" t="s">
        <v>46</v>
      </c>
      <c r="E1430" s="411" t="s">
        <v>18</v>
      </c>
      <c r="F1430" s="412"/>
      <c r="G1430" s="411"/>
      <c r="H1430" s="412"/>
      <c r="I1430" s="412"/>
      <c r="J1430" s="412"/>
      <c r="K1430" s="412">
        <f>3.2+26.99+5.77+1.99</f>
        <v>37.949999999999996</v>
      </c>
      <c r="L1430" s="412">
        <f>5.61+2.77</f>
        <v>8.3800000000000008</v>
      </c>
      <c r="M1430" s="412">
        <f>4.59+5.83</f>
        <v>10.42</v>
      </c>
      <c r="N1430" s="411"/>
      <c r="O1430" s="412"/>
      <c r="P1430" s="412">
        <f>2.77+3.43+2.19</f>
        <v>8.39</v>
      </c>
      <c r="Q1430" s="412"/>
      <c r="R1430" s="412"/>
      <c r="S1430" s="411"/>
      <c r="T1430" s="411"/>
      <c r="U1430" s="412">
        <f>1.73+3.65+6.73</f>
        <v>12.11</v>
      </c>
      <c r="V1430" s="411"/>
      <c r="W1430" s="411"/>
      <c r="X1430" s="412">
        <f>6.89+0.99+1.6+2.89+1.4+0.91+6.58+2.39</f>
        <v>23.650000000000002</v>
      </c>
      <c r="Y1430" s="412">
        <f>4.29+1.65+1.84</f>
        <v>7.7799999999999994</v>
      </c>
      <c r="Z1430" s="412">
        <f>0.39+5.68+1.06</f>
        <v>7.129999999999999</v>
      </c>
      <c r="AA1430" s="412">
        <f>1.4</f>
        <v>1.4</v>
      </c>
      <c r="AB1430" s="411">
        <v>0.98</v>
      </c>
      <c r="AC1430" s="412">
        <f>6.77+3.87+2.99+6.63</f>
        <v>20.260000000000002</v>
      </c>
      <c r="AD1430" s="411">
        <v>2.48</v>
      </c>
      <c r="AE1430" s="412"/>
      <c r="AF1430" s="412">
        <f>2.27+6.64+1.62</f>
        <v>10.530000000000001</v>
      </c>
      <c r="AG1430" s="412"/>
      <c r="AH1430" s="412">
        <f>5.96+4.12</f>
        <v>10.08</v>
      </c>
      <c r="AI1430" s="412"/>
      <c r="AJ1430" s="412"/>
      <c r="AK1430" s="395">
        <f t="shared" si="227"/>
        <v>161.54000000000002</v>
      </c>
      <c r="AL1430" s="408">
        <f>AK1430</f>
        <v>161.54000000000002</v>
      </c>
      <c r="AM1430" s="409"/>
      <c r="AN1430" s="635">
        <f>SUM(AL1430:AM1431)</f>
        <v>161.54000000000002</v>
      </c>
      <c r="AO1430" s="639">
        <v>200</v>
      </c>
    </row>
    <row r="1431" spans="3:41" ht="12.75" x14ac:dyDescent="0.2">
      <c r="C1431" s="580"/>
      <c r="D1431" s="577"/>
      <c r="E1431" s="404" t="s">
        <v>19</v>
      </c>
      <c r="F1431" s="396"/>
      <c r="G1431" s="396"/>
      <c r="H1431" s="396"/>
      <c r="I1431" s="396"/>
      <c r="J1431" s="396"/>
      <c r="K1431" s="396"/>
      <c r="L1431" s="404"/>
      <c r="M1431" s="396"/>
      <c r="N1431" s="396"/>
      <c r="O1431" s="396"/>
      <c r="P1431" s="396"/>
      <c r="Q1431" s="396"/>
      <c r="R1431" s="396"/>
      <c r="S1431" s="404"/>
      <c r="T1431" s="404"/>
      <c r="U1431" s="396"/>
      <c r="V1431" s="404"/>
      <c r="W1431" s="396"/>
      <c r="X1431" s="404"/>
      <c r="Y1431" s="396"/>
      <c r="Z1431" s="404"/>
      <c r="AA1431" s="396"/>
      <c r="AB1431" s="404"/>
      <c r="AC1431" s="404"/>
      <c r="AD1431" s="404"/>
      <c r="AE1431" s="396"/>
      <c r="AF1431" s="396"/>
      <c r="AG1431" s="396"/>
      <c r="AH1431" s="396"/>
      <c r="AI1431" s="396"/>
      <c r="AJ1431" s="396"/>
      <c r="AK1431" s="405">
        <f t="shared" si="227"/>
        <v>0</v>
      </c>
      <c r="AL1431" s="406"/>
      <c r="AM1431" s="407">
        <f>AK1431</f>
        <v>0</v>
      </c>
      <c r="AN1431" s="585"/>
      <c r="AO1431" s="640"/>
    </row>
    <row r="1432" spans="3:41" ht="12.75" x14ac:dyDescent="0.2">
      <c r="C1432" s="580"/>
      <c r="D1432" s="643" t="s">
        <v>47</v>
      </c>
      <c r="E1432" s="393" t="s">
        <v>18</v>
      </c>
      <c r="F1432" s="394"/>
      <c r="G1432" s="393"/>
      <c r="H1432" s="393"/>
      <c r="I1432" s="393"/>
      <c r="J1432" s="393"/>
      <c r="K1432" s="394">
        <f>4.21+0.95</f>
        <v>5.16</v>
      </c>
      <c r="L1432" s="393">
        <v>0.95</v>
      </c>
      <c r="M1432" s="393">
        <v>2.89</v>
      </c>
      <c r="N1432" s="393">
        <v>4.9800000000000004</v>
      </c>
      <c r="O1432" s="393">
        <f>6.2</f>
        <v>6.2</v>
      </c>
      <c r="P1432" s="394">
        <f>2.07+2.79+5.06</f>
        <v>9.9199999999999982</v>
      </c>
      <c r="Q1432" s="393"/>
      <c r="R1432" s="394"/>
      <c r="S1432" s="394"/>
      <c r="T1432" s="393">
        <v>21.99</v>
      </c>
      <c r="U1432" s="393">
        <f>2.89+0.59+2.41</f>
        <v>5.8900000000000006</v>
      </c>
      <c r="V1432" s="393">
        <v>11.94</v>
      </c>
      <c r="W1432" s="394"/>
      <c r="X1432" s="393">
        <f>1.45+2.41</f>
        <v>3.8600000000000003</v>
      </c>
      <c r="Y1432" s="394">
        <f>0.87+2.24</f>
        <v>3.1100000000000003</v>
      </c>
      <c r="Z1432" s="393">
        <f>2.07+2.69+2.89</f>
        <v>7.65</v>
      </c>
      <c r="AA1432" s="393">
        <v>2.5</v>
      </c>
      <c r="AB1432" s="393">
        <v>1.69</v>
      </c>
      <c r="AC1432" s="393">
        <f>2+1.2+1.2</f>
        <v>4.4000000000000004</v>
      </c>
      <c r="AD1432" s="394"/>
      <c r="AE1432" s="394"/>
      <c r="AF1432" s="394">
        <f>3.36+1.13+1.88+2.5</f>
        <v>8.870000000000001</v>
      </c>
      <c r="AG1432" s="394"/>
      <c r="AH1432" s="394">
        <f>10.91+1.04+1.04</f>
        <v>12.989999999999998</v>
      </c>
      <c r="AI1432" s="394"/>
      <c r="AJ1432" s="393">
        <v>11.93</v>
      </c>
      <c r="AK1432" s="395">
        <f t="shared" si="227"/>
        <v>126.92000000000002</v>
      </c>
      <c r="AL1432" s="408">
        <f>AK1432</f>
        <v>126.92000000000002</v>
      </c>
      <c r="AM1432" s="409"/>
      <c r="AN1432" s="635">
        <f>SUM(AL1432:AM1433)</f>
        <v>166.41000000000003</v>
      </c>
      <c r="AO1432" s="639">
        <v>150</v>
      </c>
    </row>
    <row r="1433" spans="3:41" ht="12.75" x14ac:dyDescent="0.2">
      <c r="C1433" s="580"/>
      <c r="D1433" s="577"/>
      <c r="E1433" s="404" t="s">
        <v>19</v>
      </c>
      <c r="F1433" s="396"/>
      <c r="G1433" s="396"/>
      <c r="H1433" s="404"/>
      <c r="I1433" s="404"/>
      <c r="J1433" s="404">
        <f>15+24.49</f>
        <v>39.489999999999995</v>
      </c>
      <c r="K1433" s="396"/>
      <c r="L1433" s="396"/>
      <c r="M1433" s="396"/>
      <c r="N1433" s="396"/>
      <c r="O1433" s="396"/>
      <c r="P1433" s="404"/>
      <c r="Q1433" s="404"/>
      <c r="R1433" s="404"/>
      <c r="S1433" s="404"/>
      <c r="T1433" s="404"/>
      <c r="U1433" s="404"/>
      <c r="V1433" s="404"/>
      <c r="W1433" s="404"/>
      <c r="X1433" s="404"/>
      <c r="Y1433" s="396"/>
      <c r="Z1433" s="404"/>
      <c r="AA1433" s="396"/>
      <c r="AB1433" s="404"/>
      <c r="AC1433" s="396"/>
      <c r="AD1433" s="396"/>
      <c r="AE1433" s="396"/>
      <c r="AF1433" s="396"/>
      <c r="AG1433" s="396"/>
      <c r="AH1433" s="396"/>
      <c r="AI1433" s="396"/>
      <c r="AJ1433" s="396"/>
      <c r="AK1433" s="405">
        <f t="shared" si="227"/>
        <v>39.489999999999995</v>
      </c>
      <c r="AL1433" s="406"/>
      <c r="AM1433" s="407">
        <f>AK1433</f>
        <v>39.489999999999995</v>
      </c>
      <c r="AN1433" s="585"/>
      <c r="AO1433" s="640"/>
    </row>
    <row r="1434" spans="3:41" ht="12.75" x14ac:dyDescent="0.2">
      <c r="C1434" s="580"/>
      <c r="D1434" s="643" t="s">
        <v>48</v>
      </c>
      <c r="E1434" s="393" t="s">
        <v>18</v>
      </c>
      <c r="F1434" s="394"/>
      <c r="G1434" s="393"/>
      <c r="H1434" s="393"/>
      <c r="I1434" s="393"/>
      <c r="J1434" s="394"/>
      <c r="K1434" s="393"/>
      <c r="L1434" s="393"/>
      <c r="M1434" s="394"/>
      <c r="N1434" s="394"/>
      <c r="O1434" s="394"/>
      <c r="P1434" s="394"/>
      <c r="Q1434" s="393"/>
      <c r="R1434" s="393"/>
      <c r="S1434" s="393"/>
      <c r="T1434" s="393"/>
      <c r="U1434" s="393"/>
      <c r="V1434" s="393"/>
      <c r="W1434" s="393"/>
      <c r="X1434" s="393"/>
      <c r="Y1434" s="393"/>
      <c r="Z1434" s="394"/>
      <c r="AA1434" s="394"/>
      <c r="AB1434" s="393">
        <v>4.28</v>
      </c>
      <c r="AC1434" s="394"/>
      <c r="AD1434" s="393">
        <v>6.81</v>
      </c>
      <c r="AE1434" s="393">
        <v>5.63</v>
      </c>
      <c r="AF1434" s="394"/>
      <c r="AG1434" s="394"/>
      <c r="AH1434" s="394"/>
      <c r="AI1434" s="394"/>
      <c r="AJ1434" s="394"/>
      <c r="AK1434" s="395">
        <f t="shared" si="227"/>
        <v>16.72</v>
      </c>
      <c r="AL1434" s="408">
        <f>AK1434</f>
        <v>16.72</v>
      </c>
      <c r="AM1434" s="409"/>
      <c r="AN1434" s="635">
        <f>SUM(AL1434:AM1435)</f>
        <v>16.72</v>
      </c>
      <c r="AO1434" s="639">
        <v>50</v>
      </c>
    </row>
    <row r="1435" spans="3:41" ht="12.75" x14ac:dyDescent="0.2">
      <c r="C1435" s="580"/>
      <c r="D1435" s="577"/>
      <c r="E1435" s="404" t="s">
        <v>19</v>
      </c>
      <c r="F1435" s="396"/>
      <c r="G1435" s="396"/>
      <c r="H1435" s="404"/>
      <c r="I1435" s="396"/>
      <c r="J1435" s="396"/>
      <c r="K1435" s="404"/>
      <c r="L1435" s="404"/>
      <c r="M1435" s="404"/>
      <c r="N1435" s="396"/>
      <c r="O1435" s="396"/>
      <c r="P1435" s="396"/>
      <c r="Q1435" s="404"/>
      <c r="R1435" s="404"/>
      <c r="S1435" s="404"/>
      <c r="T1435" s="404"/>
      <c r="U1435" s="404"/>
      <c r="V1435" s="404"/>
      <c r="W1435" s="404"/>
      <c r="X1435" s="404"/>
      <c r="Y1435" s="396"/>
      <c r="Z1435" s="396"/>
      <c r="AA1435" s="404"/>
      <c r="AB1435" s="404"/>
      <c r="AC1435" s="404"/>
      <c r="AD1435" s="404"/>
      <c r="AE1435" s="404"/>
      <c r="AF1435" s="396"/>
      <c r="AG1435" s="396"/>
      <c r="AH1435" s="396"/>
      <c r="AI1435" s="396"/>
      <c r="AJ1435" s="396"/>
      <c r="AK1435" s="405">
        <f t="shared" si="227"/>
        <v>0</v>
      </c>
      <c r="AL1435" s="406"/>
      <c r="AM1435" s="407">
        <f>AK1435</f>
        <v>0</v>
      </c>
      <c r="AN1435" s="585"/>
      <c r="AO1435" s="640"/>
    </row>
    <row r="1436" spans="3:41" ht="12.75" x14ac:dyDescent="0.2">
      <c r="C1436" s="580"/>
      <c r="D1436" s="643" t="s">
        <v>49</v>
      </c>
      <c r="E1436" s="393" t="s">
        <v>18</v>
      </c>
      <c r="F1436" s="393"/>
      <c r="G1436" s="393"/>
      <c r="H1436" s="394"/>
      <c r="I1436" s="394"/>
      <c r="J1436" s="394"/>
      <c r="K1436" s="394"/>
      <c r="L1436" s="394"/>
      <c r="M1436" s="394"/>
      <c r="N1436" s="394"/>
      <c r="O1436" s="393"/>
      <c r="P1436" s="394"/>
      <c r="Q1436" s="393"/>
      <c r="R1436" s="394"/>
      <c r="S1436" s="393"/>
      <c r="T1436" s="393">
        <v>5.8</v>
      </c>
      <c r="U1436" s="393"/>
      <c r="V1436" s="393"/>
      <c r="W1436" s="393"/>
      <c r="X1436" s="394"/>
      <c r="Y1436" s="394"/>
      <c r="Z1436" s="393"/>
      <c r="AA1436" s="393">
        <v>29.9</v>
      </c>
      <c r="AB1436" s="394"/>
      <c r="AC1436" s="394"/>
      <c r="AD1436" s="394"/>
      <c r="AE1436" s="393">
        <v>3</v>
      </c>
      <c r="AF1436" s="394"/>
      <c r="AG1436" s="394"/>
      <c r="AH1436" s="394"/>
      <c r="AI1436" s="394"/>
      <c r="AJ1436" s="394"/>
      <c r="AK1436" s="395">
        <f t="shared" si="227"/>
        <v>38.699999999999996</v>
      </c>
      <c r="AL1436" s="408">
        <f>AK1436</f>
        <v>38.699999999999996</v>
      </c>
      <c r="AM1436" s="409"/>
      <c r="AN1436" s="635">
        <f>SUM(AL1436:AM1437)</f>
        <v>44.699999999999996</v>
      </c>
      <c r="AO1436" s="639">
        <v>35</v>
      </c>
    </row>
    <row r="1437" spans="3:41" ht="12.75" x14ac:dyDescent="0.2">
      <c r="C1437" s="580"/>
      <c r="D1437" s="577"/>
      <c r="E1437" s="404" t="s">
        <v>19</v>
      </c>
      <c r="F1437" s="396"/>
      <c r="G1437" s="396"/>
      <c r="H1437" s="404"/>
      <c r="I1437" s="404"/>
      <c r="J1437" s="404">
        <v>3</v>
      </c>
      <c r="K1437" s="404"/>
      <c r="L1437" s="404"/>
      <c r="M1437" s="404"/>
      <c r="N1437" s="404"/>
      <c r="O1437" s="404"/>
      <c r="P1437" s="404"/>
      <c r="Q1437" s="404"/>
      <c r="R1437" s="404"/>
      <c r="S1437" s="404"/>
      <c r="T1437" s="404"/>
      <c r="U1437" s="404"/>
      <c r="V1437" s="404"/>
      <c r="W1437" s="404"/>
      <c r="X1437" s="404"/>
      <c r="Y1437" s="404"/>
      <c r="Z1437" s="404">
        <v>3</v>
      </c>
      <c r="AA1437" s="396"/>
      <c r="AB1437" s="396"/>
      <c r="AC1437" s="396"/>
      <c r="AD1437" s="396"/>
      <c r="AE1437" s="404"/>
      <c r="AF1437" s="396"/>
      <c r="AG1437" s="396"/>
      <c r="AH1437" s="396"/>
      <c r="AI1437" s="396"/>
      <c r="AJ1437" s="396"/>
      <c r="AK1437" s="405">
        <f t="shared" si="227"/>
        <v>6</v>
      </c>
      <c r="AL1437" s="406"/>
      <c r="AM1437" s="407">
        <f>AK1437</f>
        <v>6</v>
      </c>
      <c r="AN1437" s="585"/>
      <c r="AO1437" s="640"/>
    </row>
    <row r="1438" spans="3:41" ht="12.75" x14ac:dyDescent="0.2">
      <c r="C1438" s="580"/>
      <c r="D1438" s="643" t="s">
        <v>50</v>
      </c>
      <c r="E1438" s="393" t="s">
        <v>18</v>
      </c>
      <c r="F1438" s="393">
        <v>0.6</v>
      </c>
      <c r="G1438" s="393">
        <v>0.6</v>
      </c>
      <c r="H1438" s="393">
        <v>0.6</v>
      </c>
      <c r="I1438" s="393">
        <v>0.6</v>
      </c>
      <c r="J1438" s="393">
        <f>0.6+5.6</f>
        <v>6.1999999999999993</v>
      </c>
      <c r="K1438" s="393">
        <v>5.6</v>
      </c>
      <c r="L1438" s="393">
        <v>5.6</v>
      </c>
      <c r="M1438" s="393">
        <v>5.6</v>
      </c>
      <c r="N1438" s="393">
        <v>5.6</v>
      </c>
      <c r="O1438" s="393">
        <v>5.6</v>
      </c>
      <c r="P1438" s="393">
        <v>5.6</v>
      </c>
      <c r="Q1438" s="393"/>
      <c r="R1438" s="393"/>
      <c r="S1438" s="393">
        <v>5.6</v>
      </c>
      <c r="T1438" s="393">
        <f>5.6*2</f>
        <v>11.2</v>
      </c>
      <c r="U1438" s="393">
        <v>5.6</v>
      </c>
      <c r="V1438" s="393">
        <v>5.6</v>
      </c>
      <c r="W1438" s="393">
        <v>5.6</v>
      </c>
      <c r="X1438" s="393">
        <v>5.6</v>
      </c>
      <c r="Y1438" s="394"/>
      <c r="Z1438" s="393">
        <v>5.6</v>
      </c>
      <c r="AA1438" s="393">
        <v>5.6</v>
      </c>
      <c r="AB1438" s="393">
        <f>5.6+0.14</f>
        <v>5.7399999999999993</v>
      </c>
      <c r="AC1438" s="393">
        <v>5.6</v>
      </c>
      <c r="AD1438" s="393">
        <v>5.6</v>
      </c>
      <c r="AE1438" s="393">
        <v>5.6</v>
      </c>
      <c r="AF1438" s="393">
        <f>7.5+5.6</f>
        <v>13.1</v>
      </c>
      <c r="AG1438" s="394"/>
      <c r="AH1438" s="393">
        <v>5.6</v>
      </c>
      <c r="AI1438" s="394"/>
      <c r="AJ1438" s="393">
        <v>5.6</v>
      </c>
      <c r="AK1438" s="395">
        <f t="shared" si="227"/>
        <v>139.43999999999994</v>
      </c>
      <c r="AL1438" s="408">
        <f>AK1438</f>
        <v>139.43999999999994</v>
      </c>
      <c r="AM1438" s="409"/>
      <c r="AN1438" s="635">
        <f>SUM(AL1438:AM1439)</f>
        <v>164.43999999999994</v>
      </c>
      <c r="AO1438" s="639">
        <v>160</v>
      </c>
    </row>
    <row r="1439" spans="3:41" ht="12.75" x14ac:dyDescent="0.2">
      <c r="C1439" s="580"/>
      <c r="D1439" s="577"/>
      <c r="E1439" s="404" t="s">
        <v>19</v>
      </c>
      <c r="F1439" s="404">
        <v>5</v>
      </c>
      <c r="G1439" s="404">
        <v>5</v>
      </c>
      <c r="H1439" s="404">
        <v>5</v>
      </c>
      <c r="I1439" s="404">
        <v>5</v>
      </c>
      <c r="J1439" s="404">
        <v>5</v>
      </c>
      <c r="K1439" s="404"/>
      <c r="L1439" s="404"/>
      <c r="M1439" s="404"/>
      <c r="N1439" s="404"/>
      <c r="O1439" s="404"/>
      <c r="P1439" s="404"/>
      <c r="Q1439" s="404"/>
      <c r="R1439" s="404"/>
      <c r="S1439" s="404"/>
      <c r="T1439" s="404"/>
      <c r="U1439" s="404"/>
      <c r="V1439" s="404"/>
      <c r="W1439" s="404"/>
      <c r="X1439" s="404"/>
      <c r="Y1439" s="404"/>
      <c r="Z1439" s="404"/>
      <c r="AA1439" s="404"/>
      <c r="AB1439" s="404"/>
      <c r="AC1439" s="404"/>
      <c r="AD1439" s="396"/>
      <c r="AE1439" s="396"/>
      <c r="AF1439" s="396"/>
      <c r="AG1439" s="396"/>
      <c r="AH1439" s="396"/>
      <c r="AI1439" s="396"/>
      <c r="AJ1439" s="396"/>
      <c r="AK1439" s="405">
        <f t="shared" si="227"/>
        <v>25</v>
      </c>
      <c r="AL1439" s="406"/>
      <c r="AM1439" s="407">
        <f>AK1439</f>
        <v>25</v>
      </c>
      <c r="AN1439" s="585"/>
      <c r="AO1439" s="640"/>
    </row>
    <row r="1440" spans="3:41" ht="12.75" x14ac:dyDescent="0.2">
      <c r="C1440" s="580"/>
      <c r="D1440" s="643" t="s">
        <v>1</v>
      </c>
      <c r="E1440" s="393" t="s">
        <v>18</v>
      </c>
      <c r="F1440" s="394"/>
      <c r="G1440" s="394"/>
      <c r="H1440" s="394"/>
      <c r="I1440" s="394"/>
      <c r="J1440" s="394"/>
      <c r="K1440" s="393"/>
      <c r="L1440" s="394"/>
      <c r="M1440" s="394"/>
      <c r="N1440" s="394"/>
      <c r="O1440" s="394"/>
      <c r="P1440" s="394"/>
      <c r="Q1440" s="393"/>
      <c r="R1440" s="393"/>
      <c r="S1440" s="393"/>
      <c r="T1440" s="394"/>
      <c r="U1440" s="393"/>
      <c r="V1440" s="393"/>
      <c r="W1440" s="394"/>
      <c r="X1440" s="393"/>
      <c r="Y1440" s="393"/>
      <c r="Z1440" s="393"/>
      <c r="AA1440" s="393"/>
      <c r="AB1440" s="393"/>
      <c r="AC1440" s="393"/>
      <c r="AD1440" s="394"/>
      <c r="AE1440" s="394"/>
      <c r="AF1440" s="394"/>
      <c r="AG1440" s="394"/>
      <c r="AH1440" s="394"/>
      <c r="AI1440" s="394"/>
      <c r="AJ1440" s="394"/>
      <c r="AK1440" s="395">
        <f t="shared" si="227"/>
        <v>0</v>
      </c>
      <c r="AL1440" s="403">
        <f>AK1440</f>
        <v>0</v>
      </c>
      <c r="AM1440" s="396"/>
      <c r="AN1440" s="633">
        <f>SUM(AL1440:AM1441)</f>
        <v>0</v>
      </c>
      <c r="AO1440" s="638"/>
    </row>
    <row r="1441" spans="3:41" ht="12.75" x14ac:dyDescent="0.2">
      <c r="C1441" s="580"/>
      <c r="D1441" s="577"/>
      <c r="E1441" s="404" t="s">
        <v>19</v>
      </c>
      <c r="F1441" s="396"/>
      <c r="G1441" s="396"/>
      <c r="H1441" s="396"/>
      <c r="I1441" s="396"/>
      <c r="J1441" s="396"/>
      <c r="K1441" s="396"/>
      <c r="L1441" s="396"/>
      <c r="M1441" s="396"/>
      <c r="N1441" s="396"/>
      <c r="O1441" s="396"/>
      <c r="P1441" s="396"/>
      <c r="Q1441" s="404"/>
      <c r="R1441" s="404"/>
      <c r="S1441" s="404"/>
      <c r="T1441" s="396"/>
      <c r="U1441" s="404"/>
      <c r="V1441" s="404"/>
      <c r="W1441" s="396"/>
      <c r="X1441" s="404"/>
      <c r="Y1441" s="404"/>
      <c r="Z1441" s="404"/>
      <c r="AA1441" s="404"/>
      <c r="AB1441" s="404"/>
      <c r="AC1441" s="404"/>
      <c r="AD1441" s="396"/>
      <c r="AE1441" s="396"/>
      <c r="AF1441" s="396"/>
      <c r="AG1441" s="396"/>
      <c r="AH1441" s="396"/>
      <c r="AI1441" s="396"/>
      <c r="AJ1441" s="396"/>
      <c r="AK1441" s="405">
        <f t="shared" si="227"/>
        <v>0</v>
      </c>
      <c r="AL1441" s="403"/>
      <c r="AM1441" s="396">
        <f>AK1441</f>
        <v>0</v>
      </c>
      <c r="AN1441" s="583"/>
      <c r="AO1441" s="577"/>
    </row>
    <row r="1442" spans="3:41" ht="12.75" x14ac:dyDescent="0.2">
      <c r="C1442" s="580"/>
      <c r="D1442" s="643" t="s">
        <v>97</v>
      </c>
      <c r="E1442" s="393" t="s">
        <v>18</v>
      </c>
      <c r="F1442" s="394"/>
      <c r="G1442" s="394"/>
      <c r="H1442" s="394"/>
      <c r="I1442" s="394"/>
      <c r="J1442" s="394"/>
      <c r="K1442" s="394"/>
      <c r="L1442" s="394"/>
      <c r="M1442" s="394"/>
      <c r="N1442" s="394"/>
      <c r="O1442" s="394"/>
      <c r="P1442" s="394"/>
      <c r="Q1442" s="394"/>
      <c r="R1442" s="394"/>
      <c r="S1442" s="394"/>
      <c r="T1442" s="394"/>
      <c r="U1442" s="394"/>
      <c r="V1442" s="394"/>
      <c r="W1442" s="394"/>
      <c r="X1442" s="394"/>
      <c r="Y1442" s="394"/>
      <c r="Z1442" s="394"/>
      <c r="AA1442" s="394"/>
      <c r="AB1442" s="394"/>
      <c r="AC1442" s="394"/>
      <c r="AD1442" s="394"/>
      <c r="AE1442" s="394"/>
      <c r="AF1442" s="394"/>
      <c r="AG1442" s="394"/>
      <c r="AH1442" s="394"/>
      <c r="AI1442" s="394"/>
      <c r="AJ1442" s="394"/>
      <c r="AK1442" s="395">
        <f t="shared" si="227"/>
        <v>0</v>
      </c>
      <c r="AL1442" s="408">
        <f>AK1442</f>
        <v>0</v>
      </c>
      <c r="AM1442" s="409"/>
      <c r="AN1442" s="634">
        <f>SUM(AL1442:AM1443)</f>
        <v>0</v>
      </c>
      <c r="AO1442" s="638"/>
    </row>
    <row r="1443" spans="3:41" ht="12.75" x14ac:dyDescent="0.2">
      <c r="C1443" s="580"/>
      <c r="D1443" s="577"/>
      <c r="E1443" s="404" t="s">
        <v>19</v>
      </c>
      <c r="F1443" s="396"/>
      <c r="G1443" s="396"/>
      <c r="H1443" s="396"/>
      <c r="I1443" s="396"/>
      <c r="J1443" s="396"/>
      <c r="K1443" s="396"/>
      <c r="L1443" s="396"/>
      <c r="M1443" s="396"/>
      <c r="N1443" s="396"/>
      <c r="O1443" s="396"/>
      <c r="P1443" s="396"/>
      <c r="Q1443" s="396"/>
      <c r="R1443" s="396"/>
      <c r="S1443" s="396"/>
      <c r="T1443" s="396"/>
      <c r="U1443" s="396"/>
      <c r="V1443" s="396"/>
      <c r="W1443" s="396"/>
      <c r="X1443" s="396"/>
      <c r="Y1443" s="396"/>
      <c r="Z1443" s="396"/>
      <c r="AA1443" s="396"/>
      <c r="AB1443" s="396"/>
      <c r="AC1443" s="396"/>
      <c r="AD1443" s="396"/>
      <c r="AE1443" s="396"/>
      <c r="AF1443" s="396"/>
      <c r="AG1443" s="396"/>
      <c r="AH1443" s="396"/>
      <c r="AI1443" s="396"/>
      <c r="AJ1443" s="396"/>
      <c r="AK1443" s="405">
        <f t="shared" si="227"/>
        <v>0</v>
      </c>
      <c r="AL1443" s="406"/>
      <c r="AM1443" s="407">
        <f>AK1443</f>
        <v>0</v>
      </c>
      <c r="AN1443" s="583"/>
      <c r="AO1443" s="577"/>
    </row>
    <row r="1444" spans="3:41" ht="12.75" x14ac:dyDescent="0.2">
      <c r="C1444" s="580"/>
      <c r="D1444" s="643" t="s">
        <v>52</v>
      </c>
      <c r="E1444" s="393" t="s">
        <v>18</v>
      </c>
      <c r="F1444" s="394"/>
      <c r="G1444" s="394"/>
      <c r="H1444" s="394"/>
      <c r="I1444" s="394"/>
      <c r="J1444" s="394"/>
      <c r="K1444" s="394"/>
      <c r="L1444" s="394"/>
      <c r="M1444" s="394"/>
      <c r="N1444" s="394"/>
      <c r="O1444" s="394"/>
      <c r="P1444" s="394"/>
      <c r="Q1444" s="394"/>
      <c r="R1444" s="394"/>
      <c r="S1444" s="394"/>
      <c r="T1444" s="394"/>
      <c r="U1444" s="394"/>
      <c r="V1444" s="394"/>
      <c r="W1444" s="394"/>
      <c r="X1444" s="394"/>
      <c r="Y1444" s="393"/>
      <c r="Z1444" s="393"/>
      <c r="AA1444" s="394"/>
      <c r="AB1444" s="394"/>
      <c r="AC1444" s="394"/>
      <c r="AD1444" s="394"/>
      <c r="AE1444" s="394"/>
      <c r="AF1444" s="394"/>
      <c r="AG1444" s="394"/>
      <c r="AH1444" s="394"/>
      <c r="AI1444" s="394"/>
      <c r="AJ1444" s="414"/>
      <c r="AK1444" s="395">
        <f t="shared" si="227"/>
        <v>0</v>
      </c>
      <c r="AL1444" s="408">
        <f>AK1444</f>
        <v>0</v>
      </c>
      <c r="AM1444" s="409"/>
      <c r="AN1444" s="633">
        <f>SUM(AL1444:AM1445)</f>
        <v>0</v>
      </c>
      <c r="AO1444" s="638"/>
    </row>
    <row r="1445" spans="3:41" ht="12.75" x14ac:dyDescent="0.2">
      <c r="C1445" s="581"/>
      <c r="D1445" s="585"/>
      <c r="E1445" s="404" t="s">
        <v>19</v>
      </c>
      <c r="F1445" s="396"/>
      <c r="G1445" s="396"/>
      <c r="H1445" s="396"/>
      <c r="I1445" s="396"/>
      <c r="J1445" s="396"/>
      <c r="K1445" s="396"/>
      <c r="L1445" s="396"/>
      <c r="M1445" s="396"/>
      <c r="N1445" s="396"/>
      <c r="O1445" s="396"/>
      <c r="P1445" s="396"/>
      <c r="Q1445" s="396"/>
      <c r="R1445" s="396"/>
      <c r="S1445" s="396"/>
      <c r="T1445" s="396"/>
      <c r="U1445" s="396"/>
      <c r="V1445" s="396"/>
      <c r="W1445" s="396"/>
      <c r="X1445" s="396"/>
      <c r="Y1445" s="404"/>
      <c r="Z1445" s="404"/>
      <c r="AA1445" s="396"/>
      <c r="AB1445" s="396"/>
      <c r="AC1445" s="396"/>
      <c r="AD1445" s="396"/>
      <c r="AE1445" s="396"/>
      <c r="AF1445" s="396"/>
      <c r="AG1445" s="396"/>
      <c r="AH1445" s="396"/>
      <c r="AI1445" s="396"/>
      <c r="AJ1445" s="415"/>
      <c r="AK1445" s="405">
        <f t="shared" si="227"/>
        <v>0</v>
      </c>
      <c r="AL1445" s="406"/>
      <c r="AM1445" s="407">
        <f>AK1445</f>
        <v>0</v>
      </c>
      <c r="AN1445" s="583"/>
      <c r="AO1445" s="577"/>
    </row>
    <row r="1446" spans="3:41" ht="12.75" x14ac:dyDescent="0.2">
      <c r="C1446" s="629" t="s">
        <v>53</v>
      </c>
      <c r="D1446" s="416" t="s">
        <v>54</v>
      </c>
      <c r="E1446" s="411" t="s">
        <v>18</v>
      </c>
      <c r="F1446" s="412"/>
      <c r="G1446" s="412"/>
      <c r="H1446" s="412"/>
      <c r="I1446" s="412"/>
      <c r="J1446" s="412"/>
      <c r="K1446" s="411">
        <v>11.74</v>
      </c>
      <c r="L1446" s="412"/>
      <c r="M1446" s="412"/>
      <c r="N1446" s="412"/>
      <c r="O1446" s="412"/>
      <c r="P1446" s="412"/>
      <c r="Q1446" s="412"/>
      <c r="R1446" s="412"/>
      <c r="S1446" s="412"/>
      <c r="T1446" s="412"/>
      <c r="U1446" s="412"/>
      <c r="V1446" s="412"/>
      <c r="W1446" s="412"/>
      <c r="X1446" s="412"/>
      <c r="Y1446" s="412"/>
      <c r="Z1446" s="412"/>
      <c r="AA1446" s="412"/>
      <c r="AB1446" s="412"/>
      <c r="AC1446" s="412"/>
      <c r="AD1446" s="412"/>
      <c r="AE1446" s="412"/>
      <c r="AF1446" s="412"/>
      <c r="AG1446" s="412"/>
      <c r="AH1446" s="412"/>
      <c r="AI1446" s="412"/>
      <c r="AJ1446" s="417"/>
      <c r="AK1446" s="395">
        <f t="shared" si="227"/>
        <v>11.74</v>
      </c>
      <c r="AL1446" s="394">
        <f t="shared" ref="AL1446:AL1448" si="230">AK1446</f>
        <v>11.74</v>
      </c>
      <c r="AM1446" s="396"/>
      <c r="AN1446" s="374">
        <f t="shared" ref="AN1446:AN1447" si="231">AL1446</f>
        <v>11.74</v>
      </c>
      <c r="AO1446" s="448"/>
    </row>
    <row r="1447" spans="3:41" ht="12.75" x14ac:dyDescent="0.2">
      <c r="C1447" s="580"/>
      <c r="D1447" s="402" t="s">
        <v>55</v>
      </c>
      <c r="E1447" s="393" t="s">
        <v>18</v>
      </c>
      <c r="F1447" s="394"/>
      <c r="G1447" s="394"/>
      <c r="H1447" s="394"/>
      <c r="I1447" s="394"/>
      <c r="J1447" s="394"/>
      <c r="K1447" s="394"/>
      <c r="L1447" s="394"/>
      <c r="M1447" s="394"/>
      <c r="N1447" s="394"/>
      <c r="O1447" s="394"/>
      <c r="P1447" s="394"/>
      <c r="Q1447" s="394"/>
      <c r="R1447" s="394"/>
      <c r="S1447" s="394"/>
      <c r="T1447" s="394"/>
      <c r="U1447" s="393"/>
      <c r="V1447" s="393"/>
      <c r="W1447" s="394"/>
      <c r="X1447" s="394"/>
      <c r="Y1447" s="394"/>
      <c r="Z1447" s="394"/>
      <c r="AA1447" s="394"/>
      <c r="AB1447" s="394"/>
      <c r="AC1447" s="394"/>
      <c r="AD1447" s="394"/>
      <c r="AE1447" s="394"/>
      <c r="AF1447" s="394"/>
      <c r="AG1447" s="394"/>
      <c r="AH1447" s="394"/>
      <c r="AI1447" s="394"/>
      <c r="AJ1447" s="414"/>
      <c r="AK1447" s="395">
        <f t="shared" si="227"/>
        <v>0</v>
      </c>
      <c r="AL1447" s="394">
        <f t="shared" si="230"/>
        <v>0</v>
      </c>
      <c r="AM1447" s="396"/>
      <c r="AN1447" s="374">
        <f t="shared" si="231"/>
        <v>0</v>
      </c>
      <c r="AO1447" s="448"/>
    </row>
    <row r="1448" spans="3:41" ht="12.75" x14ac:dyDescent="0.2">
      <c r="C1448" s="580"/>
      <c r="D1448" s="643" t="s">
        <v>56</v>
      </c>
      <c r="E1448" s="393" t="s">
        <v>18</v>
      </c>
      <c r="F1448" s="394"/>
      <c r="G1448" s="394"/>
      <c r="H1448" s="393"/>
      <c r="I1448" s="394"/>
      <c r="J1448" s="394"/>
      <c r="K1448" s="394"/>
      <c r="L1448" s="394"/>
      <c r="M1448" s="394"/>
      <c r="N1448" s="394"/>
      <c r="O1448" s="394">
        <f>5.69+5.69+24.49</f>
        <v>35.869999999999997</v>
      </c>
      <c r="P1448" s="394"/>
      <c r="Q1448" s="394"/>
      <c r="R1448" s="394"/>
      <c r="S1448" s="394"/>
      <c r="T1448" s="394"/>
      <c r="U1448" s="394"/>
      <c r="V1448" s="394"/>
      <c r="W1448" s="394"/>
      <c r="X1448" s="394"/>
      <c r="Y1448" s="394"/>
      <c r="Z1448" s="394"/>
      <c r="AA1448" s="394"/>
      <c r="AB1448" s="394"/>
      <c r="AC1448" s="394"/>
      <c r="AD1448" s="394"/>
      <c r="AE1448" s="394"/>
      <c r="AF1448" s="394"/>
      <c r="AG1448" s="394"/>
      <c r="AH1448" s="394"/>
      <c r="AI1448" s="394"/>
      <c r="AJ1448" s="414"/>
      <c r="AK1448" s="395">
        <f t="shared" si="227"/>
        <v>35.869999999999997</v>
      </c>
      <c r="AL1448" s="408">
        <f t="shared" si="230"/>
        <v>35.869999999999997</v>
      </c>
      <c r="AM1448" s="409"/>
      <c r="AN1448" s="635">
        <f>SUM(AL1448:AM1449)</f>
        <v>35.869999999999997</v>
      </c>
      <c r="AO1448" s="639">
        <v>280</v>
      </c>
    </row>
    <row r="1449" spans="3:41" ht="12.75" x14ac:dyDescent="0.2">
      <c r="C1449" s="580"/>
      <c r="D1449" s="577"/>
      <c r="E1449" s="404" t="s">
        <v>19</v>
      </c>
      <c r="F1449" s="396"/>
      <c r="G1449" s="396"/>
      <c r="H1449" s="396"/>
      <c r="I1449" s="396"/>
      <c r="J1449" s="396"/>
      <c r="K1449" s="396"/>
      <c r="L1449" s="396"/>
      <c r="M1449" s="396"/>
      <c r="N1449" s="396"/>
      <c r="O1449" s="396"/>
      <c r="P1449" s="396"/>
      <c r="Q1449" s="396"/>
      <c r="R1449" s="396"/>
      <c r="S1449" s="396"/>
      <c r="T1449" s="396"/>
      <c r="U1449" s="396"/>
      <c r="V1449" s="396"/>
      <c r="W1449" s="396"/>
      <c r="X1449" s="396"/>
      <c r="Y1449" s="396"/>
      <c r="Z1449" s="396"/>
      <c r="AA1449" s="396"/>
      <c r="AB1449" s="396"/>
      <c r="AC1449" s="396"/>
      <c r="AD1449" s="396"/>
      <c r="AE1449" s="396"/>
      <c r="AF1449" s="396"/>
      <c r="AG1449" s="396"/>
      <c r="AH1449" s="396"/>
      <c r="AI1449" s="396"/>
      <c r="AJ1449" s="415"/>
      <c r="AK1449" s="405">
        <f t="shared" si="227"/>
        <v>0</v>
      </c>
      <c r="AL1449" s="406"/>
      <c r="AM1449" s="407">
        <f>AK1449</f>
        <v>0</v>
      </c>
      <c r="AN1449" s="585"/>
      <c r="AO1449" s="640"/>
    </row>
    <row r="1450" spans="3:41" ht="12.75" x14ac:dyDescent="0.2">
      <c r="C1450" s="580"/>
      <c r="D1450" s="643" t="s">
        <v>57</v>
      </c>
      <c r="E1450" s="393" t="s">
        <v>18</v>
      </c>
      <c r="F1450" s="394"/>
      <c r="G1450" s="394"/>
      <c r="H1450" s="394"/>
      <c r="I1450" s="394"/>
      <c r="J1450" s="394"/>
      <c r="K1450" s="394"/>
      <c r="L1450" s="394"/>
      <c r="M1450" s="394"/>
      <c r="N1450" s="394"/>
      <c r="O1450" s="394"/>
      <c r="P1450" s="394"/>
      <c r="Q1450" s="394"/>
      <c r="R1450" s="394"/>
      <c r="S1450" s="394"/>
      <c r="T1450" s="393"/>
      <c r="U1450" s="394"/>
      <c r="V1450" s="394"/>
      <c r="W1450" s="394"/>
      <c r="X1450" s="394"/>
      <c r="Y1450" s="394"/>
      <c r="Z1450" s="394"/>
      <c r="AA1450" s="394"/>
      <c r="AB1450" s="394"/>
      <c r="AC1450" s="394"/>
      <c r="AD1450" s="394"/>
      <c r="AE1450" s="394"/>
      <c r="AF1450" s="394"/>
      <c r="AG1450" s="394"/>
      <c r="AH1450" s="394"/>
      <c r="AI1450" s="394"/>
      <c r="AJ1450" s="414"/>
      <c r="AK1450" s="395">
        <f t="shared" si="227"/>
        <v>0</v>
      </c>
      <c r="AL1450" s="408">
        <f>AK1450</f>
        <v>0</v>
      </c>
      <c r="AM1450" s="409"/>
      <c r="AN1450" s="633">
        <f>SUM(AL1450:AM1451)</f>
        <v>0</v>
      </c>
      <c r="AO1450" s="638"/>
    </row>
    <row r="1451" spans="3:41" ht="12.75" x14ac:dyDescent="0.2">
      <c r="C1451" s="581"/>
      <c r="D1451" s="585"/>
      <c r="E1451" s="410" t="s">
        <v>19</v>
      </c>
      <c r="F1451" s="407"/>
      <c r="G1451" s="407"/>
      <c r="H1451" s="407"/>
      <c r="I1451" s="407"/>
      <c r="J1451" s="407"/>
      <c r="K1451" s="407"/>
      <c r="L1451" s="407"/>
      <c r="M1451" s="407"/>
      <c r="N1451" s="407"/>
      <c r="O1451" s="407"/>
      <c r="P1451" s="407"/>
      <c r="Q1451" s="407"/>
      <c r="R1451" s="407"/>
      <c r="S1451" s="407"/>
      <c r="T1451" s="410"/>
      <c r="U1451" s="407"/>
      <c r="V1451" s="407"/>
      <c r="W1451" s="407"/>
      <c r="X1451" s="407"/>
      <c r="Y1451" s="407"/>
      <c r="Z1451" s="407"/>
      <c r="AA1451" s="407"/>
      <c r="AB1451" s="407"/>
      <c r="AC1451" s="407"/>
      <c r="AD1451" s="407"/>
      <c r="AE1451" s="407"/>
      <c r="AF1451" s="407"/>
      <c r="AG1451" s="407"/>
      <c r="AH1451" s="407"/>
      <c r="AI1451" s="407"/>
      <c r="AJ1451" s="418"/>
      <c r="AK1451" s="405">
        <f t="shared" si="227"/>
        <v>0</v>
      </c>
      <c r="AL1451" s="406"/>
      <c r="AM1451" s="407">
        <f>AK1451</f>
        <v>0</v>
      </c>
      <c r="AN1451" s="583"/>
      <c r="AO1451" s="577"/>
    </row>
    <row r="1452" spans="3:41" ht="12.75" x14ac:dyDescent="0.2">
      <c r="C1452" s="629" t="s">
        <v>58</v>
      </c>
      <c r="D1452" s="644" t="s">
        <v>59</v>
      </c>
      <c r="E1452" s="411" t="s">
        <v>18</v>
      </c>
      <c r="F1452" s="412"/>
      <c r="G1452" s="412"/>
      <c r="H1452" s="412"/>
      <c r="I1452" s="412"/>
      <c r="J1452" s="412"/>
      <c r="K1452" s="412"/>
      <c r="L1452" s="412"/>
      <c r="M1452" s="411">
        <v>10</v>
      </c>
      <c r="N1452" s="412"/>
      <c r="O1452" s="412"/>
      <c r="P1452" s="412"/>
      <c r="Q1452" s="412"/>
      <c r="R1452" s="412"/>
      <c r="S1452" s="411"/>
      <c r="T1452" s="412"/>
      <c r="U1452" s="412"/>
      <c r="V1452" s="412"/>
      <c r="W1452" s="412"/>
      <c r="X1452" s="411">
        <v>5.29</v>
      </c>
      <c r="Y1452" s="411"/>
      <c r="Z1452" s="412"/>
      <c r="AA1452" s="412"/>
      <c r="AB1452" s="412"/>
      <c r="AC1452" s="412"/>
      <c r="AD1452" s="412"/>
      <c r="AE1452" s="412"/>
      <c r="AF1452" s="412"/>
      <c r="AG1452" s="412"/>
      <c r="AH1452" s="412"/>
      <c r="AI1452" s="412"/>
      <c r="AJ1452" s="417"/>
      <c r="AK1452" s="395">
        <f t="shared" si="227"/>
        <v>15.29</v>
      </c>
      <c r="AL1452" s="408">
        <f>AK1452</f>
        <v>15.29</v>
      </c>
      <c r="AM1452" s="409"/>
      <c r="AN1452" s="635">
        <f>SUM(AL1452:AM1453)</f>
        <v>65.289999999999992</v>
      </c>
      <c r="AO1452" s="639">
        <v>50</v>
      </c>
    </row>
    <row r="1453" spans="3:41" ht="12.75" x14ac:dyDescent="0.2">
      <c r="C1453" s="580"/>
      <c r="D1453" s="577"/>
      <c r="E1453" s="404" t="s">
        <v>19</v>
      </c>
      <c r="F1453" s="396"/>
      <c r="G1453" s="396"/>
      <c r="H1453" s="396"/>
      <c r="I1453" s="396"/>
      <c r="J1453" s="396"/>
      <c r="K1453" s="404"/>
      <c r="L1453" s="396"/>
      <c r="M1453" s="396"/>
      <c r="N1453" s="396"/>
      <c r="O1453" s="404">
        <v>25</v>
      </c>
      <c r="P1453" s="396"/>
      <c r="Q1453" s="396"/>
      <c r="R1453" s="396"/>
      <c r="S1453" s="396"/>
      <c r="T1453" s="396"/>
      <c r="U1453" s="396"/>
      <c r="V1453" s="396"/>
      <c r="W1453" s="404">
        <v>25</v>
      </c>
      <c r="X1453" s="396"/>
      <c r="Y1453" s="396"/>
      <c r="Z1453" s="396"/>
      <c r="AA1453" s="396"/>
      <c r="AB1453" s="396"/>
      <c r="AC1453" s="396"/>
      <c r="AD1453" s="396"/>
      <c r="AE1453" s="396"/>
      <c r="AF1453" s="396"/>
      <c r="AG1453" s="396"/>
      <c r="AH1453" s="396"/>
      <c r="AI1453" s="396"/>
      <c r="AJ1453" s="415"/>
      <c r="AK1453" s="405">
        <f t="shared" si="227"/>
        <v>50</v>
      </c>
      <c r="AL1453" s="406"/>
      <c r="AM1453" s="407">
        <f>AK1453</f>
        <v>50</v>
      </c>
      <c r="AN1453" s="585"/>
      <c r="AO1453" s="640"/>
    </row>
    <row r="1454" spans="3:41" ht="12.75" x14ac:dyDescent="0.2">
      <c r="C1454" s="580"/>
      <c r="D1454" s="643" t="s">
        <v>60</v>
      </c>
      <c r="E1454" s="393" t="s">
        <v>18</v>
      </c>
      <c r="F1454" s="394"/>
      <c r="G1454" s="394"/>
      <c r="H1454" s="394"/>
      <c r="I1454" s="394"/>
      <c r="J1454" s="394"/>
      <c r="K1454" s="393"/>
      <c r="L1454" s="394"/>
      <c r="M1454" s="394"/>
      <c r="N1454" s="394"/>
      <c r="O1454" s="394"/>
      <c r="P1454" s="394"/>
      <c r="Q1454" s="394">
        <f>24.4+22.4+3.6</f>
        <v>50.4</v>
      </c>
      <c r="R1454" s="394"/>
      <c r="S1454" s="394"/>
      <c r="T1454" s="394"/>
      <c r="U1454" s="394"/>
      <c r="V1454" s="394"/>
      <c r="W1454" s="394"/>
      <c r="X1454" s="394"/>
      <c r="Y1454" s="394"/>
      <c r="Z1454" s="394"/>
      <c r="AA1454" s="394"/>
      <c r="AB1454" s="394"/>
      <c r="AC1454" s="394"/>
      <c r="AD1454" s="394"/>
      <c r="AE1454" s="394"/>
      <c r="AF1454" s="394"/>
      <c r="AG1454" s="394"/>
      <c r="AH1454" s="394"/>
      <c r="AI1454" s="394"/>
      <c r="AJ1454" s="414"/>
      <c r="AK1454" s="395">
        <f t="shared" si="227"/>
        <v>50.4</v>
      </c>
      <c r="AL1454" s="403">
        <f>AK1454</f>
        <v>50.4</v>
      </c>
      <c r="AM1454" s="396"/>
      <c r="AN1454" s="633">
        <f>SUM(AL1454:AM1455)</f>
        <v>150.4</v>
      </c>
      <c r="AO1454" s="638"/>
    </row>
    <row r="1455" spans="3:41" ht="12.75" x14ac:dyDescent="0.2">
      <c r="C1455" s="580"/>
      <c r="D1455" s="577"/>
      <c r="E1455" s="404" t="s">
        <v>19</v>
      </c>
      <c r="F1455" s="396"/>
      <c r="G1455" s="396"/>
      <c r="H1455" s="396"/>
      <c r="I1455" s="396"/>
      <c r="J1455" s="396"/>
      <c r="K1455" s="404"/>
      <c r="L1455" s="396"/>
      <c r="M1455" s="396"/>
      <c r="N1455" s="396"/>
      <c r="O1455" s="396"/>
      <c r="P1455" s="396"/>
      <c r="Q1455" s="404">
        <v>100</v>
      </c>
      <c r="R1455" s="396"/>
      <c r="S1455" s="396"/>
      <c r="T1455" s="396"/>
      <c r="U1455" s="396"/>
      <c r="V1455" s="396"/>
      <c r="W1455" s="396"/>
      <c r="X1455" s="396"/>
      <c r="Y1455" s="396"/>
      <c r="Z1455" s="396"/>
      <c r="AA1455" s="396"/>
      <c r="AB1455" s="396"/>
      <c r="AC1455" s="396"/>
      <c r="AD1455" s="396"/>
      <c r="AE1455" s="396"/>
      <c r="AF1455" s="396"/>
      <c r="AG1455" s="396"/>
      <c r="AH1455" s="396"/>
      <c r="AI1455" s="396"/>
      <c r="AJ1455" s="415"/>
      <c r="AK1455" s="405">
        <f t="shared" si="227"/>
        <v>100</v>
      </c>
      <c r="AL1455" s="403"/>
      <c r="AM1455" s="396">
        <f>AK1455</f>
        <v>100</v>
      </c>
      <c r="AN1455" s="583"/>
      <c r="AO1455" s="577"/>
    </row>
    <row r="1456" spans="3:41" ht="12.75" x14ac:dyDescent="0.2">
      <c r="C1456" s="580"/>
      <c r="D1456" s="643" t="s">
        <v>61</v>
      </c>
      <c r="E1456" s="393" t="s">
        <v>18</v>
      </c>
      <c r="F1456" s="394"/>
      <c r="G1456" s="394"/>
      <c r="H1456" s="394"/>
      <c r="I1456" s="394"/>
      <c r="J1456" s="394"/>
      <c r="K1456" s="394"/>
      <c r="L1456" s="394"/>
      <c r="M1456" s="394"/>
      <c r="N1456" s="394"/>
      <c r="O1456" s="394">
        <f>33+47.5</f>
        <v>80.5</v>
      </c>
      <c r="P1456" s="394"/>
      <c r="Q1456" s="394"/>
      <c r="R1456" s="394"/>
      <c r="S1456" s="394"/>
      <c r="T1456" s="394"/>
      <c r="U1456" s="394"/>
      <c r="V1456" s="394"/>
      <c r="W1456" s="394"/>
      <c r="X1456" s="394">
        <f>30+40+4.78+6.52+11.89</f>
        <v>93.19</v>
      </c>
      <c r="Y1456" s="394"/>
      <c r="Z1456" s="394"/>
      <c r="AA1456" s="394"/>
      <c r="AB1456" s="394"/>
      <c r="AC1456" s="394"/>
      <c r="AD1456" s="394"/>
      <c r="AE1456" s="394"/>
      <c r="AF1456" s="393">
        <v>18</v>
      </c>
      <c r="AG1456" s="394"/>
      <c r="AH1456" s="394"/>
      <c r="AI1456" s="394"/>
      <c r="AJ1456" s="414"/>
      <c r="AK1456" s="395">
        <f t="shared" si="227"/>
        <v>191.69</v>
      </c>
      <c r="AL1456" s="408">
        <f>AK1456</f>
        <v>191.69</v>
      </c>
      <c r="AM1456" s="409"/>
      <c r="AN1456" s="635">
        <f>SUM(AL1456:AM1457)</f>
        <v>191.69</v>
      </c>
      <c r="AO1456" s="639">
        <v>50</v>
      </c>
    </row>
    <row r="1457" spans="3:46" ht="12.75" x14ac:dyDescent="0.2">
      <c r="C1457" s="581"/>
      <c r="D1457" s="585"/>
      <c r="E1457" s="410" t="s">
        <v>19</v>
      </c>
      <c r="F1457" s="407"/>
      <c r="G1457" s="407"/>
      <c r="H1457" s="407"/>
      <c r="I1457" s="407"/>
      <c r="J1457" s="407"/>
      <c r="K1457" s="407"/>
      <c r="L1457" s="407"/>
      <c r="M1457" s="407"/>
      <c r="N1457" s="407"/>
      <c r="O1457" s="407"/>
      <c r="P1457" s="407"/>
      <c r="Q1457" s="407"/>
      <c r="R1457" s="407"/>
      <c r="S1457" s="407"/>
      <c r="T1457" s="407"/>
      <c r="U1457" s="407"/>
      <c r="V1457" s="407"/>
      <c r="W1457" s="410"/>
      <c r="X1457" s="407"/>
      <c r="Y1457" s="410"/>
      <c r="Z1457" s="407"/>
      <c r="AA1457" s="407"/>
      <c r="AB1457" s="407"/>
      <c r="AC1457" s="407"/>
      <c r="AD1457" s="407"/>
      <c r="AE1457" s="407"/>
      <c r="AF1457" s="407"/>
      <c r="AG1457" s="407"/>
      <c r="AH1457" s="407"/>
      <c r="AI1457" s="407"/>
      <c r="AJ1457" s="418"/>
      <c r="AK1457" s="405">
        <f t="shared" si="227"/>
        <v>0</v>
      </c>
      <c r="AL1457" s="406"/>
      <c r="AM1457" s="407">
        <f>AK1457</f>
        <v>0</v>
      </c>
      <c r="AN1457" s="585"/>
      <c r="AO1457" s="640"/>
    </row>
    <row r="1458" spans="3:46" ht="12.75" x14ac:dyDescent="0.2">
      <c r="C1458" s="629" t="s">
        <v>63</v>
      </c>
      <c r="D1458" s="644" t="s">
        <v>75</v>
      </c>
      <c r="E1458" s="411" t="s">
        <v>18</v>
      </c>
      <c r="F1458" s="412"/>
      <c r="G1458" s="412"/>
      <c r="H1458" s="412"/>
      <c r="I1458" s="412"/>
      <c r="J1458" s="412"/>
      <c r="K1458" s="412"/>
      <c r="L1458" s="412"/>
      <c r="M1458" s="412"/>
      <c r="N1458" s="412"/>
      <c r="O1458" s="412"/>
      <c r="P1458" s="412"/>
      <c r="Q1458" s="412"/>
      <c r="R1458" s="412"/>
      <c r="S1458" s="412"/>
      <c r="T1458" s="412"/>
      <c r="U1458" s="412"/>
      <c r="V1458" s="412"/>
      <c r="W1458" s="412"/>
      <c r="X1458" s="412"/>
      <c r="Y1458" s="412"/>
      <c r="Z1458" s="412"/>
      <c r="AA1458" s="412"/>
      <c r="AB1458" s="412"/>
      <c r="AC1458" s="412"/>
      <c r="AD1458" s="412"/>
      <c r="AE1458" s="412"/>
      <c r="AF1458" s="412"/>
      <c r="AG1458" s="412"/>
      <c r="AH1458" s="412"/>
      <c r="AI1458" s="412"/>
      <c r="AJ1458" s="417"/>
      <c r="AK1458" s="395">
        <f t="shared" si="227"/>
        <v>0</v>
      </c>
      <c r="AL1458" s="412">
        <f>AK1458</f>
        <v>0</v>
      </c>
      <c r="AM1458" s="409"/>
      <c r="AN1458" s="635">
        <f>SUM(AL1458:AM1459)</f>
        <v>0</v>
      </c>
      <c r="AO1458" s="639">
        <v>50</v>
      </c>
    </row>
    <row r="1459" spans="3:46" ht="12.75" x14ac:dyDescent="0.2">
      <c r="C1459" s="580"/>
      <c r="D1459" s="577"/>
      <c r="E1459" s="404" t="s">
        <v>19</v>
      </c>
      <c r="F1459" s="396"/>
      <c r="G1459" s="396"/>
      <c r="H1459" s="396"/>
      <c r="I1459" s="396"/>
      <c r="J1459" s="396"/>
      <c r="K1459" s="396"/>
      <c r="L1459" s="396"/>
      <c r="M1459" s="396"/>
      <c r="N1459" s="396"/>
      <c r="O1459" s="396"/>
      <c r="P1459" s="396"/>
      <c r="Q1459" s="396"/>
      <c r="R1459" s="396"/>
      <c r="S1459" s="396"/>
      <c r="T1459" s="396"/>
      <c r="U1459" s="396"/>
      <c r="V1459" s="396"/>
      <c r="W1459" s="396"/>
      <c r="X1459" s="396"/>
      <c r="Y1459" s="396"/>
      <c r="Z1459" s="396"/>
      <c r="AA1459" s="396"/>
      <c r="AB1459" s="396"/>
      <c r="AC1459" s="396"/>
      <c r="AD1459" s="396"/>
      <c r="AE1459" s="396"/>
      <c r="AF1459" s="396"/>
      <c r="AG1459" s="396"/>
      <c r="AH1459" s="396"/>
      <c r="AI1459" s="396"/>
      <c r="AJ1459" s="415"/>
      <c r="AK1459" s="405">
        <f t="shared" si="227"/>
        <v>0</v>
      </c>
      <c r="AL1459" s="406"/>
      <c r="AM1459" s="407">
        <f>AK1459</f>
        <v>0</v>
      </c>
      <c r="AN1459" s="585"/>
      <c r="AO1459" s="640"/>
    </row>
    <row r="1460" spans="3:46" ht="12.75" x14ac:dyDescent="0.2">
      <c r="C1460" s="580"/>
      <c r="D1460" s="643" t="s">
        <v>65</v>
      </c>
      <c r="E1460" s="393" t="s">
        <v>18</v>
      </c>
      <c r="F1460" s="394"/>
      <c r="G1460" s="394"/>
      <c r="H1460" s="394"/>
      <c r="I1460" s="394"/>
      <c r="J1460" s="394"/>
      <c r="K1460" s="394"/>
      <c r="L1460" s="394"/>
      <c r="M1460" s="394"/>
      <c r="N1460" s="394"/>
      <c r="O1460" s="394"/>
      <c r="P1460" s="394"/>
      <c r="Q1460" s="394"/>
      <c r="R1460" s="394"/>
      <c r="S1460" s="394"/>
      <c r="T1460" s="394"/>
      <c r="U1460" s="394"/>
      <c r="V1460" s="394"/>
      <c r="W1460" s="394"/>
      <c r="X1460" s="394"/>
      <c r="Y1460" s="394"/>
      <c r="Z1460" s="394"/>
      <c r="AA1460" s="394"/>
      <c r="AB1460" s="394"/>
      <c r="AC1460" s="394"/>
      <c r="AD1460" s="394"/>
      <c r="AE1460" s="394"/>
      <c r="AF1460" s="394"/>
      <c r="AG1460" s="394"/>
      <c r="AH1460" s="394"/>
      <c r="AI1460" s="394"/>
      <c r="AJ1460" s="414"/>
      <c r="AK1460" s="395">
        <f t="shared" si="227"/>
        <v>0</v>
      </c>
      <c r="AL1460" s="408">
        <f>AK1460</f>
        <v>0</v>
      </c>
      <c r="AM1460" s="409"/>
      <c r="AN1460" s="635">
        <f>SUM(AL1460:AM1461)</f>
        <v>0</v>
      </c>
      <c r="AO1460" s="639">
        <v>30</v>
      </c>
    </row>
    <row r="1461" spans="3:46" ht="12.75" x14ac:dyDescent="0.2">
      <c r="C1461" s="581"/>
      <c r="D1461" s="585"/>
      <c r="E1461" s="410" t="s">
        <v>19</v>
      </c>
      <c r="F1461" s="407"/>
      <c r="G1461" s="407"/>
      <c r="H1461" s="407"/>
      <c r="I1461" s="407"/>
      <c r="J1461" s="407"/>
      <c r="K1461" s="407"/>
      <c r="L1461" s="407"/>
      <c r="M1461" s="407"/>
      <c r="N1461" s="407"/>
      <c r="O1461" s="407"/>
      <c r="P1461" s="407"/>
      <c r="Q1461" s="407"/>
      <c r="R1461" s="407"/>
      <c r="S1461" s="407"/>
      <c r="T1461" s="407"/>
      <c r="U1461" s="410"/>
      <c r="V1461" s="407"/>
      <c r="W1461" s="407"/>
      <c r="X1461" s="407"/>
      <c r="Y1461" s="407"/>
      <c r="Z1461" s="407"/>
      <c r="AA1461" s="407"/>
      <c r="AB1461" s="407"/>
      <c r="AC1461" s="407"/>
      <c r="AD1461" s="407"/>
      <c r="AE1461" s="407"/>
      <c r="AF1461" s="407"/>
      <c r="AG1461" s="407"/>
      <c r="AH1461" s="407"/>
      <c r="AI1461" s="407"/>
      <c r="AJ1461" s="418"/>
      <c r="AK1461" s="419">
        <f t="shared" si="227"/>
        <v>0</v>
      </c>
      <c r="AL1461" s="406"/>
      <c r="AM1461" s="407">
        <f>AK1461</f>
        <v>0</v>
      </c>
      <c r="AN1461" s="585"/>
      <c r="AO1461" s="640"/>
    </row>
    <row r="1462" spans="3:46" ht="12.75" x14ac:dyDescent="0.2">
      <c r="C1462" s="420" t="s">
        <v>32</v>
      </c>
      <c r="D1462" s="396"/>
      <c r="E1462" s="396"/>
      <c r="F1462" s="396">
        <f t="shared" ref="F1462:AM1462" si="232">SUM(F1415:F1461)</f>
        <v>5.6</v>
      </c>
      <c r="G1462" s="396">
        <f t="shared" si="232"/>
        <v>5.6</v>
      </c>
      <c r="H1462" s="396">
        <f t="shared" si="232"/>
        <v>5.6</v>
      </c>
      <c r="I1462" s="396">
        <f t="shared" si="232"/>
        <v>5.6</v>
      </c>
      <c r="J1462" s="396">
        <f t="shared" si="232"/>
        <v>150.69</v>
      </c>
      <c r="K1462" s="396">
        <f t="shared" si="232"/>
        <v>60.45</v>
      </c>
      <c r="L1462" s="396">
        <f t="shared" si="232"/>
        <v>14.93</v>
      </c>
      <c r="M1462" s="396">
        <f t="shared" si="232"/>
        <v>28.91</v>
      </c>
      <c r="N1462" s="396">
        <f t="shared" si="232"/>
        <v>10.58</v>
      </c>
      <c r="O1462" s="396">
        <f t="shared" si="232"/>
        <v>203.17000000000002</v>
      </c>
      <c r="P1462" s="396">
        <f t="shared" si="232"/>
        <v>23.909999999999997</v>
      </c>
      <c r="Q1462" s="396">
        <f t="shared" si="232"/>
        <v>150.4</v>
      </c>
      <c r="R1462" s="396">
        <f t="shared" si="232"/>
        <v>0</v>
      </c>
      <c r="S1462" s="396">
        <f t="shared" si="232"/>
        <v>5.6</v>
      </c>
      <c r="T1462" s="396">
        <f t="shared" si="232"/>
        <v>38.989999999999995</v>
      </c>
      <c r="U1462" s="396">
        <f t="shared" si="232"/>
        <v>23.6</v>
      </c>
      <c r="V1462" s="396">
        <f t="shared" si="232"/>
        <v>17.54</v>
      </c>
      <c r="W1462" s="396">
        <f t="shared" si="232"/>
        <v>231.57999999999998</v>
      </c>
      <c r="X1462" s="396">
        <f t="shared" si="232"/>
        <v>131.59</v>
      </c>
      <c r="Y1462" s="396">
        <f t="shared" si="232"/>
        <v>10.89</v>
      </c>
      <c r="Z1462" s="396">
        <f t="shared" si="232"/>
        <v>34.75</v>
      </c>
      <c r="AA1462" s="396">
        <f t="shared" si="232"/>
        <v>39.4</v>
      </c>
      <c r="AB1462" s="396">
        <f t="shared" si="232"/>
        <v>12.69</v>
      </c>
      <c r="AC1462" s="396">
        <f t="shared" si="232"/>
        <v>84.350000000000009</v>
      </c>
      <c r="AD1462" s="396">
        <f t="shared" si="232"/>
        <v>24.89</v>
      </c>
      <c r="AE1462" s="396">
        <f t="shared" si="232"/>
        <v>114.22999999999999</v>
      </c>
      <c r="AF1462" s="396">
        <f t="shared" si="232"/>
        <v>100.5</v>
      </c>
      <c r="AG1462" s="396">
        <f t="shared" si="232"/>
        <v>0</v>
      </c>
      <c r="AH1462" s="396">
        <f t="shared" si="232"/>
        <v>28.67</v>
      </c>
      <c r="AI1462" s="396">
        <f t="shared" si="232"/>
        <v>77.98</v>
      </c>
      <c r="AJ1462" s="396">
        <f t="shared" si="232"/>
        <v>17.53</v>
      </c>
      <c r="AK1462" s="421">
        <f t="shared" si="232"/>
        <v>1660.22</v>
      </c>
      <c r="AL1462" s="394">
        <f t="shared" si="232"/>
        <v>1252.7300000000002</v>
      </c>
      <c r="AM1462" s="396">
        <f t="shared" si="232"/>
        <v>407.49</v>
      </c>
      <c r="AO1462" s="449">
        <f>SUM(AO1415:AO1461)</f>
        <v>1272</v>
      </c>
    </row>
    <row r="1465" spans="3:46" ht="12.75" x14ac:dyDescent="0.2">
      <c r="C1465" s="3"/>
      <c r="D1465" s="3"/>
      <c r="E1465" s="3"/>
      <c r="F1465" s="578" t="s">
        <v>98</v>
      </c>
      <c r="G1465" s="577"/>
      <c r="H1465" s="577"/>
      <c r="I1465" s="577"/>
      <c r="J1465" s="577"/>
      <c r="K1465" s="577"/>
      <c r="L1465" s="577"/>
      <c r="M1465" s="577"/>
      <c r="N1465" s="577"/>
      <c r="O1465" s="577"/>
      <c r="P1465" s="577"/>
      <c r="Q1465" s="577"/>
      <c r="R1465" s="577"/>
      <c r="S1465" s="577"/>
      <c r="T1465" s="577"/>
      <c r="U1465" s="577"/>
      <c r="V1465" s="577"/>
      <c r="W1465" s="577"/>
      <c r="X1465" s="577"/>
      <c r="Y1465" s="577"/>
      <c r="Z1465" s="577"/>
      <c r="AA1465" s="577"/>
      <c r="AB1465" s="577"/>
      <c r="AC1465" s="577"/>
      <c r="AD1465" s="577"/>
      <c r="AE1465" s="577"/>
      <c r="AF1465" s="577"/>
      <c r="AG1465" s="577"/>
      <c r="AH1465" s="577"/>
      <c r="AI1465" s="577"/>
      <c r="AJ1465" s="577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</row>
    <row r="1466" spans="3:46" ht="12.75" x14ac:dyDescent="0.2">
      <c r="C1466" s="3"/>
      <c r="D1466" s="3"/>
      <c r="E1466" s="302" t="s">
        <v>9</v>
      </c>
      <c r="F1466" s="302" t="s">
        <v>16</v>
      </c>
      <c r="G1466" s="302" t="s">
        <v>10</v>
      </c>
      <c r="H1466" s="302" t="s">
        <v>11</v>
      </c>
      <c r="I1466" s="302" t="s">
        <v>12</v>
      </c>
      <c r="J1466" s="302" t="s">
        <v>13</v>
      </c>
      <c r="K1466" s="302" t="s">
        <v>14</v>
      </c>
      <c r="L1466" s="302" t="s">
        <v>15</v>
      </c>
      <c r="M1466" s="302" t="s">
        <v>16</v>
      </c>
      <c r="N1466" s="302" t="s">
        <v>10</v>
      </c>
      <c r="O1466" s="302" t="s">
        <v>11</v>
      </c>
      <c r="P1466" s="302" t="s">
        <v>12</v>
      </c>
      <c r="Q1466" s="302" t="s">
        <v>13</v>
      </c>
      <c r="R1466" s="302" t="s">
        <v>14</v>
      </c>
      <c r="S1466" s="302" t="s">
        <v>15</v>
      </c>
      <c r="T1466" s="302" t="s">
        <v>16</v>
      </c>
      <c r="U1466" s="302" t="s">
        <v>10</v>
      </c>
      <c r="V1466" s="302" t="s">
        <v>11</v>
      </c>
      <c r="W1466" s="302" t="s">
        <v>12</v>
      </c>
      <c r="X1466" s="302" t="s">
        <v>13</v>
      </c>
      <c r="Y1466" s="302" t="s">
        <v>14</v>
      </c>
      <c r="Z1466" s="302" t="s">
        <v>15</v>
      </c>
      <c r="AA1466" s="302" t="s">
        <v>16</v>
      </c>
      <c r="AB1466" s="302" t="s">
        <v>10</v>
      </c>
      <c r="AC1466" s="302" t="s">
        <v>11</v>
      </c>
      <c r="AD1466" s="302" t="s">
        <v>12</v>
      </c>
      <c r="AE1466" s="302" t="s">
        <v>13</v>
      </c>
      <c r="AF1466" s="302" t="s">
        <v>14</v>
      </c>
      <c r="AG1466" s="302" t="s">
        <v>15</v>
      </c>
      <c r="AH1466" s="302" t="s">
        <v>16</v>
      </c>
      <c r="AI1466" s="302" t="s">
        <v>10</v>
      </c>
      <c r="AJ1466" s="350"/>
      <c r="AK1466" s="350"/>
      <c r="AL1466" s="10"/>
      <c r="AM1466" s="9"/>
      <c r="AN1466" s="11"/>
      <c r="AO1466" s="3"/>
      <c r="AP1466" s="10"/>
      <c r="AQ1466" s="10"/>
      <c r="AR1466" s="12" t="s">
        <v>17</v>
      </c>
      <c r="AS1466" s="12" t="s">
        <v>18</v>
      </c>
      <c r="AT1466" s="12" t="s">
        <v>19</v>
      </c>
    </row>
    <row r="1467" spans="3:46" ht="12.75" x14ac:dyDescent="0.2">
      <c r="C1467" s="3"/>
      <c r="D1467" s="3"/>
      <c r="E1467" s="302" t="s">
        <v>20</v>
      </c>
      <c r="F1467" s="302">
        <v>1</v>
      </c>
      <c r="G1467" s="302">
        <v>2</v>
      </c>
      <c r="H1467" s="302">
        <v>3</v>
      </c>
      <c r="I1467" s="302">
        <v>4</v>
      </c>
      <c r="J1467" s="302">
        <v>5</v>
      </c>
      <c r="K1467" s="302">
        <v>6</v>
      </c>
      <c r="L1467" s="302">
        <v>7</v>
      </c>
      <c r="M1467" s="302">
        <v>8</v>
      </c>
      <c r="N1467" s="302">
        <v>9</v>
      </c>
      <c r="O1467" s="302">
        <v>10</v>
      </c>
      <c r="P1467" s="302">
        <v>11</v>
      </c>
      <c r="Q1467" s="302">
        <v>12</v>
      </c>
      <c r="R1467" s="302">
        <v>13</v>
      </c>
      <c r="S1467" s="302">
        <v>14</v>
      </c>
      <c r="T1467" s="302">
        <v>15</v>
      </c>
      <c r="U1467" s="302">
        <v>16</v>
      </c>
      <c r="V1467" s="302">
        <v>17</v>
      </c>
      <c r="W1467" s="302">
        <v>18</v>
      </c>
      <c r="X1467" s="302">
        <v>19</v>
      </c>
      <c r="Y1467" s="302">
        <v>20</v>
      </c>
      <c r="Z1467" s="302">
        <v>21</v>
      </c>
      <c r="AA1467" s="302">
        <v>22</v>
      </c>
      <c r="AB1467" s="302">
        <v>23</v>
      </c>
      <c r="AC1467" s="302">
        <v>24</v>
      </c>
      <c r="AD1467" s="302">
        <v>25</v>
      </c>
      <c r="AE1467" s="302">
        <v>26</v>
      </c>
      <c r="AF1467" s="302">
        <v>27</v>
      </c>
      <c r="AG1467" s="302">
        <v>28</v>
      </c>
      <c r="AH1467" s="302">
        <v>29</v>
      </c>
      <c r="AI1467" s="302">
        <v>30</v>
      </c>
      <c r="AJ1467" s="350"/>
      <c r="AK1467" s="302" t="s">
        <v>21</v>
      </c>
      <c r="AL1467" s="10" t="s">
        <v>18</v>
      </c>
      <c r="AM1467" s="9" t="s">
        <v>19</v>
      </c>
      <c r="AN1467" s="11" t="s">
        <v>22</v>
      </c>
      <c r="AO1467" s="3"/>
      <c r="AP1467" s="10"/>
      <c r="AQ1467" s="12" t="s">
        <v>23</v>
      </c>
      <c r="AR1467" s="19">
        <f>AK1478-AK1528</f>
        <v>-136.01000000000022</v>
      </c>
      <c r="AS1467" s="19">
        <f>(AL1478-AL1528)-AL1479+AM1480</f>
        <v>-157.01</v>
      </c>
      <c r="AT1467" s="19">
        <f>(AM1478-AM1528)+AL1479-AM1480</f>
        <v>21</v>
      </c>
    </row>
    <row r="1468" spans="3:46" ht="12.75" x14ac:dyDescent="0.2">
      <c r="C1468" s="626" t="s">
        <v>24</v>
      </c>
      <c r="D1468" s="352" t="s">
        <v>25</v>
      </c>
      <c r="E1468" s="23" t="s">
        <v>18</v>
      </c>
      <c r="F1468" s="23"/>
      <c r="G1468" s="23"/>
      <c r="H1468" s="23"/>
      <c r="I1468" s="23"/>
      <c r="J1468" s="274">
        <v>980</v>
      </c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74">
        <v>525</v>
      </c>
      <c r="Z1468" s="23"/>
      <c r="AA1468" s="23"/>
      <c r="AB1468" s="23"/>
      <c r="AC1468" s="23"/>
      <c r="AD1468" s="23"/>
      <c r="AE1468" s="23"/>
      <c r="AF1468" s="23"/>
      <c r="AG1468" s="23"/>
      <c r="AH1468" s="23"/>
      <c r="AI1468" s="23"/>
      <c r="AJ1468" s="23"/>
      <c r="AK1468" s="296">
        <f t="shared" ref="AK1468:AK1477" si="233">SUM(F1468:AJ1468)</f>
        <v>1505</v>
      </c>
      <c r="AL1468" s="28">
        <f t="shared" ref="AL1468:AL1469" si="234">AK1468</f>
        <v>1505</v>
      </c>
      <c r="AM1468" s="9"/>
      <c r="AN1468" s="353">
        <f>AL1468</f>
        <v>1505</v>
      </c>
      <c r="AO1468" s="3"/>
      <c r="AP1468" s="3"/>
      <c r="AQ1468" s="3"/>
      <c r="AR1468" s="3"/>
      <c r="AS1468" s="3"/>
      <c r="AT1468" s="3"/>
    </row>
    <row r="1469" spans="3:46" ht="12.75" x14ac:dyDescent="0.2">
      <c r="C1469" s="580"/>
      <c r="D1469" s="576" t="s">
        <v>26</v>
      </c>
      <c r="E1469" s="10" t="s">
        <v>18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297">
        <f t="shared" si="233"/>
        <v>0</v>
      </c>
      <c r="AL1469" s="34">
        <f t="shared" si="234"/>
        <v>0</v>
      </c>
      <c r="AM1469" s="35"/>
      <c r="AN1469" s="582">
        <f>SUM(AL1469:AM1470)</f>
        <v>0</v>
      </c>
      <c r="AO1469" s="3"/>
      <c r="AP1469" s="3"/>
      <c r="AQ1469" s="3"/>
      <c r="AR1469" s="3"/>
      <c r="AS1469" s="3"/>
      <c r="AT1469" s="3"/>
    </row>
    <row r="1470" spans="3:46" ht="12.75" x14ac:dyDescent="0.2">
      <c r="C1470" s="580"/>
      <c r="D1470" s="577"/>
      <c r="E1470" s="9" t="s">
        <v>19</v>
      </c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298">
        <f t="shared" si="233"/>
        <v>0</v>
      </c>
      <c r="AL1470" s="39"/>
      <c r="AM1470" s="40">
        <f t="shared" ref="AM1470:AM1471" si="235">AK1470</f>
        <v>0</v>
      </c>
      <c r="AN1470" s="583"/>
      <c r="AO1470" s="3"/>
      <c r="AP1470" s="3"/>
      <c r="AQ1470" s="3"/>
      <c r="AR1470" s="3"/>
      <c r="AS1470" s="3"/>
      <c r="AT1470" s="3"/>
    </row>
    <row r="1471" spans="3:46" ht="12.75" x14ac:dyDescent="0.2">
      <c r="C1471" s="580"/>
      <c r="D1471" s="354" t="s">
        <v>27</v>
      </c>
      <c r="E1471" s="9" t="s">
        <v>19</v>
      </c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298">
        <f t="shared" si="233"/>
        <v>0</v>
      </c>
      <c r="AL1471" s="10"/>
      <c r="AM1471" s="19">
        <f t="shared" si="235"/>
        <v>0</v>
      </c>
      <c r="AN1471" s="353">
        <f>AM1471</f>
        <v>0</v>
      </c>
      <c r="AO1471" s="3"/>
      <c r="AP1471" s="3"/>
      <c r="AQ1471" s="3"/>
      <c r="AR1471" s="3"/>
      <c r="AS1471" s="3"/>
      <c r="AT1471" s="3"/>
    </row>
    <row r="1472" spans="3:46" ht="12.75" x14ac:dyDescent="0.2">
      <c r="C1472" s="580"/>
      <c r="D1472" s="576" t="s">
        <v>28</v>
      </c>
      <c r="E1472" s="10" t="s">
        <v>18</v>
      </c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297">
        <f t="shared" si="233"/>
        <v>0</v>
      </c>
      <c r="AL1472" s="34">
        <f>AK1472</f>
        <v>0</v>
      </c>
      <c r="AM1472" s="35"/>
      <c r="AN1472" s="582">
        <f>SUM(AL1472:AM1473)</f>
        <v>0</v>
      </c>
      <c r="AO1472" s="3"/>
      <c r="AP1472" s="3"/>
      <c r="AQ1472" s="3"/>
      <c r="AR1472" s="3"/>
      <c r="AS1472" s="3"/>
      <c r="AT1472" s="3"/>
    </row>
    <row r="1473" spans="3:46" ht="12.75" x14ac:dyDescent="0.2">
      <c r="C1473" s="580"/>
      <c r="D1473" s="577"/>
      <c r="E1473" s="9" t="s">
        <v>19</v>
      </c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298">
        <f t="shared" si="233"/>
        <v>0</v>
      </c>
      <c r="AL1473" s="39"/>
      <c r="AM1473" s="40">
        <f>AK1473</f>
        <v>0</v>
      </c>
      <c r="AN1473" s="583"/>
      <c r="AO1473" s="3"/>
      <c r="AP1473" s="3"/>
      <c r="AQ1473" s="3"/>
      <c r="AR1473" s="3"/>
      <c r="AS1473" s="3"/>
      <c r="AT1473" s="3"/>
    </row>
    <row r="1474" spans="3:46" ht="12.75" x14ac:dyDescent="0.2">
      <c r="C1474" s="580"/>
      <c r="D1474" s="576" t="s">
        <v>29</v>
      </c>
      <c r="E1474" s="10" t="s">
        <v>18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297">
        <f t="shared" si="233"/>
        <v>0</v>
      </c>
      <c r="AL1474" s="34">
        <f>AK1474</f>
        <v>0</v>
      </c>
      <c r="AM1474" s="35"/>
      <c r="AN1474" s="582">
        <f>SUM(AL1474:AM1475)</f>
        <v>15</v>
      </c>
      <c r="AO1474" s="3"/>
      <c r="AP1474" s="3"/>
      <c r="AQ1474" s="3"/>
      <c r="AR1474" s="3"/>
      <c r="AS1474" s="3"/>
      <c r="AT1474" s="3"/>
    </row>
    <row r="1475" spans="3:46" ht="12.75" x14ac:dyDescent="0.2">
      <c r="C1475" s="580"/>
      <c r="D1475" s="577"/>
      <c r="E1475" s="9" t="s">
        <v>19</v>
      </c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19">
        <v>15</v>
      </c>
      <c r="AE1475" s="9"/>
      <c r="AF1475" s="9"/>
      <c r="AG1475" s="9"/>
      <c r="AH1475" s="9"/>
      <c r="AI1475" s="9"/>
      <c r="AJ1475" s="9"/>
      <c r="AK1475" s="298">
        <f t="shared" si="233"/>
        <v>15</v>
      </c>
      <c r="AL1475" s="39"/>
      <c r="AM1475" s="40">
        <f>AK1475</f>
        <v>15</v>
      </c>
      <c r="AN1475" s="583"/>
      <c r="AO1475" s="3"/>
      <c r="AP1475" s="3"/>
      <c r="AQ1475" s="3"/>
      <c r="AR1475" s="3"/>
      <c r="AS1475" s="3"/>
      <c r="AT1475" s="3"/>
    </row>
    <row r="1476" spans="3:46" ht="12.75" x14ac:dyDescent="0.2">
      <c r="C1476" s="580"/>
      <c r="D1476" s="576" t="s">
        <v>31</v>
      </c>
      <c r="E1476" s="10" t="s">
        <v>18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297">
        <f t="shared" si="233"/>
        <v>0</v>
      </c>
      <c r="AL1476" s="34">
        <f>AK1476</f>
        <v>0</v>
      </c>
      <c r="AM1476" s="35"/>
      <c r="AN1476" s="582">
        <f>SUM(AL1476:AM1477)</f>
        <v>20</v>
      </c>
      <c r="AO1476" s="3"/>
      <c r="AP1476" s="3"/>
      <c r="AQ1476" s="3"/>
      <c r="AR1476" s="3"/>
      <c r="AS1476" s="3"/>
      <c r="AT1476" s="3"/>
    </row>
    <row r="1477" spans="3:46" ht="12.75" x14ac:dyDescent="0.2">
      <c r="C1477" s="581"/>
      <c r="D1477" s="585"/>
      <c r="E1477" s="277" t="s">
        <v>19</v>
      </c>
      <c r="F1477" s="277"/>
      <c r="G1477" s="277"/>
      <c r="H1477" s="277"/>
      <c r="I1477" s="277"/>
      <c r="J1477" s="277"/>
      <c r="K1477" s="277"/>
      <c r="L1477" s="277"/>
      <c r="M1477" s="40">
        <v>20</v>
      </c>
      <c r="N1477" s="277"/>
      <c r="O1477" s="277"/>
      <c r="P1477" s="277"/>
      <c r="Q1477" s="277"/>
      <c r="R1477" s="277"/>
      <c r="S1477" s="277"/>
      <c r="T1477" s="277"/>
      <c r="U1477" s="277"/>
      <c r="V1477" s="277"/>
      <c r="W1477" s="277"/>
      <c r="X1477" s="277"/>
      <c r="Y1477" s="277"/>
      <c r="Z1477" s="277"/>
      <c r="AA1477" s="277"/>
      <c r="AB1477" s="277"/>
      <c r="AC1477" s="277"/>
      <c r="AD1477" s="277"/>
      <c r="AE1477" s="277"/>
      <c r="AF1477" s="277"/>
      <c r="AG1477" s="277"/>
      <c r="AH1477" s="277"/>
      <c r="AI1477" s="277"/>
      <c r="AJ1477" s="277"/>
      <c r="AK1477" s="301">
        <f t="shared" si="233"/>
        <v>20</v>
      </c>
      <c r="AL1477" s="39"/>
      <c r="AM1477" s="40">
        <f>AK1477</f>
        <v>20</v>
      </c>
      <c r="AN1477" s="583"/>
      <c r="AO1477" s="3"/>
      <c r="AP1477" s="3"/>
      <c r="AQ1477" s="3"/>
      <c r="AR1477" s="3"/>
      <c r="AS1477" s="3"/>
      <c r="AT1477" s="3"/>
    </row>
    <row r="1478" spans="3:46" ht="12.75" x14ac:dyDescent="0.2">
      <c r="C1478" s="302" t="s">
        <v>32</v>
      </c>
      <c r="D1478" s="350"/>
      <c r="E1478" s="9"/>
      <c r="F1478" s="19">
        <f t="shared" ref="F1478:AM1478" si="236">SUM(F1468:F1477)</f>
        <v>0</v>
      </c>
      <c r="G1478" s="19">
        <f t="shared" si="236"/>
        <v>0</v>
      </c>
      <c r="H1478" s="19">
        <f t="shared" si="236"/>
        <v>0</v>
      </c>
      <c r="I1478" s="19">
        <f t="shared" si="236"/>
        <v>0</v>
      </c>
      <c r="J1478" s="19">
        <f t="shared" si="236"/>
        <v>980</v>
      </c>
      <c r="K1478" s="19">
        <f t="shared" si="236"/>
        <v>0</v>
      </c>
      <c r="L1478" s="19">
        <f t="shared" si="236"/>
        <v>0</v>
      </c>
      <c r="M1478" s="19">
        <f t="shared" si="236"/>
        <v>20</v>
      </c>
      <c r="N1478" s="19">
        <f t="shared" si="236"/>
        <v>0</v>
      </c>
      <c r="O1478" s="19">
        <f t="shared" si="236"/>
        <v>0</v>
      </c>
      <c r="P1478" s="19">
        <f t="shared" si="236"/>
        <v>0</v>
      </c>
      <c r="Q1478" s="19">
        <f t="shared" si="236"/>
        <v>0</v>
      </c>
      <c r="R1478" s="19">
        <f t="shared" si="236"/>
        <v>0</v>
      </c>
      <c r="S1478" s="19">
        <f t="shared" si="236"/>
        <v>0</v>
      </c>
      <c r="T1478" s="19">
        <f t="shared" si="236"/>
        <v>0</v>
      </c>
      <c r="U1478" s="19">
        <f t="shared" si="236"/>
        <v>0</v>
      </c>
      <c r="V1478" s="19">
        <f t="shared" si="236"/>
        <v>0</v>
      </c>
      <c r="W1478" s="19">
        <f t="shared" si="236"/>
        <v>0</v>
      </c>
      <c r="X1478" s="19">
        <f t="shared" si="236"/>
        <v>0</v>
      </c>
      <c r="Y1478" s="19">
        <f t="shared" si="236"/>
        <v>525</v>
      </c>
      <c r="Z1478" s="19">
        <f t="shared" si="236"/>
        <v>0</v>
      </c>
      <c r="AA1478" s="19">
        <f t="shared" si="236"/>
        <v>0</v>
      </c>
      <c r="AB1478" s="19">
        <f t="shared" si="236"/>
        <v>0</v>
      </c>
      <c r="AC1478" s="19">
        <f t="shared" si="236"/>
        <v>0</v>
      </c>
      <c r="AD1478" s="19">
        <f t="shared" si="236"/>
        <v>15</v>
      </c>
      <c r="AE1478" s="19">
        <f t="shared" si="236"/>
        <v>0</v>
      </c>
      <c r="AF1478" s="19">
        <f t="shared" si="236"/>
        <v>0</v>
      </c>
      <c r="AG1478" s="19">
        <f t="shared" si="236"/>
        <v>0</v>
      </c>
      <c r="AH1478" s="19">
        <f t="shared" si="236"/>
        <v>0</v>
      </c>
      <c r="AI1478" s="19">
        <f t="shared" si="236"/>
        <v>0</v>
      </c>
      <c r="AJ1478" s="19">
        <f t="shared" si="236"/>
        <v>0</v>
      </c>
      <c r="AK1478" s="51">
        <f t="shared" si="236"/>
        <v>1540</v>
      </c>
      <c r="AL1478" s="28">
        <f t="shared" si="236"/>
        <v>1505</v>
      </c>
      <c r="AM1478" s="19">
        <f t="shared" si="236"/>
        <v>35</v>
      </c>
      <c r="AN1478" s="355"/>
      <c r="AO1478" s="3"/>
      <c r="AP1478" s="3"/>
      <c r="AQ1478" s="3"/>
      <c r="AR1478" s="3"/>
      <c r="AS1478" s="3"/>
      <c r="AT1478" s="3"/>
    </row>
    <row r="1479" spans="3:46" ht="12.75" x14ac:dyDescent="0.2">
      <c r="C1479" s="632" t="s">
        <v>83</v>
      </c>
      <c r="D1479" s="450" t="s">
        <v>84</v>
      </c>
      <c r="E1479" s="122" t="s">
        <v>18</v>
      </c>
      <c r="F1479" s="122"/>
      <c r="G1479" s="122"/>
      <c r="H1479" s="122"/>
      <c r="I1479" s="122"/>
      <c r="J1479" s="121">
        <f>20+170+80+150</f>
        <v>420</v>
      </c>
      <c r="K1479" s="121">
        <v>20</v>
      </c>
      <c r="L1479" s="122"/>
      <c r="M1479" s="121">
        <v>15</v>
      </c>
      <c r="N1479" s="122"/>
      <c r="O1479" s="122"/>
      <c r="P1479" s="122"/>
      <c r="Q1479" s="122"/>
      <c r="R1479" s="122"/>
      <c r="S1479" s="122"/>
      <c r="T1479" s="122"/>
      <c r="U1479" s="122"/>
      <c r="V1479" s="122"/>
      <c r="W1479" s="122"/>
      <c r="X1479" s="122"/>
      <c r="Y1479" s="122"/>
      <c r="Z1479" s="122"/>
      <c r="AA1479" s="122"/>
      <c r="AB1479" s="122"/>
      <c r="AC1479" s="121">
        <v>15</v>
      </c>
      <c r="AD1479" s="122"/>
      <c r="AE1479" s="122"/>
      <c r="AF1479" s="122"/>
      <c r="AG1479" s="122"/>
      <c r="AH1479" s="122"/>
      <c r="AI1479" s="122"/>
      <c r="AJ1479" s="123"/>
      <c r="AK1479" s="122"/>
      <c r="AL1479" s="326">
        <f>SUM(F1479:AJ1479)</f>
        <v>470</v>
      </c>
      <c r="AM1479" s="321"/>
      <c r="AN1479" s="355"/>
      <c r="AO1479" s="3"/>
      <c r="AP1479" s="3"/>
      <c r="AQ1479" s="3"/>
      <c r="AR1479" s="3"/>
      <c r="AS1479" s="3"/>
      <c r="AT1479" s="3"/>
    </row>
    <row r="1480" spans="3:46" ht="12.75" x14ac:dyDescent="0.2">
      <c r="C1480" s="581"/>
      <c r="D1480" s="451" t="s">
        <v>85</v>
      </c>
      <c r="E1480" s="452" t="s">
        <v>19</v>
      </c>
      <c r="F1480" s="452"/>
      <c r="G1480" s="452"/>
      <c r="H1480" s="452"/>
      <c r="I1480" s="452"/>
      <c r="J1480" s="452"/>
      <c r="K1480" s="452"/>
      <c r="L1480" s="452"/>
      <c r="M1480" s="452"/>
      <c r="N1480" s="452"/>
      <c r="O1480" s="452"/>
      <c r="P1480" s="452"/>
      <c r="Q1480" s="452"/>
      <c r="R1480" s="452"/>
      <c r="S1480" s="452"/>
      <c r="T1480" s="452"/>
      <c r="U1480" s="452"/>
      <c r="V1480" s="452"/>
      <c r="W1480" s="452"/>
      <c r="X1480" s="452"/>
      <c r="Y1480" s="452"/>
      <c r="Z1480" s="452"/>
      <c r="AA1480" s="452"/>
      <c r="AB1480" s="452"/>
      <c r="AC1480" s="452"/>
      <c r="AD1480" s="452"/>
      <c r="AE1480" s="452"/>
      <c r="AF1480" s="452"/>
      <c r="AG1480" s="452"/>
      <c r="AH1480" s="452"/>
      <c r="AI1480" s="452"/>
      <c r="AJ1480" s="453"/>
      <c r="AK1480" s="321"/>
      <c r="AL1480" s="321"/>
      <c r="AM1480" s="326">
        <f>SUM(F1480:AJ1480)</f>
        <v>0</v>
      </c>
      <c r="AN1480" s="355"/>
      <c r="AO1480" s="3"/>
      <c r="AP1480" s="3"/>
      <c r="AQ1480" s="3"/>
      <c r="AR1480" s="3"/>
      <c r="AS1480" s="3"/>
      <c r="AT1480" s="3"/>
    </row>
    <row r="1481" spans="3:46" ht="12.75" x14ac:dyDescent="0.2">
      <c r="C1481" s="627" t="s">
        <v>33</v>
      </c>
      <c r="D1481" s="361" t="s">
        <v>34</v>
      </c>
      <c r="E1481" s="97" t="s">
        <v>19</v>
      </c>
      <c r="F1481" s="97"/>
      <c r="G1481" s="97"/>
      <c r="H1481" s="97"/>
      <c r="I1481" s="97"/>
      <c r="J1481" s="97"/>
      <c r="K1481" s="97"/>
      <c r="L1481" s="97"/>
      <c r="M1481" s="97"/>
      <c r="N1481" s="97"/>
      <c r="O1481" s="97"/>
      <c r="P1481" s="97"/>
      <c r="Q1481" s="97"/>
      <c r="R1481" s="97"/>
      <c r="S1481" s="97"/>
      <c r="T1481" s="97"/>
      <c r="U1481" s="97"/>
      <c r="V1481" s="97"/>
      <c r="W1481" s="97"/>
      <c r="X1481" s="97"/>
      <c r="Y1481" s="97"/>
      <c r="Z1481" s="97"/>
      <c r="AA1481" s="97"/>
      <c r="AB1481" s="97"/>
      <c r="AC1481" s="97"/>
      <c r="AD1481" s="97"/>
      <c r="AE1481" s="97"/>
      <c r="AF1481" s="97"/>
      <c r="AG1481" s="97"/>
      <c r="AH1481" s="97"/>
      <c r="AI1481" s="97"/>
      <c r="AJ1481" s="97"/>
      <c r="AK1481" s="454">
        <f t="shared" ref="AK1481:AK1527" si="237">SUM(F1481:AJ1481)</f>
        <v>0</v>
      </c>
      <c r="AL1481" s="65"/>
      <c r="AM1481" s="66">
        <f>AK1481</f>
        <v>0</v>
      </c>
      <c r="AN1481" s="353">
        <f>AM1481</f>
        <v>0</v>
      </c>
      <c r="AO1481" s="3"/>
      <c r="AP1481" s="3"/>
      <c r="AQ1481" s="3"/>
      <c r="AR1481" s="3"/>
      <c r="AS1481" s="3"/>
      <c r="AT1481" s="3"/>
    </row>
    <row r="1482" spans="3:46" ht="12.75" x14ac:dyDescent="0.2">
      <c r="C1482" s="580"/>
      <c r="D1482" s="360" t="s">
        <v>35</v>
      </c>
      <c r="E1482" s="65" t="s">
        <v>18</v>
      </c>
      <c r="F1482" s="65"/>
      <c r="G1482" s="65"/>
      <c r="H1482" s="65"/>
      <c r="I1482" s="72">
        <v>10</v>
      </c>
      <c r="J1482" s="65"/>
      <c r="K1482" s="65"/>
      <c r="L1482" s="65"/>
      <c r="M1482" s="65"/>
      <c r="N1482" s="65"/>
      <c r="O1482" s="65"/>
      <c r="P1482" s="65"/>
      <c r="Q1482" s="65"/>
      <c r="R1482" s="65"/>
      <c r="S1482" s="65"/>
      <c r="T1482" s="65"/>
      <c r="U1482" s="65"/>
      <c r="V1482" s="65"/>
      <c r="W1482" s="65"/>
      <c r="X1482" s="65"/>
      <c r="Y1482" s="65"/>
      <c r="Z1482" s="65"/>
      <c r="AA1482" s="72">
        <v>15</v>
      </c>
      <c r="AB1482" s="65"/>
      <c r="AC1482" s="65"/>
      <c r="AD1482" s="65"/>
      <c r="AE1482" s="65"/>
      <c r="AF1482" s="65"/>
      <c r="AG1482" s="65"/>
      <c r="AH1482" s="65"/>
      <c r="AI1482" s="65"/>
      <c r="AJ1482" s="65"/>
      <c r="AK1482" s="98">
        <f t="shared" si="237"/>
        <v>25</v>
      </c>
      <c r="AL1482" s="72">
        <f>AK1482</f>
        <v>25</v>
      </c>
      <c r="AM1482" s="62"/>
      <c r="AN1482" s="353">
        <f>AL1482</f>
        <v>25</v>
      </c>
      <c r="AO1482" s="3"/>
      <c r="AP1482" s="3"/>
      <c r="AQ1482" s="3"/>
      <c r="AR1482" s="3"/>
      <c r="AS1482" s="3"/>
      <c r="AT1482" s="3"/>
    </row>
    <row r="1483" spans="3:46" ht="12.75" x14ac:dyDescent="0.2">
      <c r="C1483" s="580"/>
      <c r="D1483" s="360" t="s">
        <v>36</v>
      </c>
      <c r="E1483" s="62" t="s">
        <v>19</v>
      </c>
      <c r="F1483" s="62"/>
      <c r="G1483" s="62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128">
        <f t="shared" si="237"/>
        <v>0</v>
      </c>
      <c r="AL1483" s="65"/>
      <c r="AM1483" s="66">
        <f>AK1483</f>
        <v>0</v>
      </c>
      <c r="AN1483" s="353">
        <f>AM1483</f>
        <v>0</v>
      </c>
      <c r="AO1483" s="3"/>
      <c r="AP1483" s="3"/>
      <c r="AQ1483" s="3"/>
      <c r="AR1483" s="3"/>
      <c r="AS1483" s="3"/>
      <c r="AT1483" s="3"/>
    </row>
    <row r="1484" spans="3:46" ht="12.75" x14ac:dyDescent="0.2">
      <c r="C1484" s="580"/>
      <c r="D1484" s="584" t="s">
        <v>37</v>
      </c>
      <c r="E1484" s="65" t="s">
        <v>18</v>
      </c>
      <c r="F1484" s="65"/>
      <c r="G1484" s="65"/>
      <c r="H1484" s="65"/>
      <c r="I1484" s="65"/>
      <c r="J1484" s="65"/>
      <c r="K1484" s="65"/>
      <c r="L1484" s="65"/>
      <c r="M1484" s="72">
        <f>15.1+7.5</f>
        <v>22.6</v>
      </c>
      <c r="N1484" s="65"/>
      <c r="O1484" s="65"/>
      <c r="P1484" s="65"/>
      <c r="Q1484" s="72">
        <v>10</v>
      </c>
      <c r="R1484" s="65"/>
      <c r="S1484" s="65"/>
      <c r="T1484" s="72">
        <v>10</v>
      </c>
      <c r="U1484" s="65"/>
      <c r="V1484" s="65"/>
      <c r="W1484" s="72">
        <v>20</v>
      </c>
      <c r="X1484" s="65"/>
      <c r="Y1484" s="72">
        <v>0.49</v>
      </c>
      <c r="Z1484" s="72">
        <v>10</v>
      </c>
      <c r="AA1484" s="72">
        <f>10+5.4</f>
        <v>15.4</v>
      </c>
      <c r="AB1484" s="65"/>
      <c r="AC1484" s="72">
        <f>10+50+0.44</f>
        <v>60.44</v>
      </c>
      <c r="AD1484" s="65"/>
      <c r="AE1484" s="65"/>
      <c r="AF1484" s="65"/>
      <c r="AG1484" s="65"/>
      <c r="AH1484" s="65"/>
      <c r="AI1484" s="65"/>
      <c r="AJ1484" s="65"/>
      <c r="AK1484" s="98">
        <f t="shared" si="237"/>
        <v>148.93</v>
      </c>
      <c r="AL1484" s="96">
        <f>AK1484</f>
        <v>148.93</v>
      </c>
      <c r="AM1484" s="97"/>
      <c r="AN1484" s="582">
        <f>SUM(AL1484:AM1485)</f>
        <v>169.53</v>
      </c>
      <c r="AO1484" s="3"/>
      <c r="AP1484" s="3"/>
      <c r="AQ1484" s="3"/>
      <c r="AR1484" s="3"/>
      <c r="AS1484" s="3"/>
      <c r="AT1484" s="3"/>
    </row>
    <row r="1485" spans="3:46" ht="12.75" x14ac:dyDescent="0.2">
      <c r="C1485" s="580"/>
      <c r="D1485" s="577"/>
      <c r="E1485" s="62" t="s">
        <v>19</v>
      </c>
      <c r="F1485" s="62"/>
      <c r="G1485" s="62"/>
      <c r="H1485" s="62"/>
      <c r="I1485" s="62"/>
      <c r="J1485" s="62"/>
      <c r="K1485" s="62"/>
      <c r="L1485" s="66">
        <v>20</v>
      </c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6">
        <v>0.6</v>
      </c>
      <c r="AJ1485" s="62"/>
      <c r="AK1485" s="128">
        <f t="shared" si="237"/>
        <v>20.6</v>
      </c>
      <c r="AL1485" s="93"/>
      <c r="AM1485" s="94">
        <f>AK1485</f>
        <v>20.6</v>
      </c>
      <c r="AN1485" s="583"/>
      <c r="AO1485" s="3"/>
      <c r="AP1485" s="3"/>
      <c r="AQ1485" s="3"/>
      <c r="AR1485" s="3"/>
      <c r="AS1485" s="3"/>
      <c r="AT1485" s="3"/>
    </row>
    <row r="1486" spans="3:46" ht="12.75" x14ac:dyDescent="0.2">
      <c r="C1486" s="580"/>
      <c r="D1486" s="360" t="s">
        <v>38</v>
      </c>
      <c r="E1486" s="65" t="s">
        <v>18</v>
      </c>
      <c r="F1486" s="65"/>
      <c r="G1486" s="65"/>
      <c r="H1486" s="65"/>
      <c r="I1486" s="65"/>
      <c r="J1486" s="65"/>
      <c r="K1486" s="65"/>
      <c r="L1486" s="65"/>
      <c r="M1486" s="65"/>
      <c r="N1486" s="65"/>
      <c r="O1486" s="65"/>
      <c r="P1486" s="65"/>
      <c r="Q1486" s="65"/>
      <c r="R1486" s="65"/>
      <c r="S1486" s="65"/>
      <c r="T1486" s="65"/>
      <c r="U1486" s="65"/>
      <c r="V1486" s="65"/>
      <c r="W1486" s="65"/>
      <c r="X1486" s="65"/>
      <c r="Y1486" s="65"/>
      <c r="Z1486" s="65"/>
      <c r="AA1486" s="65"/>
      <c r="AB1486" s="65"/>
      <c r="AC1486" s="65"/>
      <c r="AD1486" s="65"/>
      <c r="AE1486" s="65"/>
      <c r="AF1486" s="65"/>
      <c r="AG1486" s="65"/>
      <c r="AH1486" s="65"/>
      <c r="AI1486" s="65"/>
      <c r="AJ1486" s="65"/>
      <c r="AK1486" s="98">
        <f t="shared" si="237"/>
        <v>0</v>
      </c>
      <c r="AL1486" s="72">
        <f t="shared" ref="AL1486:AL1488" si="238">AK1486</f>
        <v>0</v>
      </c>
      <c r="AM1486" s="62"/>
      <c r="AN1486" s="353">
        <f t="shared" ref="AN1486:AN1487" si="239">AL1486</f>
        <v>0</v>
      </c>
      <c r="AO1486" s="3"/>
      <c r="AP1486" s="3"/>
      <c r="AQ1486" s="3"/>
      <c r="AR1486" s="3"/>
      <c r="AS1486" s="3"/>
      <c r="AT1486" s="3"/>
    </row>
    <row r="1487" spans="3:46" ht="12.75" x14ac:dyDescent="0.2">
      <c r="C1487" s="580"/>
      <c r="D1487" s="360" t="s">
        <v>39</v>
      </c>
      <c r="E1487" s="65" t="s">
        <v>18</v>
      </c>
      <c r="F1487" s="65"/>
      <c r="G1487" s="65"/>
      <c r="H1487" s="65"/>
      <c r="I1487" s="65"/>
      <c r="J1487" s="65"/>
      <c r="K1487" s="65"/>
      <c r="L1487" s="65"/>
      <c r="M1487" s="72">
        <v>20</v>
      </c>
      <c r="N1487" s="65"/>
      <c r="O1487" s="65"/>
      <c r="P1487" s="65"/>
      <c r="Q1487" s="65"/>
      <c r="R1487" s="65"/>
      <c r="S1487" s="65"/>
      <c r="T1487" s="65"/>
      <c r="U1487" s="65"/>
      <c r="V1487" s="65"/>
      <c r="W1487" s="65"/>
      <c r="X1487" s="65"/>
      <c r="Y1487" s="65"/>
      <c r="Z1487" s="65"/>
      <c r="AA1487" s="65"/>
      <c r="AB1487" s="65"/>
      <c r="AC1487" s="72">
        <v>5</v>
      </c>
      <c r="AD1487" s="65"/>
      <c r="AE1487" s="65"/>
      <c r="AF1487" s="65"/>
      <c r="AG1487" s="65"/>
      <c r="AH1487" s="65"/>
      <c r="AI1487" s="65"/>
      <c r="AJ1487" s="65"/>
      <c r="AK1487" s="98">
        <f t="shared" si="237"/>
        <v>25</v>
      </c>
      <c r="AL1487" s="72">
        <f t="shared" si="238"/>
        <v>25</v>
      </c>
      <c r="AM1487" s="62"/>
      <c r="AN1487" s="353">
        <f t="shared" si="239"/>
        <v>25</v>
      </c>
      <c r="AO1487" s="3"/>
      <c r="AP1487" s="3"/>
      <c r="AQ1487" s="3"/>
      <c r="AR1487" s="3"/>
      <c r="AS1487" s="3"/>
      <c r="AT1487" s="3"/>
    </row>
    <row r="1488" spans="3:46" ht="12.75" x14ac:dyDescent="0.2">
      <c r="C1488" s="580"/>
      <c r="D1488" s="584" t="s">
        <v>40</v>
      </c>
      <c r="E1488" s="65" t="s">
        <v>18</v>
      </c>
      <c r="F1488" s="65"/>
      <c r="G1488" s="65"/>
      <c r="H1488" s="65"/>
      <c r="I1488" s="65"/>
      <c r="J1488" s="65"/>
      <c r="K1488" s="65"/>
      <c r="L1488" s="65"/>
      <c r="M1488" s="65"/>
      <c r="N1488" s="65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  <c r="Y1488" s="65"/>
      <c r="Z1488" s="65"/>
      <c r="AA1488" s="65"/>
      <c r="AB1488" s="65"/>
      <c r="AC1488" s="65"/>
      <c r="AD1488" s="65"/>
      <c r="AE1488" s="65"/>
      <c r="AF1488" s="65"/>
      <c r="AG1488" s="65"/>
      <c r="AH1488" s="65"/>
      <c r="AI1488" s="65"/>
      <c r="AJ1488" s="65"/>
      <c r="AK1488" s="98">
        <f t="shared" si="237"/>
        <v>0</v>
      </c>
      <c r="AL1488" s="96">
        <f t="shared" si="238"/>
        <v>0</v>
      </c>
      <c r="AM1488" s="97"/>
      <c r="AN1488" s="582">
        <f>SUM(AL1488:AM1489)</f>
        <v>0</v>
      </c>
      <c r="AO1488" s="3"/>
      <c r="AP1488" s="3"/>
      <c r="AQ1488" s="3"/>
      <c r="AR1488" s="3"/>
      <c r="AS1488" s="3"/>
      <c r="AT1488" s="3"/>
    </row>
    <row r="1489" spans="3:46" ht="12.75" x14ac:dyDescent="0.2">
      <c r="C1489" s="580"/>
      <c r="D1489" s="577"/>
      <c r="E1489" s="62" t="s">
        <v>19</v>
      </c>
      <c r="F1489" s="62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128">
        <f t="shared" si="237"/>
        <v>0</v>
      </c>
      <c r="AL1489" s="93"/>
      <c r="AM1489" s="94">
        <f>AK1489</f>
        <v>0</v>
      </c>
      <c r="AN1489" s="583"/>
      <c r="AO1489" s="3"/>
      <c r="AP1489" s="3"/>
      <c r="AQ1489" s="3"/>
      <c r="AR1489" s="3"/>
      <c r="AS1489" s="3"/>
      <c r="AT1489" s="3"/>
    </row>
    <row r="1490" spans="3:46" ht="12.75" x14ac:dyDescent="0.2">
      <c r="C1490" s="580"/>
      <c r="D1490" s="584" t="s">
        <v>41</v>
      </c>
      <c r="E1490" s="65" t="s">
        <v>18</v>
      </c>
      <c r="F1490" s="65"/>
      <c r="G1490" s="65"/>
      <c r="H1490" s="65"/>
      <c r="I1490" s="65"/>
      <c r="J1490" s="65"/>
      <c r="K1490" s="65"/>
      <c r="L1490" s="65"/>
      <c r="M1490" s="65"/>
      <c r="N1490" s="65"/>
      <c r="O1490" s="65"/>
      <c r="P1490" s="65"/>
      <c r="Q1490" s="65"/>
      <c r="R1490" s="65"/>
      <c r="S1490" s="65"/>
      <c r="T1490" s="65"/>
      <c r="U1490" s="65"/>
      <c r="V1490" s="65"/>
      <c r="W1490" s="65"/>
      <c r="X1490" s="65"/>
      <c r="Y1490" s="65"/>
      <c r="Z1490" s="65"/>
      <c r="AA1490" s="65"/>
      <c r="AB1490" s="65"/>
      <c r="AC1490" s="65"/>
      <c r="AD1490" s="72">
        <f>20+3.26</f>
        <v>23.259999999999998</v>
      </c>
      <c r="AE1490" s="65"/>
      <c r="AF1490" s="72">
        <v>42.87</v>
      </c>
      <c r="AG1490" s="65"/>
      <c r="AH1490" s="65"/>
      <c r="AI1490" s="65"/>
      <c r="AJ1490" s="65"/>
      <c r="AK1490" s="98">
        <f t="shared" si="237"/>
        <v>66.13</v>
      </c>
      <c r="AL1490" s="96">
        <f>AK1490</f>
        <v>66.13</v>
      </c>
      <c r="AM1490" s="97"/>
      <c r="AN1490" s="582">
        <f>SUM(AL1490:AM1491)</f>
        <v>461.13</v>
      </c>
      <c r="AO1490" s="3"/>
      <c r="AP1490" s="3"/>
      <c r="AQ1490" s="3"/>
      <c r="AR1490" s="3"/>
      <c r="AS1490" s="3"/>
      <c r="AT1490" s="3"/>
    </row>
    <row r="1491" spans="3:46" ht="12.75" x14ac:dyDescent="0.2">
      <c r="C1491" s="580"/>
      <c r="D1491" s="577"/>
      <c r="E1491" s="62" t="s">
        <v>19</v>
      </c>
      <c r="F1491" s="62"/>
      <c r="G1491" s="62"/>
      <c r="H1491" s="62"/>
      <c r="I1491" s="62"/>
      <c r="J1491" s="66">
        <f>150+80</f>
        <v>230</v>
      </c>
      <c r="K1491" s="62"/>
      <c r="L1491" s="62"/>
      <c r="M1491" s="66">
        <v>165</v>
      </c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128">
        <f t="shared" si="237"/>
        <v>395</v>
      </c>
      <c r="AL1491" s="93"/>
      <c r="AM1491" s="94">
        <f>AK1491</f>
        <v>395</v>
      </c>
      <c r="AN1491" s="583"/>
      <c r="AO1491" s="3"/>
      <c r="AP1491" s="3"/>
      <c r="AQ1491" s="3"/>
      <c r="AR1491" s="3"/>
      <c r="AS1491" s="3"/>
      <c r="AT1491" s="3"/>
    </row>
    <row r="1492" spans="3:46" ht="12.75" x14ac:dyDescent="0.2">
      <c r="C1492" s="580"/>
      <c r="D1492" s="360" t="s">
        <v>42</v>
      </c>
      <c r="E1492" s="65" t="s">
        <v>18</v>
      </c>
      <c r="F1492" s="65"/>
      <c r="G1492" s="65"/>
      <c r="H1492" s="65"/>
      <c r="I1492" s="65"/>
      <c r="J1492" s="65"/>
      <c r="K1492" s="65"/>
      <c r="L1492" s="65"/>
      <c r="M1492" s="65"/>
      <c r="N1492" s="65"/>
      <c r="O1492" s="65"/>
      <c r="P1492" s="65"/>
      <c r="Q1492" s="65"/>
      <c r="R1492" s="65"/>
      <c r="S1492" s="65"/>
      <c r="T1492" s="65"/>
      <c r="U1492" s="65"/>
      <c r="V1492" s="65"/>
      <c r="W1492" s="65"/>
      <c r="X1492" s="65"/>
      <c r="Y1492" s="65"/>
      <c r="Z1492" s="65"/>
      <c r="AA1492" s="65"/>
      <c r="AB1492" s="65"/>
      <c r="AC1492" s="65"/>
      <c r="AD1492" s="65"/>
      <c r="AE1492" s="65"/>
      <c r="AF1492" s="65"/>
      <c r="AG1492" s="65"/>
      <c r="AH1492" s="65"/>
      <c r="AI1492" s="65"/>
      <c r="AJ1492" s="65"/>
      <c r="AK1492" s="98">
        <f t="shared" si="237"/>
        <v>0</v>
      </c>
      <c r="AL1492" s="72">
        <f>AK1492</f>
        <v>0</v>
      </c>
      <c r="AM1492" s="62"/>
      <c r="AN1492" s="353">
        <f>AL1492</f>
        <v>0</v>
      </c>
      <c r="AO1492" s="3"/>
      <c r="AP1492" s="3"/>
      <c r="AQ1492" s="3"/>
      <c r="AR1492" s="3"/>
      <c r="AS1492" s="3"/>
      <c r="AT1492" s="3"/>
    </row>
    <row r="1493" spans="3:46" ht="12.75" x14ac:dyDescent="0.2">
      <c r="C1493" s="580"/>
      <c r="D1493" s="360" t="s">
        <v>43</v>
      </c>
      <c r="E1493" s="62" t="s">
        <v>19</v>
      </c>
      <c r="F1493" s="62"/>
      <c r="G1493" s="62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128">
        <f t="shared" si="237"/>
        <v>0</v>
      </c>
      <c r="AL1493" s="65"/>
      <c r="AM1493" s="66">
        <f>AK1493</f>
        <v>0</v>
      </c>
      <c r="AN1493" s="353">
        <f>AM1493</f>
        <v>0</v>
      </c>
      <c r="AO1493" s="3"/>
      <c r="AP1493" s="3"/>
      <c r="AQ1493" s="3"/>
      <c r="AR1493" s="3"/>
      <c r="AS1493" s="3"/>
      <c r="AT1493" s="3"/>
    </row>
    <row r="1494" spans="3:46" ht="12.75" x14ac:dyDescent="0.2">
      <c r="C1494" s="580"/>
      <c r="D1494" s="584" t="s">
        <v>44</v>
      </c>
      <c r="E1494" s="65" t="s">
        <v>18</v>
      </c>
      <c r="F1494" s="65"/>
      <c r="G1494" s="65"/>
      <c r="H1494" s="65"/>
      <c r="I1494" s="65"/>
      <c r="J1494" s="65"/>
      <c r="K1494" s="65"/>
      <c r="L1494" s="65"/>
      <c r="M1494" s="65"/>
      <c r="N1494" s="65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  <c r="Y1494" s="65"/>
      <c r="Z1494" s="65"/>
      <c r="AA1494" s="65"/>
      <c r="AB1494" s="65"/>
      <c r="AC1494" s="65"/>
      <c r="AD1494" s="65"/>
      <c r="AE1494" s="65"/>
      <c r="AF1494" s="65"/>
      <c r="AG1494" s="65"/>
      <c r="AH1494" s="65"/>
      <c r="AI1494" s="65"/>
      <c r="AJ1494" s="65"/>
      <c r="AK1494" s="98">
        <f t="shared" si="237"/>
        <v>0</v>
      </c>
      <c r="AL1494" s="96">
        <f>AK1494</f>
        <v>0</v>
      </c>
      <c r="AM1494" s="97"/>
      <c r="AN1494" s="582">
        <f>SUM(AL1494:AM1495)</f>
        <v>0</v>
      </c>
      <c r="AO1494" s="3"/>
      <c r="AP1494" s="3"/>
      <c r="AQ1494" s="3"/>
      <c r="AR1494" s="3"/>
      <c r="AS1494" s="3"/>
      <c r="AT1494" s="3"/>
    </row>
    <row r="1495" spans="3:46" ht="12.75" x14ac:dyDescent="0.2">
      <c r="C1495" s="581"/>
      <c r="D1495" s="585"/>
      <c r="E1495" s="62" t="s">
        <v>19</v>
      </c>
      <c r="F1495" s="284"/>
      <c r="G1495" s="284"/>
      <c r="H1495" s="284"/>
      <c r="I1495" s="284"/>
      <c r="J1495" s="284"/>
      <c r="K1495" s="284"/>
      <c r="L1495" s="284"/>
      <c r="M1495" s="284"/>
      <c r="N1495" s="284"/>
      <c r="O1495" s="284"/>
      <c r="P1495" s="284"/>
      <c r="Q1495" s="284"/>
      <c r="R1495" s="284"/>
      <c r="S1495" s="284"/>
      <c r="T1495" s="284"/>
      <c r="U1495" s="284"/>
      <c r="V1495" s="284"/>
      <c r="W1495" s="284"/>
      <c r="X1495" s="284"/>
      <c r="Y1495" s="284"/>
      <c r="Z1495" s="284"/>
      <c r="AA1495" s="284"/>
      <c r="AB1495" s="284"/>
      <c r="AC1495" s="284"/>
      <c r="AD1495" s="284"/>
      <c r="AE1495" s="284"/>
      <c r="AF1495" s="284"/>
      <c r="AG1495" s="284"/>
      <c r="AH1495" s="284"/>
      <c r="AI1495" s="284"/>
      <c r="AJ1495" s="284"/>
      <c r="AK1495" s="128">
        <f t="shared" si="237"/>
        <v>0</v>
      </c>
      <c r="AL1495" s="93"/>
      <c r="AM1495" s="94">
        <f>AK1495</f>
        <v>0</v>
      </c>
      <c r="AN1495" s="583"/>
      <c r="AO1495" s="3"/>
      <c r="AP1495" s="3"/>
      <c r="AQ1495" s="3"/>
      <c r="AR1495" s="3"/>
      <c r="AS1495" s="3"/>
      <c r="AT1495" s="3"/>
    </row>
    <row r="1496" spans="3:46" ht="12.75" x14ac:dyDescent="0.2">
      <c r="C1496" s="627" t="s">
        <v>45</v>
      </c>
      <c r="D1496" s="604" t="s">
        <v>46</v>
      </c>
      <c r="E1496" s="105" t="s">
        <v>18</v>
      </c>
      <c r="F1496" s="105"/>
      <c r="G1496" s="108">
        <v>2.29</v>
      </c>
      <c r="H1496" s="105"/>
      <c r="I1496" s="105"/>
      <c r="J1496" s="108">
        <f>0.38+5.18+2.99+0.49+1.34+0.79+3.17+4.89+4.99+4.64+2.39</f>
        <v>31.25</v>
      </c>
      <c r="K1496" s="108">
        <f>1.16+1.36+3.93</f>
        <v>6.45</v>
      </c>
      <c r="L1496" s="105"/>
      <c r="M1496" s="105"/>
      <c r="N1496" s="108">
        <v>5.57</v>
      </c>
      <c r="O1496" s="105"/>
      <c r="P1496" s="108">
        <f>26.99+1.36+3.39+1.99+2.73</f>
        <v>36.459999999999994</v>
      </c>
      <c r="Q1496" s="108">
        <f>18.73-4.97</f>
        <v>13.760000000000002</v>
      </c>
      <c r="R1496" s="105"/>
      <c r="S1496" s="108">
        <v>5.27</v>
      </c>
      <c r="T1496" s="108">
        <v>19.39</v>
      </c>
      <c r="U1496" s="105"/>
      <c r="V1496" s="105"/>
      <c r="W1496" s="108">
        <f>3.61</f>
        <v>3.61</v>
      </c>
      <c r="X1496" s="105"/>
      <c r="Y1496" s="105"/>
      <c r="Z1496" s="108">
        <v>7.26</v>
      </c>
      <c r="AA1496" s="105"/>
      <c r="AB1496" s="108">
        <f>1.55+6.47+6.53</f>
        <v>14.55</v>
      </c>
      <c r="AC1496" s="108">
        <v>16.09</v>
      </c>
      <c r="AD1496" s="108">
        <v>29.91</v>
      </c>
      <c r="AE1496" s="105"/>
      <c r="AF1496" s="108">
        <v>10.48</v>
      </c>
      <c r="AG1496" s="105"/>
      <c r="AH1496" s="105"/>
      <c r="AI1496" s="105"/>
      <c r="AJ1496" s="105"/>
      <c r="AK1496" s="98">
        <f t="shared" si="237"/>
        <v>202.34</v>
      </c>
      <c r="AL1496" s="96">
        <f>AK1496</f>
        <v>202.34</v>
      </c>
      <c r="AM1496" s="97"/>
      <c r="AN1496" s="582">
        <f>SUM(AL1496:AM1497)</f>
        <v>202.34</v>
      </c>
      <c r="AO1496" s="3"/>
      <c r="AP1496" s="3"/>
      <c r="AQ1496" s="3"/>
      <c r="AR1496" s="3"/>
      <c r="AS1496" s="3"/>
      <c r="AT1496" s="3"/>
    </row>
    <row r="1497" spans="3:46" ht="12.75" x14ac:dyDescent="0.2">
      <c r="C1497" s="580"/>
      <c r="D1497" s="577"/>
      <c r="E1497" s="62" t="s">
        <v>19</v>
      </c>
      <c r="F1497" s="62"/>
      <c r="G1497" s="62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128">
        <f t="shared" si="237"/>
        <v>0</v>
      </c>
      <c r="AL1497" s="93"/>
      <c r="AM1497" s="94">
        <f>AK1497</f>
        <v>0</v>
      </c>
      <c r="AN1497" s="583"/>
      <c r="AO1497" s="3"/>
      <c r="AP1497" s="3"/>
      <c r="AQ1497" s="3"/>
      <c r="AR1497" s="3"/>
      <c r="AS1497" s="3"/>
      <c r="AT1497" s="3"/>
    </row>
    <row r="1498" spans="3:46" ht="12.75" x14ac:dyDescent="0.2">
      <c r="C1498" s="580"/>
      <c r="D1498" s="584" t="s">
        <v>47</v>
      </c>
      <c r="E1498" s="65" t="s">
        <v>18</v>
      </c>
      <c r="F1498" s="65"/>
      <c r="G1498" s="72">
        <f>4.97+2.89+2.06-0.67</f>
        <v>9.25</v>
      </c>
      <c r="H1498" s="72">
        <v>12.33</v>
      </c>
      <c r="I1498" s="65"/>
      <c r="J1498" s="72">
        <f>4.97+2.89+5.99</f>
        <v>13.85</v>
      </c>
      <c r="K1498" s="65"/>
      <c r="L1498" s="72">
        <v>16.829999999999998</v>
      </c>
      <c r="M1498" s="72">
        <v>9.99</v>
      </c>
      <c r="N1498" s="72">
        <f>3.79+2.79</f>
        <v>6.58</v>
      </c>
      <c r="O1498" s="72">
        <v>6</v>
      </c>
      <c r="P1498" s="72">
        <f>4.97+2.89+0.79</f>
        <v>8.6499999999999986</v>
      </c>
      <c r="Q1498" s="72">
        <v>4.97</v>
      </c>
      <c r="R1498" s="65"/>
      <c r="S1498" s="72">
        <f>24.98</f>
        <v>24.98</v>
      </c>
      <c r="T1498" s="65"/>
      <c r="U1498" s="72">
        <v>23.17</v>
      </c>
      <c r="V1498" s="65"/>
      <c r="W1498" s="72">
        <f>4.97+3.89</f>
        <v>8.86</v>
      </c>
      <c r="X1498" s="72">
        <f>2+12.99</f>
        <v>14.99</v>
      </c>
      <c r="Y1498" s="65"/>
      <c r="Z1498" s="72">
        <f>2+4.97</f>
        <v>6.97</v>
      </c>
      <c r="AA1498" s="72">
        <v>2.83</v>
      </c>
      <c r="AB1498" s="72">
        <f>3.39+2.99</f>
        <v>6.3800000000000008</v>
      </c>
      <c r="AC1498" s="65"/>
      <c r="AD1498" s="65"/>
      <c r="AE1498" s="72">
        <v>4</v>
      </c>
      <c r="AF1498" s="65"/>
      <c r="AG1498" s="65"/>
      <c r="AH1498" s="65"/>
      <c r="AI1498" s="65"/>
      <c r="AJ1498" s="65"/>
      <c r="AK1498" s="98">
        <f t="shared" si="237"/>
        <v>180.63</v>
      </c>
      <c r="AL1498" s="96">
        <f>AK1498</f>
        <v>180.63</v>
      </c>
      <c r="AM1498" s="97"/>
      <c r="AN1498" s="582">
        <f>SUM(AL1498:AM1499)</f>
        <v>180.63</v>
      </c>
      <c r="AO1498" s="3"/>
      <c r="AP1498" s="3"/>
      <c r="AQ1498" s="3"/>
      <c r="AR1498" s="3"/>
      <c r="AS1498" s="3"/>
      <c r="AT1498" s="3"/>
    </row>
    <row r="1499" spans="3:46" ht="12.75" x14ac:dyDescent="0.2">
      <c r="C1499" s="580"/>
      <c r="D1499" s="577"/>
      <c r="E1499" s="62" t="s">
        <v>19</v>
      </c>
      <c r="F1499" s="62"/>
      <c r="G1499" s="62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128">
        <f t="shared" si="237"/>
        <v>0</v>
      </c>
      <c r="AL1499" s="93"/>
      <c r="AM1499" s="94">
        <f>AK1499</f>
        <v>0</v>
      </c>
      <c r="AN1499" s="583"/>
      <c r="AO1499" s="3"/>
      <c r="AP1499" s="3"/>
      <c r="AQ1499" s="3"/>
      <c r="AR1499" s="3"/>
      <c r="AS1499" s="3"/>
      <c r="AT1499" s="3"/>
    </row>
    <row r="1500" spans="3:46" ht="12.75" x14ac:dyDescent="0.2">
      <c r="C1500" s="580"/>
      <c r="D1500" s="584" t="s">
        <v>48</v>
      </c>
      <c r="E1500" s="65" t="s">
        <v>18</v>
      </c>
      <c r="F1500" s="65"/>
      <c r="G1500" s="65"/>
      <c r="H1500" s="72">
        <v>6.69</v>
      </c>
      <c r="I1500" s="72">
        <v>3.02</v>
      </c>
      <c r="J1500" s="65"/>
      <c r="K1500" s="72">
        <v>6.5</v>
      </c>
      <c r="L1500" s="72">
        <v>2.4</v>
      </c>
      <c r="M1500" s="65"/>
      <c r="N1500" s="65"/>
      <c r="O1500" s="65"/>
      <c r="P1500" s="65"/>
      <c r="Q1500" s="65"/>
      <c r="R1500" s="65"/>
      <c r="S1500" s="65"/>
      <c r="T1500" s="65"/>
      <c r="U1500" s="65"/>
      <c r="V1500" s="72">
        <v>2.69</v>
      </c>
      <c r="W1500" s="72">
        <v>5.22</v>
      </c>
      <c r="X1500" s="72">
        <v>3.69</v>
      </c>
      <c r="Y1500" s="72">
        <v>1.68</v>
      </c>
      <c r="Z1500" s="72">
        <v>4.3499999999999996</v>
      </c>
      <c r="AA1500" s="65"/>
      <c r="AB1500" s="65"/>
      <c r="AC1500" s="72">
        <v>1.93</v>
      </c>
      <c r="AD1500" s="72">
        <v>3.57</v>
      </c>
      <c r="AE1500" s="72">
        <v>4.45</v>
      </c>
      <c r="AF1500" s="72">
        <v>4.5199999999999996</v>
      </c>
      <c r="AG1500" s="72">
        <v>4.47</v>
      </c>
      <c r="AH1500" s="65"/>
      <c r="AI1500" s="65"/>
      <c r="AJ1500" s="65"/>
      <c r="AK1500" s="98">
        <f t="shared" si="237"/>
        <v>55.180000000000007</v>
      </c>
      <c r="AL1500" s="96">
        <f>AK1500</f>
        <v>55.180000000000007</v>
      </c>
      <c r="AM1500" s="97"/>
      <c r="AN1500" s="582">
        <f>SUM(AL1500:AM1501)</f>
        <v>55.180000000000007</v>
      </c>
      <c r="AO1500" s="3"/>
      <c r="AP1500" s="3"/>
      <c r="AQ1500" s="3"/>
      <c r="AR1500" s="3"/>
      <c r="AS1500" s="3"/>
      <c r="AT1500" s="3"/>
    </row>
    <row r="1501" spans="3:46" ht="12.75" x14ac:dyDescent="0.2">
      <c r="C1501" s="580"/>
      <c r="D1501" s="577"/>
      <c r="E1501" s="62" t="s">
        <v>19</v>
      </c>
      <c r="F1501" s="62"/>
      <c r="G1501" s="62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128">
        <f t="shared" si="237"/>
        <v>0</v>
      </c>
      <c r="AL1501" s="93"/>
      <c r="AM1501" s="94">
        <f>AK1501</f>
        <v>0</v>
      </c>
      <c r="AN1501" s="583"/>
      <c r="AO1501" s="3"/>
      <c r="AP1501" s="3"/>
      <c r="AQ1501" s="3"/>
      <c r="AR1501" s="3"/>
      <c r="AS1501" s="3"/>
      <c r="AT1501" s="3"/>
    </row>
    <row r="1502" spans="3:46" ht="12.75" x14ac:dyDescent="0.2">
      <c r="C1502" s="580"/>
      <c r="D1502" s="584" t="s">
        <v>49</v>
      </c>
      <c r="E1502" s="65" t="s">
        <v>18</v>
      </c>
      <c r="F1502" s="72">
        <v>3.4</v>
      </c>
      <c r="G1502" s="72">
        <v>3</v>
      </c>
      <c r="H1502" s="65"/>
      <c r="I1502" s="65"/>
      <c r="J1502" s="65"/>
      <c r="K1502" s="65"/>
      <c r="L1502" s="65"/>
      <c r="M1502" s="65"/>
      <c r="N1502" s="65"/>
      <c r="O1502" s="72">
        <v>3</v>
      </c>
      <c r="P1502" s="65"/>
      <c r="Q1502" s="72">
        <v>3</v>
      </c>
      <c r="R1502" s="65"/>
      <c r="S1502" s="72">
        <v>8</v>
      </c>
      <c r="T1502" s="65"/>
      <c r="U1502" s="65"/>
      <c r="V1502" s="65"/>
      <c r="W1502" s="65"/>
      <c r="X1502" s="65"/>
      <c r="Y1502" s="65"/>
      <c r="Z1502" s="65"/>
      <c r="AA1502" s="72">
        <v>3.4</v>
      </c>
      <c r="AB1502" s="72">
        <v>1.99</v>
      </c>
      <c r="AC1502" s="65"/>
      <c r="AD1502" s="65"/>
      <c r="AE1502" s="65"/>
      <c r="AF1502" s="72">
        <v>4</v>
      </c>
      <c r="AG1502" s="65"/>
      <c r="AH1502" s="65"/>
      <c r="AI1502" s="65"/>
      <c r="AJ1502" s="65"/>
      <c r="AK1502" s="98">
        <f t="shared" si="237"/>
        <v>29.789999999999996</v>
      </c>
      <c r="AL1502" s="96">
        <f>AK1502</f>
        <v>29.789999999999996</v>
      </c>
      <c r="AM1502" s="97"/>
      <c r="AN1502" s="582">
        <f>SUM(AL1502:AM1503)</f>
        <v>32.789999999999992</v>
      </c>
      <c r="AO1502" s="3"/>
      <c r="AP1502" s="3"/>
      <c r="AQ1502" s="3"/>
      <c r="AR1502" s="3"/>
      <c r="AS1502" s="3"/>
      <c r="AT1502" s="3"/>
    </row>
    <row r="1503" spans="3:46" ht="12.75" x14ac:dyDescent="0.2">
      <c r="C1503" s="580"/>
      <c r="D1503" s="577"/>
      <c r="E1503" s="62" t="s">
        <v>19</v>
      </c>
      <c r="F1503" s="62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6">
        <v>3</v>
      </c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128">
        <f t="shared" si="237"/>
        <v>3</v>
      </c>
      <c r="AL1503" s="93"/>
      <c r="AM1503" s="94">
        <f>AK1503</f>
        <v>3</v>
      </c>
      <c r="AN1503" s="583"/>
      <c r="AO1503" s="3"/>
      <c r="AP1503" s="3"/>
      <c r="AQ1503" s="3"/>
      <c r="AR1503" s="3"/>
      <c r="AS1503" s="3"/>
      <c r="AT1503" s="3"/>
    </row>
    <row r="1504" spans="3:46" ht="12.75" x14ac:dyDescent="0.2">
      <c r="C1504" s="580"/>
      <c r="D1504" s="584" t="s">
        <v>50</v>
      </c>
      <c r="E1504" s="65" t="s">
        <v>18</v>
      </c>
      <c r="F1504" s="65"/>
      <c r="G1504" s="72">
        <v>5.4</v>
      </c>
      <c r="H1504" s="72">
        <v>5.4</v>
      </c>
      <c r="I1504" s="72">
        <v>5.4</v>
      </c>
      <c r="J1504" s="65"/>
      <c r="K1504" s="72">
        <v>5.4</v>
      </c>
      <c r="L1504" s="72">
        <f>5.4*2</f>
        <v>10.8</v>
      </c>
      <c r="M1504" s="72">
        <f>5.4+7.5</f>
        <v>12.9</v>
      </c>
      <c r="N1504" s="72">
        <v>5.4</v>
      </c>
      <c r="O1504" s="72">
        <v>5.4</v>
      </c>
      <c r="P1504" s="72">
        <v>5.4</v>
      </c>
      <c r="Q1504" s="72">
        <v>5.4</v>
      </c>
      <c r="R1504" s="72">
        <v>5.4</v>
      </c>
      <c r="S1504" s="72">
        <v>5.4</v>
      </c>
      <c r="T1504" s="72">
        <v>5.4</v>
      </c>
      <c r="U1504" s="72">
        <v>5.4</v>
      </c>
      <c r="V1504" s="72">
        <v>5.4</v>
      </c>
      <c r="W1504" s="72">
        <v>5.4</v>
      </c>
      <c r="X1504" s="72">
        <v>5.4</v>
      </c>
      <c r="Y1504" s="72">
        <v>5.4</v>
      </c>
      <c r="Z1504" s="72">
        <f>5.7+5.4</f>
        <v>11.100000000000001</v>
      </c>
      <c r="AA1504" s="72">
        <v>5.4</v>
      </c>
      <c r="AB1504" s="72">
        <v>5.4</v>
      </c>
      <c r="AC1504" s="72">
        <v>5.4</v>
      </c>
      <c r="AD1504" s="72">
        <f>5.4*2</f>
        <v>10.8</v>
      </c>
      <c r="AE1504" s="72">
        <v>5.4</v>
      </c>
      <c r="AF1504" s="72">
        <f t="shared" ref="AF1504:AG1504" si="240">5.4*2</f>
        <v>10.8</v>
      </c>
      <c r="AG1504" s="72">
        <f t="shared" si="240"/>
        <v>10.8</v>
      </c>
      <c r="AH1504" s="65"/>
      <c r="AI1504" s="65"/>
      <c r="AJ1504" s="65"/>
      <c r="AK1504" s="98">
        <f t="shared" si="237"/>
        <v>175.2000000000001</v>
      </c>
      <c r="AL1504" s="96">
        <f>AK1504</f>
        <v>175.2000000000001</v>
      </c>
      <c r="AM1504" s="97"/>
      <c r="AN1504" s="582">
        <f>SUM(AL1504:AM1505)</f>
        <v>180.60000000000011</v>
      </c>
      <c r="AO1504" s="3"/>
      <c r="AP1504" s="3"/>
      <c r="AQ1504" s="3"/>
      <c r="AR1504" s="3"/>
      <c r="AS1504" s="3"/>
      <c r="AT1504" s="3"/>
    </row>
    <row r="1505" spans="3:46" ht="12.75" x14ac:dyDescent="0.2">
      <c r="C1505" s="580"/>
      <c r="D1505" s="577"/>
      <c r="E1505" s="62" t="s">
        <v>19</v>
      </c>
      <c r="F1505" s="62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6">
        <v>5.4</v>
      </c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128">
        <f t="shared" si="237"/>
        <v>5.4</v>
      </c>
      <c r="AL1505" s="93"/>
      <c r="AM1505" s="94">
        <f>AK1505</f>
        <v>5.4</v>
      </c>
      <c r="AN1505" s="583"/>
      <c r="AO1505" s="3"/>
      <c r="AP1505" s="3"/>
      <c r="AQ1505" s="3"/>
      <c r="AR1505" s="3"/>
      <c r="AS1505" s="3"/>
      <c r="AT1505" s="3"/>
    </row>
    <row r="1506" spans="3:46" ht="12.75" x14ac:dyDescent="0.2">
      <c r="C1506" s="580"/>
      <c r="D1506" s="584" t="s">
        <v>1</v>
      </c>
      <c r="E1506" s="65" t="s">
        <v>18</v>
      </c>
      <c r="F1506" s="65"/>
      <c r="G1506" s="65"/>
      <c r="H1506" s="65"/>
      <c r="I1506" s="65"/>
      <c r="J1506" s="65"/>
      <c r="K1506" s="72">
        <v>53.9</v>
      </c>
      <c r="L1506" s="65"/>
      <c r="M1506" s="65"/>
      <c r="N1506" s="65"/>
      <c r="O1506" s="65"/>
      <c r="P1506" s="65"/>
      <c r="Q1506" s="65"/>
      <c r="R1506" s="65"/>
      <c r="S1506" s="65"/>
      <c r="T1506" s="65"/>
      <c r="U1506" s="65"/>
      <c r="V1506" s="65"/>
      <c r="W1506" s="65"/>
      <c r="X1506" s="65"/>
      <c r="Y1506" s="65"/>
      <c r="Z1506" s="65"/>
      <c r="AA1506" s="72">
        <f>13.22-2.83</f>
        <v>10.39</v>
      </c>
      <c r="AB1506" s="65"/>
      <c r="AC1506" s="65"/>
      <c r="AD1506" s="65"/>
      <c r="AE1506" s="65"/>
      <c r="AF1506" s="65"/>
      <c r="AG1506" s="65"/>
      <c r="AH1506" s="65"/>
      <c r="AI1506" s="65"/>
      <c r="AJ1506" s="65"/>
      <c r="AK1506" s="98">
        <f t="shared" si="237"/>
        <v>64.289999999999992</v>
      </c>
      <c r="AL1506" s="89">
        <f>AK1506</f>
        <v>64.289999999999992</v>
      </c>
      <c r="AM1506" s="62"/>
      <c r="AN1506" s="582">
        <f>SUM(AL1506:AM1507)</f>
        <v>64.289999999999992</v>
      </c>
      <c r="AO1506" s="3"/>
      <c r="AP1506" s="3"/>
      <c r="AQ1506" s="3"/>
      <c r="AR1506" s="3"/>
      <c r="AS1506" s="3"/>
      <c r="AT1506" s="3"/>
    </row>
    <row r="1507" spans="3:46" ht="12.75" x14ac:dyDescent="0.2">
      <c r="C1507" s="580"/>
      <c r="D1507" s="577"/>
      <c r="E1507" s="62" t="s">
        <v>19</v>
      </c>
      <c r="F1507" s="62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128">
        <f t="shared" si="237"/>
        <v>0</v>
      </c>
      <c r="AL1507" s="114"/>
      <c r="AM1507" s="66">
        <f>AK1507</f>
        <v>0</v>
      </c>
      <c r="AN1507" s="583"/>
      <c r="AO1507" s="3"/>
      <c r="AP1507" s="3"/>
      <c r="AQ1507" s="3"/>
      <c r="AR1507" s="3"/>
      <c r="AS1507" s="3"/>
      <c r="AT1507" s="3"/>
    </row>
    <row r="1508" spans="3:46" ht="12.75" x14ac:dyDescent="0.2">
      <c r="C1508" s="580"/>
      <c r="D1508" s="584" t="s">
        <v>97</v>
      </c>
      <c r="E1508" s="65" t="s">
        <v>18</v>
      </c>
      <c r="F1508" s="65"/>
      <c r="G1508" s="65"/>
      <c r="H1508" s="65"/>
      <c r="I1508" s="65"/>
      <c r="J1508" s="65"/>
      <c r="K1508" s="65"/>
      <c r="L1508" s="65"/>
      <c r="M1508" s="65"/>
      <c r="N1508" s="65"/>
      <c r="O1508" s="65"/>
      <c r="P1508" s="65"/>
      <c r="Q1508" s="65"/>
      <c r="R1508" s="65"/>
      <c r="S1508" s="65"/>
      <c r="T1508" s="65"/>
      <c r="U1508" s="65"/>
      <c r="V1508" s="65"/>
      <c r="W1508" s="65"/>
      <c r="X1508" s="65"/>
      <c r="Y1508" s="65"/>
      <c r="Z1508" s="65"/>
      <c r="AA1508" s="65"/>
      <c r="AB1508" s="65"/>
      <c r="AC1508" s="65"/>
      <c r="AD1508" s="65"/>
      <c r="AE1508" s="65"/>
      <c r="AF1508" s="65"/>
      <c r="AG1508" s="65"/>
      <c r="AH1508" s="65"/>
      <c r="AI1508" s="65"/>
      <c r="AJ1508" s="65"/>
      <c r="AK1508" s="98">
        <f t="shared" si="237"/>
        <v>0</v>
      </c>
      <c r="AL1508" s="96">
        <f>AK1508</f>
        <v>0</v>
      </c>
      <c r="AM1508" s="97"/>
      <c r="AN1508" s="586">
        <f>SUM(AL1508:AM1509)</f>
        <v>0</v>
      </c>
      <c r="AO1508" s="3"/>
      <c r="AP1508" s="3"/>
      <c r="AQ1508" s="3"/>
      <c r="AR1508" s="3"/>
      <c r="AS1508" s="3"/>
      <c r="AT1508" s="3"/>
    </row>
    <row r="1509" spans="3:46" ht="12.75" x14ac:dyDescent="0.2">
      <c r="C1509" s="580"/>
      <c r="D1509" s="577"/>
      <c r="E1509" s="62" t="s">
        <v>19</v>
      </c>
      <c r="F1509" s="62"/>
      <c r="G1509" s="62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128">
        <f t="shared" si="237"/>
        <v>0</v>
      </c>
      <c r="AL1509" s="93"/>
      <c r="AM1509" s="94">
        <f>AK1509</f>
        <v>0</v>
      </c>
      <c r="AN1509" s="583"/>
      <c r="AO1509" s="3"/>
      <c r="AP1509" s="3"/>
      <c r="AQ1509" s="3"/>
      <c r="AR1509" s="3"/>
      <c r="AS1509" s="3"/>
      <c r="AT1509" s="3"/>
    </row>
    <row r="1510" spans="3:46" ht="12.75" x14ac:dyDescent="0.2">
      <c r="C1510" s="580"/>
      <c r="D1510" s="584" t="s">
        <v>52</v>
      </c>
      <c r="E1510" s="65" t="s">
        <v>18</v>
      </c>
      <c r="F1510" s="65"/>
      <c r="G1510" s="65"/>
      <c r="H1510" s="65"/>
      <c r="I1510" s="65"/>
      <c r="J1510" s="65"/>
      <c r="K1510" s="65"/>
      <c r="L1510" s="65"/>
      <c r="M1510" s="65"/>
      <c r="N1510" s="65"/>
      <c r="O1510" s="65"/>
      <c r="P1510" s="65"/>
      <c r="Q1510" s="65"/>
      <c r="R1510" s="65"/>
      <c r="S1510" s="65"/>
      <c r="T1510" s="65"/>
      <c r="U1510" s="65"/>
      <c r="V1510" s="65"/>
      <c r="W1510" s="65"/>
      <c r="X1510" s="65"/>
      <c r="Y1510" s="65"/>
      <c r="Z1510" s="65"/>
      <c r="AA1510" s="65"/>
      <c r="AB1510" s="65"/>
      <c r="AC1510" s="65"/>
      <c r="AD1510" s="65"/>
      <c r="AE1510" s="65"/>
      <c r="AF1510" s="65"/>
      <c r="AG1510" s="65"/>
      <c r="AH1510" s="65"/>
      <c r="AI1510" s="65"/>
      <c r="AJ1510" s="68"/>
      <c r="AK1510" s="98">
        <f t="shared" si="237"/>
        <v>0</v>
      </c>
      <c r="AL1510" s="96">
        <f>AK1510</f>
        <v>0</v>
      </c>
      <c r="AM1510" s="97"/>
      <c r="AN1510" s="582">
        <f>SUM(AL1510:AM1511)</f>
        <v>0</v>
      </c>
      <c r="AO1510" s="3"/>
      <c r="AP1510" s="3"/>
      <c r="AQ1510" s="3"/>
      <c r="AR1510" s="3"/>
      <c r="AS1510" s="3"/>
      <c r="AT1510" s="3"/>
    </row>
    <row r="1511" spans="3:46" ht="12.75" x14ac:dyDescent="0.2">
      <c r="C1511" s="581"/>
      <c r="D1511" s="585"/>
      <c r="E1511" s="62" t="s">
        <v>19</v>
      </c>
      <c r="F1511" s="62"/>
      <c r="G1511" s="62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1"/>
      <c r="AK1511" s="128">
        <f t="shared" si="237"/>
        <v>0</v>
      </c>
      <c r="AL1511" s="93"/>
      <c r="AM1511" s="94">
        <f>AK1511</f>
        <v>0</v>
      </c>
      <c r="AN1511" s="583"/>
      <c r="AO1511" s="3"/>
      <c r="AP1511" s="3"/>
      <c r="AQ1511" s="3"/>
      <c r="AR1511" s="3"/>
      <c r="AS1511" s="3"/>
      <c r="AT1511" s="3"/>
    </row>
    <row r="1512" spans="3:46" ht="12.75" x14ac:dyDescent="0.2">
      <c r="C1512" s="627" t="s">
        <v>53</v>
      </c>
      <c r="D1512" s="361" t="s">
        <v>54</v>
      </c>
      <c r="E1512" s="105" t="s">
        <v>18</v>
      </c>
      <c r="F1512" s="105"/>
      <c r="G1512" s="105"/>
      <c r="H1512" s="105"/>
      <c r="I1512" s="105"/>
      <c r="J1512" s="105"/>
      <c r="K1512" s="105"/>
      <c r="L1512" s="105"/>
      <c r="M1512" s="105"/>
      <c r="N1512" s="105"/>
      <c r="O1512" s="105"/>
      <c r="P1512" s="105"/>
      <c r="Q1512" s="105"/>
      <c r="R1512" s="105"/>
      <c r="S1512" s="105"/>
      <c r="T1512" s="105"/>
      <c r="U1512" s="105"/>
      <c r="V1512" s="105"/>
      <c r="W1512" s="105"/>
      <c r="X1512" s="105"/>
      <c r="Y1512" s="105"/>
      <c r="Z1512" s="105"/>
      <c r="AA1512" s="105"/>
      <c r="AB1512" s="105"/>
      <c r="AC1512" s="105"/>
      <c r="AD1512" s="105"/>
      <c r="AE1512" s="105"/>
      <c r="AF1512" s="105"/>
      <c r="AG1512" s="105"/>
      <c r="AH1512" s="105"/>
      <c r="AI1512" s="105"/>
      <c r="AJ1512" s="103"/>
      <c r="AK1512" s="98">
        <f t="shared" si="237"/>
        <v>0</v>
      </c>
      <c r="AL1512" s="72">
        <f t="shared" ref="AL1512:AL1514" si="241">AK1512</f>
        <v>0</v>
      </c>
      <c r="AM1512" s="62"/>
      <c r="AN1512" s="353">
        <f t="shared" ref="AN1512:AN1513" si="242">AL1512</f>
        <v>0</v>
      </c>
      <c r="AO1512" s="3"/>
      <c r="AP1512" s="3"/>
      <c r="AQ1512" s="3"/>
      <c r="AR1512" s="3"/>
      <c r="AS1512" s="3"/>
      <c r="AT1512" s="3"/>
    </row>
    <row r="1513" spans="3:46" ht="12.75" x14ac:dyDescent="0.2">
      <c r="C1513" s="580"/>
      <c r="D1513" s="360" t="s">
        <v>55</v>
      </c>
      <c r="E1513" s="65" t="s">
        <v>18</v>
      </c>
      <c r="F1513" s="65"/>
      <c r="G1513" s="65"/>
      <c r="H1513" s="65"/>
      <c r="I1513" s="65"/>
      <c r="J1513" s="65"/>
      <c r="K1513" s="65"/>
      <c r="L1513" s="65"/>
      <c r="M1513" s="65"/>
      <c r="N1513" s="65"/>
      <c r="O1513" s="65"/>
      <c r="P1513" s="65"/>
      <c r="Q1513" s="65"/>
      <c r="R1513" s="65"/>
      <c r="S1513" s="65"/>
      <c r="T1513" s="65"/>
      <c r="U1513" s="72">
        <v>4.78</v>
      </c>
      <c r="V1513" s="72">
        <v>4.0199999999999996</v>
      </c>
      <c r="W1513" s="65"/>
      <c r="X1513" s="65"/>
      <c r="Y1513" s="72">
        <f>37.24+4.99</f>
        <v>42.230000000000004</v>
      </c>
      <c r="Z1513" s="65"/>
      <c r="AA1513" s="65"/>
      <c r="AB1513" s="72">
        <v>33.909999999999997</v>
      </c>
      <c r="AC1513" s="72">
        <f>22.15+4.88</f>
        <v>27.029999999999998</v>
      </c>
      <c r="AD1513" s="65"/>
      <c r="AE1513" s="65"/>
      <c r="AF1513" s="65"/>
      <c r="AG1513" s="65"/>
      <c r="AH1513" s="65"/>
      <c r="AI1513" s="65"/>
      <c r="AJ1513" s="68"/>
      <c r="AK1513" s="98">
        <f t="shared" si="237"/>
        <v>111.97</v>
      </c>
      <c r="AL1513" s="72">
        <f t="shared" si="241"/>
        <v>111.97</v>
      </c>
      <c r="AM1513" s="62"/>
      <c r="AN1513" s="353">
        <f t="shared" si="242"/>
        <v>111.97</v>
      </c>
      <c r="AO1513" s="3"/>
      <c r="AP1513" s="3"/>
      <c r="AQ1513" s="3"/>
      <c r="AR1513" s="3"/>
      <c r="AS1513" s="3"/>
      <c r="AT1513" s="3"/>
    </row>
    <row r="1514" spans="3:46" ht="12.75" x14ac:dyDescent="0.2">
      <c r="C1514" s="580"/>
      <c r="D1514" s="584" t="s">
        <v>56</v>
      </c>
      <c r="E1514" s="65" t="s">
        <v>18</v>
      </c>
      <c r="F1514" s="65"/>
      <c r="G1514" s="65"/>
      <c r="H1514" s="65"/>
      <c r="I1514" s="65"/>
      <c r="J1514" s="65"/>
      <c r="K1514" s="65"/>
      <c r="L1514" s="65"/>
      <c r="M1514" s="65"/>
      <c r="N1514" s="65"/>
      <c r="O1514" s="65"/>
      <c r="P1514" s="65"/>
      <c r="Q1514" s="65"/>
      <c r="R1514" s="65"/>
      <c r="S1514" s="65"/>
      <c r="T1514" s="65"/>
      <c r="U1514" s="65"/>
      <c r="V1514" s="65"/>
      <c r="W1514" s="65"/>
      <c r="X1514" s="65"/>
      <c r="Y1514" s="65"/>
      <c r="Z1514" s="65"/>
      <c r="AA1514" s="65"/>
      <c r="AB1514" s="65"/>
      <c r="AC1514" s="65"/>
      <c r="AD1514" s="65"/>
      <c r="AE1514" s="65"/>
      <c r="AF1514" s="65"/>
      <c r="AG1514" s="65"/>
      <c r="AH1514" s="65"/>
      <c r="AI1514" s="65"/>
      <c r="AJ1514" s="68"/>
      <c r="AK1514" s="98">
        <f t="shared" si="237"/>
        <v>0</v>
      </c>
      <c r="AL1514" s="96">
        <f t="shared" si="241"/>
        <v>0</v>
      </c>
      <c r="AM1514" s="97"/>
      <c r="AN1514" s="582">
        <f>SUM(AL1514:AM1515)</f>
        <v>0</v>
      </c>
      <c r="AO1514" s="3"/>
      <c r="AP1514" s="3"/>
      <c r="AQ1514" s="3"/>
      <c r="AR1514" s="3"/>
      <c r="AS1514" s="3"/>
      <c r="AT1514" s="3"/>
    </row>
    <row r="1515" spans="3:46" ht="12.75" x14ac:dyDescent="0.2">
      <c r="C1515" s="580"/>
      <c r="D1515" s="577"/>
      <c r="E1515" s="62" t="s">
        <v>19</v>
      </c>
      <c r="F1515" s="62"/>
      <c r="G1515" s="62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1"/>
      <c r="AK1515" s="128">
        <f t="shared" si="237"/>
        <v>0</v>
      </c>
      <c r="AL1515" s="93"/>
      <c r="AM1515" s="94">
        <f>AK1515</f>
        <v>0</v>
      </c>
      <c r="AN1515" s="583"/>
      <c r="AO1515" s="3"/>
      <c r="AP1515" s="3"/>
      <c r="AQ1515" s="3"/>
      <c r="AR1515" s="3"/>
      <c r="AS1515" s="3"/>
      <c r="AT1515" s="3"/>
    </row>
    <row r="1516" spans="3:46" ht="12.75" x14ac:dyDescent="0.2">
      <c r="C1516" s="580"/>
      <c r="D1516" s="584" t="s">
        <v>57</v>
      </c>
      <c r="E1516" s="65" t="s">
        <v>18</v>
      </c>
      <c r="F1516" s="65"/>
      <c r="G1516" s="65"/>
      <c r="H1516" s="65"/>
      <c r="I1516" s="65"/>
      <c r="J1516" s="65"/>
      <c r="K1516" s="65"/>
      <c r="L1516" s="65"/>
      <c r="M1516" s="65"/>
      <c r="N1516" s="65"/>
      <c r="O1516" s="65"/>
      <c r="P1516" s="65"/>
      <c r="Q1516" s="65"/>
      <c r="R1516" s="65"/>
      <c r="S1516" s="65"/>
      <c r="T1516" s="65"/>
      <c r="U1516" s="65"/>
      <c r="V1516" s="65"/>
      <c r="W1516" s="65"/>
      <c r="X1516" s="65"/>
      <c r="Y1516" s="65"/>
      <c r="Z1516" s="65"/>
      <c r="AA1516" s="65"/>
      <c r="AB1516" s="65"/>
      <c r="AC1516" s="72">
        <v>10.09</v>
      </c>
      <c r="AD1516" s="65"/>
      <c r="AE1516" s="65"/>
      <c r="AF1516" s="65"/>
      <c r="AG1516" s="65"/>
      <c r="AH1516" s="65"/>
      <c r="AI1516" s="65"/>
      <c r="AJ1516" s="68"/>
      <c r="AK1516" s="98">
        <f t="shared" si="237"/>
        <v>10.09</v>
      </c>
      <c r="AL1516" s="96">
        <f>AK1516</f>
        <v>10.09</v>
      </c>
      <c r="AM1516" s="97"/>
      <c r="AN1516" s="582">
        <f>SUM(AL1516:AM1517)</f>
        <v>10.09</v>
      </c>
      <c r="AO1516" s="3"/>
      <c r="AP1516" s="3"/>
      <c r="AQ1516" s="3"/>
      <c r="AR1516" s="3"/>
      <c r="AS1516" s="3"/>
      <c r="AT1516" s="3"/>
    </row>
    <row r="1517" spans="3:46" ht="12.75" x14ac:dyDescent="0.2">
      <c r="C1517" s="581"/>
      <c r="D1517" s="585"/>
      <c r="E1517" s="284" t="s">
        <v>19</v>
      </c>
      <c r="F1517" s="284"/>
      <c r="G1517" s="284"/>
      <c r="H1517" s="284"/>
      <c r="I1517" s="284"/>
      <c r="J1517" s="284"/>
      <c r="K1517" s="284"/>
      <c r="L1517" s="284"/>
      <c r="M1517" s="284"/>
      <c r="N1517" s="284"/>
      <c r="O1517" s="284"/>
      <c r="P1517" s="284"/>
      <c r="Q1517" s="284"/>
      <c r="R1517" s="284"/>
      <c r="S1517" s="284"/>
      <c r="T1517" s="284"/>
      <c r="U1517" s="284"/>
      <c r="V1517" s="284"/>
      <c r="W1517" s="284"/>
      <c r="X1517" s="284"/>
      <c r="Y1517" s="284"/>
      <c r="Z1517" s="284"/>
      <c r="AA1517" s="284"/>
      <c r="AB1517" s="284"/>
      <c r="AC1517" s="284"/>
      <c r="AD1517" s="284"/>
      <c r="AE1517" s="284"/>
      <c r="AF1517" s="284"/>
      <c r="AG1517" s="284"/>
      <c r="AH1517" s="284"/>
      <c r="AI1517" s="284"/>
      <c r="AJ1517" s="100"/>
      <c r="AK1517" s="128">
        <f t="shared" si="237"/>
        <v>0</v>
      </c>
      <c r="AL1517" s="93"/>
      <c r="AM1517" s="94">
        <f>AK1517</f>
        <v>0</v>
      </c>
      <c r="AN1517" s="583"/>
      <c r="AO1517" s="3"/>
      <c r="AP1517" s="3"/>
      <c r="AQ1517" s="3"/>
      <c r="AR1517" s="3"/>
      <c r="AS1517" s="3"/>
      <c r="AT1517" s="3"/>
    </row>
    <row r="1518" spans="3:46" ht="12.75" x14ac:dyDescent="0.2">
      <c r="C1518" s="627" t="s">
        <v>58</v>
      </c>
      <c r="D1518" s="604" t="s">
        <v>59</v>
      </c>
      <c r="E1518" s="105" t="s">
        <v>18</v>
      </c>
      <c r="F1518" s="105"/>
      <c r="G1518" s="105"/>
      <c r="H1518" s="105"/>
      <c r="I1518" s="105"/>
      <c r="J1518" s="105"/>
      <c r="K1518" s="105"/>
      <c r="L1518" s="105"/>
      <c r="M1518" s="105"/>
      <c r="N1518" s="105"/>
      <c r="O1518" s="105"/>
      <c r="P1518" s="105"/>
      <c r="Q1518" s="105"/>
      <c r="R1518" s="105"/>
      <c r="S1518" s="108">
        <f>25+6.91</f>
        <v>31.91</v>
      </c>
      <c r="T1518" s="105"/>
      <c r="U1518" s="105"/>
      <c r="V1518" s="105"/>
      <c r="W1518" s="105"/>
      <c r="X1518" s="105"/>
      <c r="Y1518" s="105"/>
      <c r="Z1518" s="105"/>
      <c r="AA1518" s="105"/>
      <c r="AB1518" s="105"/>
      <c r="AC1518" s="105"/>
      <c r="AD1518" s="105"/>
      <c r="AE1518" s="105"/>
      <c r="AF1518" s="105"/>
      <c r="AG1518" s="105"/>
      <c r="AH1518" s="105"/>
      <c r="AI1518" s="105"/>
      <c r="AJ1518" s="103"/>
      <c r="AK1518" s="98">
        <f t="shared" si="237"/>
        <v>31.91</v>
      </c>
      <c r="AL1518" s="96">
        <f>AK1518</f>
        <v>31.91</v>
      </c>
      <c r="AM1518" s="97"/>
      <c r="AN1518" s="582">
        <f>SUM(AL1518:AM1519)</f>
        <v>71.91</v>
      </c>
      <c r="AO1518" s="3"/>
      <c r="AP1518" s="3"/>
      <c r="AQ1518" s="3"/>
      <c r="AR1518" s="3"/>
      <c r="AS1518" s="3"/>
      <c r="AT1518" s="3"/>
    </row>
    <row r="1519" spans="3:46" ht="12.75" x14ac:dyDescent="0.2">
      <c r="C1519" s="580"/>
      <c r="D1519" s="577"/>
      <c r="E1519" s="62" t="s">
        <v>19</v>
      </c>
      <c r="F1519" s="62"/>
      <c r="G1519" s="62"/>
      <c r="H1519" s="62"/>
      <c r="I1519" s="62"/>
      <c r="J1519" s="62"/>
      <c r="K1519" s="66">
        <v>25</v>
      </c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6">
        <v>15</v>
      </c>
      <c r="AD1519" s="62"/>
      <c r="AE1519" s="62"/>
      <c r="AF1519" s="62"/>
      <c r="AG1519" s="62"/>
      <c r="AH1519" s="62"/>
      <c r="AI1519" s="62"/>
      <c r="AJ1519" s="61"/>
      <c r="AK1519" s="128">
        <f t="shared" si="237"/>
        <v>40</v>
      </c>
      <c r="AL1519" s="93"/>
      <c r="AM1519" s="94">
        <f>AK1519</f>
        <v>40</v>
      </c>
      <c r="AN1519" s="583"/>
      <c r="AO1519" s="3"/>
      <c r="AP1519" s="3"/>
      <c r="AQ1519" s="3"/>
      <c r="AR1519" s="3"/>
      <c r="AS1519" s="3"/>
      <c r="AT1519" s="3"/>
    </row>
    <row r="1520" spans="3:46" ht="12.75" x14ac:dyDescent="0.2">
      <c r="C1520" s="580"/>
      <c r="D1520" s="584" t="s">
        <v>60</v>
      </c>
      <c r="E1520" s="65" t="s">
        <v>18</v>
      </c>
      <c r="F1520" s="65"/>
      <c r="G1520" s="65"/>
      <c r="H1520" s="65"/>
      <c r="I1520" s="65"/>
      <c r="J1520" s="65"/>
      <c r="K1520" s="72">
        <f>3.79+(1.99*3)+5.98</f>
        <v>15.74</v>
      </c>
      <c r="L1520" s="72">
        <f>28.17-2.4</f>
        <v>25.770000000000003</v>
      </c>
      <c r="M1520" s="65"/>
      <c r="N1520" s="65"/>
      <c r="O1520" s="65"/>
      <c r="P1520" s="65"/>
      <c r="Q1520" s="65"/>
      <c r="R1520" s="65"/>
      <c r="S1520" s="65"/>
      <c r="T1520" s="65"/>
      <c r="U1520" s="65"/>
      <c r="V1520" s="65"/>
      <c r="W1520" s="65"/>
      <c r="X1520" s="65"/>
      <c r="Y1520" s="65"/>
      <c r="Z1520" s="65"/>
      <c r="AA1520" s="65"/>
      <c r="AB1520" s="65"/>
      <c r="AC1520" s="65"/>
      <c r="AD1520" s="65"/>
      <c r="AE1520" s="65"/>
      <c r="AF1520" s="72">
        <f>3.5+1.99</f>
        <v>5.49</v>
      </c>
      <c r="AG1520" s="65"/>
      <c r="AH1520" s="72">
        <v>18.55</v>
      </c>
      <c r="AI1520" s="65"/>
      <c r="AJ1520" s="68"/>
      <c r="AK1520" s="98">
        <f t="shared" si="237"/>
        <v>65.550000000000011</v>
      </c>
      <c r="AL1520" s="89">
        <f>AK1520</f>
        <v>65.550000000000011</v>
      </c>
      <c r="AM1520" s="62"/>
      <c r="AN1520" s="582">
        <f>SUM(AL1520:AM1521)</f>
        <v>85.550000000000011</v>
      </c>
      <c r="AO1520" s="3"/>
      <c r="AP1520" s="3"/>
      <c r="AQ1520" s="3"/>
      <c r="AR1520" s="3"/>
      <c r="AS1520" s="3"/>
      <c r="AT1520" s="3"/>
    </row>
    <row r="1521" spans="3:46" ht="12.75" x14ac:dyDescent="0.2">
      <c r="C1521" s="580"/>
      <c r="D1521" s="577"/>
      <c r="E1521" s="62" t="s">
        <v>19</v>
      </c>
      <c r="F1521" s="62"/>
      <c r="G1521" s="62"/>
      <c r="H1521" s="62"/>
      <c r="I1521" s="62"/>
      <c r="J1521" s="62"/>
      <c r="K1521" s="66">
        <v>20</v>
      </c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1"/>
      <c r="AK1521" s="128">
        <f t="shared" si="237"/>
        <v>20</v>
      </c>
      <c r="AL1521" s="114"/>
      <c r="AM1521" s="66">
        <f>AK1521</f>
        <v>20</v>
      </c>
      <c r="AN1521" s="583"/>
      <c r="AO1521" s="3"/>
      <c r="AP1521" s="3"/>
      <c r="AQ1521" s="3"/>
      <c r="AR1521" s="3"/>
      <c r="AS1521" s="3"/>
      <c r="AT1521" s="3"/>
    </row>
    <row r="1522" spans="3:46" ht="12.75" x14ac:dyDescent="0.2">
      <c r="C1522" s="580"/>
      <c r="D1522" s="584" t="s">
        <v>61</v>
      </c>
      <c r="E1522" s="65" t="s">
        <v>18</v>
      </c>
      <c r="F1522" s="65"/>
      <c r="G1522" s="65"/>
      <c r="H1522" s="65"/>
      <c r="I1522" s="65"/>
      <c r="J1522" s="65"/>
      <c r="K1522" s="65"/>
      <c r="L1522" s="65"/>
      <c r="M1522" s="65"/>
      <c r="N1522" s="65"/>
      <c r="O1522" s="65"/>
      <c r="P1522" s="65"/>
      <c r="Q1522" s="65"/>
      <c r="R1522" s="65"/>
      <c r="S1522" s="65"/>
      <c r="T1522" s="65"/>
      <c r="U1522" s="65"/>
      <c r="V1522" s="65"/>
      <c r="W1522" s="65"/>
      <c r="X1522" s="65"/>
      <c r="Y1522" s="65"/>
      <c r="Z1522" s="65"/>
      <c r="AA1522" s="65"/>
      <c r="AB1522" s="65"/>
      <c r="AC1522" s="65"/>
      <c r="AD1522" s="65"/>
      <c r="AE1522" s="65"/>
      <c r="AF1522" s="65"/>
      <c r="AG1522" s="65"/>
      <c r="AH1522" s="65"/>
      <c r="AI1522" s="65"/>
      <c r="AJ1522" s="68"/>
      <c r="AK1522" s="98">
        <f t="shared" si="237"/>
        <v>0</v>
      </c>
      <c r="AL1522" s="96">
        <f>AK1522</f>
        <v>0</v>
      </c>
      <c r="AM1522" s="97"/>
      <c r="AN1522" s="582">
        <f>SUM(AL1522:AM1523)</f>
        <v>0</v>
      </c>
      <c r="AO1522" s="3"/>
      <c r="AP1522" s="3"/>
      <c r="AQ1522" s="3"/>
      <c r="AR1522" s="3"/>
      <c r="AS1522" s="3"/>
      <c r="AT1522" s="3"/>
    </row>
    <row r="1523" spans="3:46" ht="12.75" x14ac:dyDescent="0.2">
      <c r="C1523" s="581"/>
      <c r="D1523" s="585"/>
      <c r="E1523" s="284" t="s">
        <v>19</v>
      </c>
      <c r="F1523" s="284"/>
      <c r="G1523" s="284"/>
      <c r="H1523" s="284"/>
      <c r="I1523" s="284"/>
      <c r="J1523" s="284"/>
      <c r="K1523" s="284"/>
      <c r="L1523" s="284"/>
      <c r="M1523" s="284"/>
      <c r="N1523" s="284"/>
      <c r="O1523" s="284"/>
      <c r="P1523" s="284"/>
      <c r="Q1523" s="284"/>
      <c r="R1523" s="284"/>
      <c r="S1523" s="284"/>
      <c r="T1523" s="284"/>
      <c r="U1523" s="284"/>
      <c r="V1523" s="284"/>
      <c r="W1523" s="284"/>
      <c r="X1523" s="284"/>
      <c r="Y1523" s="284"/>
      <c r="Z1523" s="284"/>
      <c r="AA1523" s="284"/>
      <c r="AB1523" s="284"/>
      <c r="AC1523" s="284"/>
      <c r="AD1523" s="284"/>
      <c r="AE1523" s="284"/>
      <c r="AF1523" s="284"/>
      <c r="AG1523" s="284"/>
      <c r="AH1523" s="284"/>
      <c r="AI1523" s="284"/>
      <c r="AJ1523" s="100"/>
      <c r="AK1523" s="128">
        <f t="shared" si="237"/>
        <v>0</v>
      </c>
      <c r="AL1523" s="93"/>
      <c r="AM1523" s="94">
        <f>AK1523</f>
        <v>0</v>
      </c>
      <c r="AN1523" s="583"/>
      <c r="AO1523" s="3"/>
      <c r="AP1523" s="3"/>
      <c r="AQ1523" s="3"/>
      <c r="AR1523" s="3"/>
      <c r="AS1523" s="3"/>
      <c r="AT1523" s="3"/>
    </row>
    <row r="1524" spans="3:46" ht="12.75" x14ac:dyDescent="0.2">
      <c r="C1524" s="627" t="s">
        <v>63</v>
      </c>
      <c r="D1524" s="604" t="s">
        <v>75</v>
      </c>
      <c r="E1524" s="105" t="s">
        <v>18</v>
      </c>
      <c r="F1524" s="105"/>
      <c r="G1524" s="105"/>
      <c r="H1524" s="105"/>
      <c r="I1524" s="105"/>
      <c r="J1524" s="105"/>
      <c r="K1524" s="105"/>
      <c r="L1524" s="105"/>
      <c r="M1524" s="105"/>
      <c r="N1524" s="105"/>
      <c r="O1524" s="105"/>
      <c r="P1524" s="105"/>
      <c r="Q1524" s="105"/>
      <c r="R1524" s="105"/>
      <c r="S1524" s="105"/>
      <c r="T1524" s="105"/>
      <c r="U1524" s="105"/>
      <c r="V1524" s="105"/>
      <c r="W1524" s="105"/>
      <c r="X1524" s="105"/>
      <c r="Y1524" s="105"/>
      <c r="Z1524" s="105"/>
      <c r="AA1524" s="105"/>
      <c r="AB1524" s="105"/>
      <c r="AC1524" s="105"/>
      <c r="AD1524" s="105"/>
      <c r="AE1524" s="105"/>
      <c r="AF1524" s="105"/>
      <c r="AG1524" s="105"/>
      <c r="AH1524" s="105"/>
      <c r="AI1524" s="105"/>
      <c r="AJ1524" s="103"/>
      <c r="AK1524" s="98">
        <f t="shared" si="237"/>
        <v>0</v>
      </c>
      <c r="AL1524" s="108">
        <f>AK1524</f>
        <v>0</v>
      </c>
      <c r="AM1524" s="97"/>
      <c r="AN1524" s="582">
        <f>SUM(AL1524:AM1525)</f>
        <v>0</v>
      </c>
      <c r="AO1524" s="3"/>
      <c r="AP1524" s="3"/>
      <c r="AQ1524" s="3"/>
      <c r="AR1524" s="3"/>
      <c r="AS1524" s="3"/>
      <c r="AT1524" s="3"/>
    </row>
    <row r="1525" spans="3:46" ht="12.75" x14ac:dyDescent="0.2">
      <c r="C1525" s="580"/>
      <c r="D1525" s="577"/>
      <c r="E1525" s="62" t="s">
        <v>19</v>
      </c>
      <c r="F1525" s="62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1"/>
      <c r="AK1525" s="128">
        <f t="shared" si="237"/>
        <v>0</v>
      </c>
      <c r="AL1525" s="93"/>
      <c r="AM1525" s="94">
        <f>AK1525</f>
        <v>0</v>
      </c>
      <c r="AN1525" s="583"/>
      <c r="AO1525" s="3"/>
      <c r="AP1525" s="3"/>
      <c r="AQ1525" s="3"/>
      <c r="AR1525" s="3"/>
      <c r="AS1525" s="3"/>
      <c r="AT1525" s="3"/>
    </row>
    <row r="1526" spans="3:46" ht="12.75" x14ac:dyDescent="0.2">
      <c r="C1526" s="580"/>
      <c r="D1526" s="584" t="s">
        <v>65</v>
      </c>
      <c r="E1526" s="65" t="s">
        <v>18</v>
      </c>
      <c r="F1526" s="65"/>
      <c r="G1526" s="65"/>
      <c r="H1526" s="65"/>
      <c r="I1526" s="65"/>
      <c r="J1526" s="65"/>
      <c r="K1526" s="65"/>
      <c r="L1526" s="65"/>
      <c r="M1526" s="65"/>
      <c r="N1526" s="65"/>
      <c r="O1526" s="65"/>
      <c r="P1526" s="65"/>
      <c r="Q1526" s="65"/>
      <c r="R1526" s="65"/>
      <c r="S1526" s="65"/>
      <c r="T1526" s="65"/>
      <c r="U1526" s="65"/>
      <c r="V1526" s="65"/>
      <c r="W1526" s="65"/>
      <c r="X1526" s="65"/>
      <c r="Y1526" s="65"/>
      <c r="Z1526" s="65"/>
      <c r="AA1526" s="65"/>
      <c r="AB1526" s="65"/>
      <c r="AC1526" s="65"/>
      <c r="AD1526" s="65"/>
      <c r="AE1526" s="65"/>
      <c r="AF1526" s="65"/>
      <c r="AG1526" s="65"/>
      <c r="AH1526" s="65"/>
      <c r="AI1526" s="65"/>
      <c r="AJ1526" s="68"/>
      <c r="AK1526" s="98">
        <f t="shared" si="237"/>
        <v>0</v>
      </c>
      <c r="AL1526" s="96">
        <f>AK1526</f>
        <v>0</v>
      </c>
      <c r="AM1526" s="97"/>
      <c r="AN1526" s="582">
        <f>SUM(AL1526:AM1527)</f>
        <v>0</v>
      </c>
      <c r="AO1526" s="3"/>
      <c r="AP1526" s="3"/>
      <c r="AQ1526" s="3"/>
      <c r="AR1526" s="3"/>
      <c r="AS1526" s="3"/>
      <c r="AT1526" s="3"/>
    </row>
    <row r="1527" spans="3:46" ht="12.75" x14ac:dyDescent="0.2">
      <c r="C1527" s="581"/>
      <c r="D1527" s="585"/>
      <c r="E1527" s="284" t="s">
        <v>19</v>
      </c>
      <c r="F1527" s="284"/>
      <c r="G1527" s="284"/>
      <c r="H1527" s="284"/>
      <c r="I1527" s="284"/>
      <c r="J1527" s="284"/>
      <c r="K1527" s="284"/>
      <c r="L1527" s="284"/>
      <c r="M1527" s="284"/>
      <c r="N1527" s="284"/>
      <c r="O1527" s="284"/>
      <c r="P1527" s="284"/>
      <c r="Q1527" s="284"/>
      <c r="R1527" s="284"/>
      <c r="S1527" s="284"/>
      <c r="T1527" s="284"/>
      <c r="U1527" s="284"/>
      <c r="V1527" s="284"/>
      <c r="W1527" s="284"/>
      <c r="X1527" s="284"/>
      <c r="Y1527" s="284"/>
      <c r="Z1527" s="284"/>
      <c r="AA1527" s="284"/>
      <c r="AB1527" s="284"/>
      <c r="AC1527" s="284"/>
      <c r="AD1527" s="284"/>
      <c r="AE1527" s="284"/>
      <c r="AF1527" s="284"/>
      <c r="AG1527" s="284"/>
      <c r="AH1527" s="284"/>
      <c r="AI1527" s="284"/>
      <c r="AJ1527" s="100"/>
      <c r="AK1527" s="317">
        <f t="shared" si="237"/>
        <v>0</v>
      </c>
      <c r="AL1527" s="93"/>
      <c r="AM1527" s="94">
        <f>AK1527</f>
        <v>0</v>
      </c>
      <c r="AN1527" s="583"/>
      <c r="AO1527" s="3"/>
      <c r="AP1527" s="3"/>
      <c r="AQ1527" s="3"/>
      <c r="AR1527" s="3"/>
      <c r="AS1527" s="3"/>
      <c r="AT1527" s="3"/>
    </row>
    <row r="1528" spans="3:46" ht="12.75" x14ac:dyDescent="0.2">
      <c r="C1528" s="330" t="s">
        <v>32</v>
      </c>
      <c r="D1528" s="62"/>
      <c r="E1528" s="62"/>
      <c r="F1528" s="66">
        <f t="shared" ref="F1528:AM1528" si="243">SUM(F1481:F1527)</f>
        <v>3.4</v>
      </c>
      <c r="G1528" s="66">
        <f t="shared" si="243"/>
        <v>19.939999999999998</v>
      </c>
      <c r="H1528" s="66">
        <f t="shared" si="243"/>
        <v>24.42</v>
      </c>
      <c r="I1528" s="66">
        <f t="shared" si="243"/>
        <v>18.420000000000002</v>
      </c>
      <c r="J1528" s="66">
        <f t="shared" si="243"/>
        <v>275.10000000000002</v>
      </c>
      <c r="K1528" s="66">
        <f t="shared" si="243"/>
        <v>132.99</v>
      </c>
      <c r="L1528" s="66">
        <f t="shared" si="243"/>
        <v>75.800000000000011</v>
      </c>
      <c r="M1528" s="66">
        <f t="shared" si="243"/>
        <v>230.49</v>
      </c>
      <c r="N1528" s="66">
        <f t="shared" si="243"/>
        <v>17.55</v>
      </c>
      <c r="O1528" s="66">
        <f t="shared" si="243"/>
        <v>14.4</v>
      </c>
      <c r="P1528" s="66">
        <f t="shared" si="243"/>
        <v>50.509999999999991</v>
      </c>
      <c r="Q1528" s="66">
        <f t="shared" si="243"/>
        <v>37.130000000000003</v>
      </c>
      <c r="R1528" s="66">
        <f t="shared" si="243"/>
        <v>5.4</v>
      </c>
      <c r="S1528" s="66">
        <f t="shared" si="243"/>
        <v>75.56</v>
      </c>
      <c r="T1528" s="66">
        <f t="shared" si="243"/>
        <v>34.79</v>
      </c>
      <c r="U1528" s="66">
        <f t="shared" si="243"/>
        <v>33.35</v>
      </c>
      <c r="V1528" s="66">
        <f t="shared" si="243"/>
        <v>12.11</v>
      </c>
      <c r="W1528" s="66">
        <f t="shared" si="243"/>
        <v>43.089999999999996</v>
      </c>
      <c r="X1528" s="66">
        <f t="shared" si="243"/>
        <v>32.479999999999997</v>
      </c>
      <c r="Y1528" s="66">
        <f t="shared" si="243"/>
        <v>49.800000000000004</v>
      </c>
      <c r="Z1528" s="66">
        <f t="shared" si="243"/>
        <v>39.68</v>
      </c>
      <c r="AA1528" s="66">
        <f t="shared" si="243"/>
        <v>52.419999999999995</v>
      </c>
      <c r="AB1528" s="66">
        <f t="shared" si="243"/>
        <v>62.23</v>
      </c>
      <c r="AC1528" s="66">
        <f t="shared" si="243"/>
        <v>140.98000000000002</v>
      </c>
      <c r="AD1528" s="66">
        <f t="shared" si="243"/>
        <v>67.540000000000006</v>
      </c>
      <c r="AE1528" s="66">
        <f t="shared" si="243"/>
        <v>13.85</v>
      </c>
      <c r="AF1528" s="66">
        <f t="shared" si="243"/>
        <v>78.159999999999982</v>
      </c>
      <c r="AG1528" s="66">
        <f t="shared" si="243"/>
        <v>15.27</v>
      </c>
      <c r="AH1528" s="66">
        <f t="shared" si="243"/>
        <v>18.55</v>
      </c>
      <c r="AI1528" s="66">
        <f t="shared" si="243"/>
        <v>0.6</v>
      </c>
      <c r="AJ1528" s="66">
        <f t="shared" si="243"/>
        <v>0</v>
      </c>
      <c r="AK1528" s="131">
        <f t="shared" si="243"/>
        <v>1676.0100000000002</v>
      </c>
      <c r="AL1528" s="72">
        <f t="shared" si="243"/>
        <v>1192.01</v>
      </c>
      <c r="AM1528" s="66">
        <f t="shared" si="243"/>
        <v>484</v>
      </c>
      <c r="AN1528" s="3"/>
      <c r="AO1528" s="3"/>
      <c r="AP1528" s="3"/>
      <c r="AQ1528" s="3"/>
      <c r="AR1528" s="3"/>
      <c r="AS1528" s="3"/>
      <c r="AT1528" s="3"/>
    </row>
    <row r="1531" spans="3:46" ht="12.75" x14ac:dyDescent="0.2">
      <c r="F1531" s="642" t="s">
        <v>99</v>
      </c>
      <c r="G1531" s="577"/>
      <c r="H1531" s="577"/>
      <c r="I1531" s="577"/>
      <c r="J1531" s="577"/>
      <c r="K1531" s="577"/>
      <c r="L1531" s="577"/>
      <c r="M1531" s="577"/>
      <c r="N1531" s="577"/>
      <c r="O1531" s="577"/>
      <c r="P1531" s="577"/>
      <c r="Q1531" s="577"/>
      <c r="R1531" s="577"/>
      <c r="S1531" s="577"/>
      <c r="T1531" s="577"/>
      <c r="U1531" s="577"/>
      <c r="V1531" s="577"/>
      <c r="W1531" s="577"/>
      <c r="X1531" s="577"/>
      <c r="Y1531" s="577"/>
      <c r="Z1531" s="577"/>
      <c r="AA1531" s="577"/>
      <c r="AB1531" s="577"/>
      <c r="AC1531" s="577"/>
      <c r="AD1531" s="577"/>
      <c r="AE1531" s="577"/>
      <c r="AF1531" s="577"/>
      <c r="AG1531" s="577"/>
      <c r="AH1531" s="577"/>
      <c r="AI1531" s="577"/>
      <c r="AJ1531" s="577"/>
    </row>
    <row r="1532" spans="3:46" ht="12.75" x14ac:dyDescent="0.2">
      <c r="E1532" s="362" t="s">
        <v>9</v>
      </c>
      <c r="F1532" s="362" t="s">
        <v>13</v>
      </c>
      <c r="G1532" s="362" t="s">
        <v>14</v>
      </c>
      <c r="H1532" s="362" t="s">
        <v>15</v>
      </c>
      <c r="I1532" s="362" t="s">
        <v>16</v>
      </c>
      <c r="J1532" s="362" t="s">
        <v>10</v>
      </c>
      <c r="K1532" s="362" t="s">
        <v>11</v>
      </c>
      <c r="L1532" s="362" t="s">
        <v>12</v>
      </c>
      <c r="M1532" s="362" t="s">
        <v>13</v>
      </c>
      <c r="N1532" s="362" t="s">
        <v>14</v>
      </c>
      <c r="O1532" s="362" t="s">
        <v>15</v>
      </c>
      <c r="P1532" s="362" t="s">
        <v>16</v>
      </c>
      <c r="Q1532" s="362" t="s">
        <v>10</v>
      </c>
      <c r="R1532" s="362" t="s">
        <v>11</v>
      </c>
      <c r="S1532" s="362" t="s">
        <v>12</v>
      </c>
      <c r="T1532" s="362" t="s">
        <v>13</v>
      </c>
      <c r="U1532" s="362" t="s">
        <v>14</v>
      </c>
      <c r="V1532" s="362" t="s">
        <v>15</v>
      </c>
      <c r="W1532" s="362" t="s">
        <v>16</v>
      </c>
      <c r="X1532" s="362" t="s">
        <v>10</v>
      </c>
      <c r="Y1532" s="362" t="s">
        <v>11</v>
      </c>
      <c r="Z1532" s="362" t="s">
        <v>12</v>
      </c>
      <c r="AA1532" s="362" t="s">
        <v>13</v>
      </c>
      <c r="AB1532" s="362" t="s">
        <v>14</v>
      </c>
      <c r="AC1532" s="362" t="s">
        <v>15</v>
      </c>
      <c r="AD1532" s="362" t="s">
        <v>16</v>
      </c>
      <c r="AE1532" s="362" t="s">
        <v>10</v>
      </c>
      <c r="AF1532" s="362" t="s">
        <v>11</v>
      </c>
      <c r="AG1532" s="362" t="s">
        <v>12</v>
      </c>
      <c r="AH1532" s="362" t="s">
        <v>13</v>
      </c>
      <c r="AI1532" s="362" t="s">
        <v>14</v>
      </c>
      <c r="AJ1532" s="362" t="s">
        <v>15</v>
      </c>
      <c r="AK1532" s="362"/>
      <c r="AL1532" s="363"/>
      <c r="AM1532" s="364"/>
      <c r="AN1532" s="365"/>
      <c r="AP1532" s="366"/>
      <c r="AQ1532" s="366"/>
      <c r="AR1532" s="367" t="s">
        <v>17</v>
      </c>
      <c r="AS1532" s="367" t="s">
        <v>18</v>
      </c>
      <c r="AT1532" s="367" t="s">
        <v>19</v>
      </c>
    </row>
    <row r="1533" spans="3:46" ht="12.75" x14ac:dyDescent="0.2">
      <c r="E1533" s="362" t="s">
        <v>20</v>
      </c>
      <c r="F1533" s="362">
        <v>1</v>
      </c>
      <c r="G1533" s="362">
        <v>2</v>
      </c>
      <c r="H1533" s="362">
        <v>3</v>
      </c>
      <c r="I1533" s="362">
        <v>4</v>
      </c>
      <c r="J1533" s="362">
        <v>5</v>
      </c>
      <c r="K1533" s="362">
        <v>6</v>
      </c>
      <c r="L1533" s="362">
        <v>7</v>
      </c>
      <c r="M1533" s="362">
        <v>8</v>
      </c>
      <c r="N1533" s="362">
        <v>9</v>
      </c>
      <c r="O1533" s="362">
        <v>10</v>
      </c>
      <c r="P1533" s="362">
        <v>11</v>
      </c>
      <c r="Q1533" s="362">
        <v>12</v>
      </c>
      <c r="R1533" s="362">
        <v>13</v>
      </c>
      <c r="S1533" s="362">
        <v>14</v>
      </c>
      <c r="T1533" s="362">
        <v>15</v>
      </c>
      <c r="U1533" s="362">
        <v>16</v>
      </c>
      <c r="V1533" s="362">
        <v>17</v>
      </c>
      <c r="W1533" s="362">
        <v>18</v>
      </c>
      <c r="X1533" s="362">
        <v>19</v>
      </c>
      <c r="Y1533" s="362">
        <v>20</v>
      </c>
      <c r="Z1533" s="362">
        <v>21</v>
      </c>
      <c r="AA1533" s="362">
        <v>22</v>
      </c>
      <c r="AB1533" s="362">
        <v>23</v>
      </c>
      <c r="AC1533" s="362">
        <v>24</v>
      </c>
      <c r="AD1533" s="362">
        <v>25</v>
      </c>
      <c r="AE1533" s="362">
        <v>26</v>
      </c>
      <c r="AF1533" s="362">
        <v>27</v>
      </c>
      <c r="AG1533" s="362">
        <v>28</v>
      </c>
      <c r="AH1533" s="362">
        <v>29</v>
      </c>
      <c r="AI1533" s="362">
        <v>30</v>
      </c>
      <c r="AJ1533" s="362">
        <v>31</v>
      </c>
      <c r="AK1533" s="362" t="s">
        <v>21</v>
      </c>
      <c r="AL1533" s="363" t="s">
        <v>18</v>
      </c>
      <c r="AM1533" s="364" t="s">
        <v>19</v>
      </c>
      <c r="AN1533" s="368" t="s">
        <v>22</v>
      </c>
      <c r="AP1533" s="367"/>
      <c r="AQ1533" s="367" t="s">
        <v>23</v>
      </c>
      <c r="AR1533" s="369">
        <f>AK1544-AK1592</f>
        <v>110.91999999999985</v>
      </c>
      <c r="AS1533" s="369">
        <f>(AL1544-AL1592)-AL1545+AM1546</f>
        <v>104.74000000000001</v>
      </c>
      <c r="AT1533" s="369">
        <f>(AM1544-AM1592)+AL1545-AM1546</f>
        <v>6.17999999999995</v>
      </c>
    </row>
    <row r="1534" spans="3:46" ht="12.75" x14ac:dyDescent="0.2">
      <c r="C1534" s="628" t="s">
        <v>24</v>
      </c>
      <c r="D1534" s="370" t="s">
        <v>25</v>
      </c>
      <c r="E1534" s="371" t="s">
        <v>18</v>
      </c>
      <c r="F1534" s="372"/>
      <c r="G1534" s="372"/>
      <c r="H1534" s="371">
        <v>136.82</v>
      </c>
      <c r="I1534" s="372"/>
      <c r="J1534" s="372"/>
      <c r="K1534" s="372"/>
      <c r="L1534" s="372"/>
      <c r="M1534" s="372"/>
      <c r="N1534" s="372"/>
      <c r="O1534" s="372"/>
      <c r="P1534" s="372"/>
      <c r="Q1534" s="372"/>
      <c r="R1534" s="372"/>
      <c r="S1534" s="372"/>
      <c r="T1534" s="371">
        <v>602.69000000000005</v>
      </c>
      <c r="U1534" s="372"/>
      <c r="V1534" s="372"/>
      <c r="W1534" s="372"/>
      <c r="X1534" s="372"/>
      <c r="Y1534" s="371">
        <v>525</v>
      </c>
      <c r="Z1534" s="372"/>
      <c r="AA1534" s="372"/>
      <c r="AB1534" s="372"/>
      <c r="AC1534" s="372"/>
      <c r="AD1534" s="372"/>
      <c r="AE1534" s="372"/>
      <c r="AF1534" s="372"/>
      <c r="AG1534" s="372"/>
      <c r="AH1534" s="372"/>
      <c r="AI1534" s="372"/>
      <c r="AJ1534" s="372"/>
      <c r="AK1534" s="373">
        <f t="shared" ref="AK1534:AK1543" si="244">SUM(F1534:AJ1534)</f>
        <v>1264.51</v>
      </c>
      <c r="AL1534" s="366">
        <f t="shared" ref="AL1534:AL1535" si="245">AK1534</f>
        <v>1264.51</v>
      </c>
      <c r="AM1534" s="369"/>
      <c r="AN1534" s="374">
        <f>AL1534</f>
        <v>1264.51</v>
      </c>
    </row>
    <row r="1535" spans="3:46" ht="12.75" x14ac:dyDescent="0.2">
      <c r="C1535" s="580"/>
      <c r="D1535" s="645" t="s">
        <v>26</v>
      </c>
      <c r="E1535" s="363" t="s">
        <v>18</v>
      </c>
      <c r="F1535" s="366"/>
      <c r="G1535" s="366"/>
      <c r="H1535" s="366"/>
      <c r="I1535" s="366"/>
      <c r="J1535" s="366"/>
      <c r="K1535" s="366"/>
      <c r="L1535" s="366"/>
      <c r="M1535" s="366"/>
      <c r="N1535" s="366"/>
      <c r="O1535" s="366"/>
      <c r="P1535" s="366"/>
      <c r="Q1535" s="366"/>
      <c r="R1535" s="366"/>
      <c r="S1535" s="366"/>
      <c r="T1535" s="366"/>
      <c r="U1535" s="366"/>
      <c r="V1535" s="366"/>
      <c r="W1535" s="366"/>
      <c r="X1535" s="366"/>
      <c r="Y1535" s="366"/>
      <c r="Z1535" s="366"/>
      <c r="AA1535" s="366"/>
      <c r="AB1535" s="366"/>
      <c r="AC1535" s="366"/>
      <c r="AD1535" s="366"/>
      <c r="AE1535" s="366"/>
      <c r="AF1535" s="366"/>
      <c r="AG1535" s="366"/>
      <c r="AH1535" s="366"/>
      <c r="AI1535" s="366"/>
      <c r="AJ1535" s="366"/>
      <c r="AK1535" s="376">
        <f t="shared" si="244"/>
        <v>0</v>
      </c>
      <c r="AL1535" s="377">
        <f t="shared" si="245"/>
        <v>0</v>
      </c>
      <c r="AM1535" s="378"/>
      <c r="AN1535" s="633">
        <f>SUM(AL1535:AM1536)</f>
        <v>0</v>
      </c>
    </row>
    <row r="1536" spans="3:46" ht="12.75" x14ac:dyDescent="0.2">
      <c r="C1536" s="580"/>
      <c r="D1536" s="577"/>
      <c r="E1536" s="364" t="s">
        <v>19</v>
      </c>
      <c r="F1536" s="369"/>
      <c r="G1536" s="369"/>
      <c r="H1536" s="369"/>
      <c r="I1536" s="369"/>
      <c r="J1536" s="369"/>
      <c r="K1536" s="369"/>
      <c r="L1536" s="369"/>
      <c r="M1536" s="369"/>
      <c r="N1536" s="369"/>
      <c r="O1536" s="369"/>
      <c r="P1536" s="369"/>
      <c r="Q1536" s="369"/>
      <c r="R1536" s="369"/>
      <c r="S1536" s="369"/>
      <c r="T1536" s="369"/>
      <c r="U1536" s="369"/>
      <c r="V1536" s="369"/>
      <c r="W1536" s="369"/>
      <c r="X1536" s="369"/>
      <c r="Y1536" s="369"/>
      <c r="Z1536" s="369"/>
      <c r="AA1536" s="369"/>
      <c r="AB1536" s="369"/>
      <c r="AC1536" s="369"/>
      <c r="AD1536" s="369"/>
      <c r="AE1536" s="369"/>
      <c r="AF1536" s="369"/>
      <c r="AG1536" s="369"/>
      <c r="AH1536" s="369"/>
      <c r="AI1536" s="369"/>
      <c r="AJ1536" s="369"/>
      <c r="AK1536" s="379">
        <f t="shared" si="244"/>
        <v>0</v>
      </c>
      <c r="AL1536" s="380"/>
      <c r="AM1536" s="381">
        <f t="shared" ref="AM1536:AM1537" si="246">AK1536</f>
        <v>0</v>
      </c>
      <c r="AN1536" s="583"/>
    </row>
    <row r="1537" spans="3:40" ht="12.75" x14ac:dyDescent="0.2">
      <c r="C1537" s="580"/>
      <c r="D1537" s="375" t="s">
        <v>27</v>
      </c>
      <c r="E1537" s="364" t="s">
        <v>19</v>
      </c>
      <c r="F1537" s="369"/>
      <c r="G1537" s="369"/>
      <c r="H1537" s="369"/>
      <c r="I1537" s="369"/>
      <c r="J1537" s="369"/>
      <c r="K1537" s="369"/>
      <c r="L1537" s="369"/>
      <c r="M1537" s="369"/>
      <c r="N1537" s="369"/>
      <c r="O1537" s="369"/>
      <c r="P1537" s="369"/>
      <c r="Q1537" s="369"/>
      <c r="R1537" s="369"/>
      <c r="S1537" s="369"/>
      <c r="T1537" s="369"/>
      <c r="U1537" s="369"/>
      <c r="V1537" s="369"/>
      <c r="W1537" s="369"/>
      <c r="X1537" s="369"/>
      <c r="Y1537" s="369"/>
      <c r="Z1537" s="369"/>
      <c r="AA1537" s="369"/>
      <c r="AB1537" s="369"/>
      <c r="AC1537" s="369"/>
      <c r="AD1537" s="369"/>
      <c r="AE1537" s="369"/>
      <c r="AF1537" s="369"/>
      <c r="AG1537" s="369"/>
      <c r="AH1537" s="369"/>
      <c r="AI1537" s="369"/>
      <c r="AJ1537" s="369"/>
      <c r="AK1537" s="379">
        <f t="shared" si="244"/>
        <v>0</v>
      </c>
      <c r="AL1537" s="366"/>
      <c r="AM1537" s="369">
        <f t="shared" si="246"/>
        <v>0</v>
      </c>
      <c r="AN1537" s="374">
        <f>AM1537</f>
        <v>0</v>
      </c>
    </row>
    <row r="1538" spans="3:40" ht="12.75" x14ac:dyDescent="0.2">
      <c r="C1538" s="580"/>
      <c r="D1538" s="645" t="s">
        <v>28</v>
      </c>
      <c r="E1538" s="363" t="s">
        <v>18</v>
      </c>
      <c r="F1538" s="366"/>
      <c r="G1538" s="366"/>
      <c r="H1538" s="366"/>
      <c r="I1538" s="366"/>
      <c r="J1538" s="366"/>
      <c r="K1538" s="366"/>
      <c r="L1538" s="366"/>
      <c r="M1538" s="366"/>
      <c r="N1538" s="366"/>
      <c r="O1538" s="366"/>
      <c r="P1538" s="366"/>
      <c r="Q1538" s="366"/>
      <c r="R1538" s="366"/>
      <c r="S1538" s="366"/>
      <c r="T1538" s="366"/>
      <c r="U1538" s="366"/>
      <c r="V1538" s="366"/>
      <c r="W1538" s="366"/>
      <c r="X1538" s="366"/>
      <c r="Y1538" s="366"/>
      <c r="Z1538" s="366"/>
      <c r="AA1538" s="366"/>
      <c r="AB1538" s="366"/>
      <c r="AC1538" s="366"/>
      <c r="AD1538" s="366"/>
      <c r="AE1538" s="366"/>
      <c r="AF1538" s="366"/>
      <c r="AG1538" s="366"/>
      <c r="AH1538" s="366"/>
      <c r="AI1538" s="366"/>
      <c r="AJ1538" s="366"/>
      <c r="AK1538" s="376">
        <f t="shared" si="244"/>
        <v>0</v>
      </c>
      <c r="AL1538" s="377">
        <f>AK1538</f>
        <v>0</v>
      </c>
      <c r="AM1538" s="378"/>
      <c r="AN1538" s="633">
        <f>SUM(AL1538:AM1539)</f>
        <v>150</v>
      </c>
    </row>
    <row r="1539" spans="3:40" ht="12.75" x14ac:dyDescent="0.2">
      <c r="C1539" s="580"/>
      <c r="D1539" s="577"/>
      <c r="E1539" s="364" t="s">
        <v>19</v>
      </c>
      <c r="F1539" s="369"/>
      <c r="G1539" s="364">
        <v>50</v>
      </c>
      <c r="H1539" s="369"/>
      <c r="I1539" s="369"/>
      <c r="J1539" s="364">
        <v>100</v>
      </c>
      <c r="K1539" s="369"/>
      <c r="L1539" s="369"/>
      <c r="M1539" s="369"/>
      <c r="N1539" s="369"/>
      <c r="O1539" s="369"/>
      <c r="P1539" s="369"/>
      <c r="Q1539" s="369"/>
      <c r="R1539" s="369"/>
      <c r="S1539" s="364"/>
      <c r="T1539" s="369"/>
      <c r="U1539" s="369"/>
      <c r="V1539" s="369"/>
      <c r="W1539" s="369"/>
      <c r="X1539" s="369"/>
      <c r="Y1539" s="369"/>
      <c r="Z1539" s="369"/>
      <c r="AA1539" s="369"/>
      <c r="AB1539" s="369"/>
      <c r="AC1539" s="369"/>
      <c r="AD1539" s="369"/>
      <c r="AE1539" s="369"/>
      <c r="AF1539" s="369"/>
      <c r="AG1539" s="369"/>
      <c r="AH1539" s="369"/>
      <c r="AI1539" s="369"/>
      <c r="AJ1539" s="369"/>
      <c r="AK1539" s="379">
        <f t="shared" si="244"/>
        <v>150</v>
      </c>
      <c r="AL1539" s="380"/>
      <c r="AM1539" s="381">
        <f>AK1539</f>
        <v>150</v>
      </c>
      <c r="AN1539" s="583"/>
    </row>
    <row r="1540" spans="3:40" ht="12.75" x14ac:dyDescent="0.2">
      <c r="C1540" s="580"/>
      <c r="D1540" s="645" t="s">
        <v>29</v>
      </c>
      <c r="E1540" s="363" t="s">
        <v>18</v>
      </c>
      <c r="F1540" s="366"/>
      <c r="G1540" s="366"/>
      <c r="H1540" s="366"/>
      <c r="I1540" s="366"/>
      <c r="J1540" s="366"/>
      <c r="K1540" s="366"/>
      <c r="L1540" s="366"/>
      <c r="M1540" s="366"/>
      <c r="N1540" s="366"/>
      <c r="O1540" s="366"/>
      <c r="P1540" s="366"/>
      <c r="Q1540" s="366"/>
      <c r="R1540" s="366"/>
      <c r="S1540" s="366"/>
      <c r="T1540" s="366"/>
      <c r="U1540" s="366"/>
      <c r="V1540" s="366"/>
      <c r="W1540" s="366"/>
      <c r="X1540" s="366"/>
      <c r="Y1540" s="366"/>
      <c r="Z1540" s="366"/>
      <c r="AA1540" s="366"/>
      <c r="AB1540" s="363"/>
      <c r="AC1540" s="366"/>
      <c r="AD1540" s="366"/>
      <c r="AE1540" s="366"/>
      <c r="AF1540" s="366"/>
      <c r="AG1540" s="366"/>
      <c r="AH1540" s="366"/>
      <c r="AI1540" s="366"/>
      <c r="AJ1540" s="366"/>
      <c r="AK1540" s="376">
        <f t="shared" si="244"/>
        <v>0</v>
      </c>
      <c r="AL1540" s="377">
        <f>AK1540</f>
        <v>0</v>
      </c>
      <c r="AM1540" s="378"/>
      <c r="AN1540" s="633">
        <f>SUM(AL1540:AM1541)</f>
        <v>0</v>
      </c>
    </row>
    <row r="1541" spans="3:40" ht="12.75" x14ac:dyDescent="0.2">
      <c r="C1541" s="580"/>
      <c r="D1541" s="577"/>
      <c r="E1541" s="364" t="s">
        <v>19</v>
      </c>
      <c r="F1541" s="369"/>
      <c r="G1541" s="369"/>
      <c r="H1541" s="369"/>
      <c r="I1541" s="369"/>
      <c r="J1541" s="369"/>
      <c r="K1541" s="369"/>
      <c r="L1541" s="369"/>
      <c r="M1541" s="369"/>
      <c r="N1541" s="369"/>
      <c r="O1541" s="369"/>
      <c r="P1541" s="369"/>
      <c r="Q1541" s="369"/>
      <c r="R1541" s="369"/>
      <c r="S1541" s="369"/>
      <c r="T1541" s="369"/>
      <c r="U1541" s="369"/>
      <c r="V1541" s="369"/>
      <c r="W1541" s="369"/>
      <c r="X1541" s="369"/>
      <c r="Y1541" s="369"/>
      <c r="Z1541" s="369"/>
      <c r="AA1541" s="369"/>
      <c r="AB1541" s="364"/>
      <c r="AC1541" s="369"/>
      <c r="AD1541" s="369"/>
      <c r="AE1541" s="369"/>
      <c r="AF1541" s="369"/>
      <c r="AG1541" s="369"/>
      <c r="AH1541" s="369"/>
      <c r="AI1541" s="369"/>
      <c r="AJ1541" s="369"/>
      <c r="AK1541" s="379">
        <f t="shared" si="244"/>
        <v>0</v>
      </c>
      <c r="AL1541" s="380"/>
      <c r="AM1541" s="381">
        <f>AK1541</f>
        <v>0</v>
      </c>
      <c r="AN1541" s="583"/>
    </row>
    <row r="1542" spans="3:40" ht="12.75" x14ac:dyDescent="0.2">
      <c r="C1542" s="580"/>
      <c r="D1542" s="645" t="s">
        <v>31</v>
      </c>
      <c r="E1542" s="363" t="s">
        <v>18</v>
      </c>
      <c r="F1542" s="366"/>
      <c r="G1542" s="366"/>
      <c r="H1542" s="366"/>
      <c r="I1542" s="366"/>
      <c r="J1542" s="366"/>
      <c r="K1542" s="366"/>
      <c r="L1542" s="366"/>
      <c r="M1542" s="366"/>
      <c r="N1542" s="366"/>
      <c r="O1542" s="366"/>
      <c r="P1542" s="366"/>
      <c r="Q1542" s="366"/>
      <c r="R1542" s="366"/>
      <c r="S1542" s="366"/>
      <c r="T1542" s="366"/>
      <c r="U1542" s="366"/>
      <c r="V1542" s="366"/>
      <c r="W1542" s="366"/>
      <c r="X1542" s="366"/>
      <c r="Y1542" s="366"/>
      <c r="Z1542" s="366"/>
      <c r="AA1542" s="366"/>
      <c r="AB1542" s="366"/>
      <c r="AC1542" s="366"/>
      <c r="AD1542" s="366"/>
      <c r="AE1542" s="366"/>
      <c r="AF1542" s="366"/>
      <c r="AG1542" s="366"/>
      <c r="AH1542" s="366"/>
      <c r="AI1542" s="366"/>
      <c r="AJ1542" s="366"/>
      <c r="AK1542" s="376">
        <f t="shared" si="244"/>
        <v>0</v>
      </c>
      <c r="AL1542" s="377">
        <f>AK1542</f>
        <v>0</v>
      </c>
      <c r="AM1542" s="378"/>
      <c r="AN1542" s="633">
        <f>SUM(AL1542:AM1543)</f>
        <v>100</v>
      </c>
    </row>
    <row r="1543" spans="3:40" ht="12.75" x14ac:dyDescent="0.2">
      <c r="C1543" s="581"/>
      <c r="D1543" s="585"/>
      <c r="E1543" s="382" t="s">
        <v>19</v>
      </c>
      <c r="F1543" s="381"/>
      <c r="G1543" s="381"/>
      <c r="H1543" s="381"/>
      <c r="I1543" s="381"/>
      <c r="J1543" s="381"/>
      <c r="K1543" s="381"/>
      <c r="L1543" s="381"/>
      <c r="M1543" s="381"/>
      <c r="N1543" s="382">
        <v>100</v>
      </c>
      <c r="O1543" s="381"/>
      <c r="P1543" s="381"/>
      <c r="Q1543" s="381"/>
      <c r="R1543" s="381"/>
      <c r="S1543" s="381"/>
      <c r="T1543" s="381"/>
      <c r="U1543" s="381"/>
      <c r="V1543" s="381"/>
      <c r="W1543" s="381"/>
      <c r="X1543" s="381"/>
      <c r="Y1543" s="381"/>
      <c r="Z1543" s="381"/>
      <c r="AA1543" s="381"/>
      <c r="AB1543" s="381"/>
      <c r="AC1543" s="381"/>
      <c r="AD1543" s="381"/>
      <c r="AE1543" s="381"/>
      <c r="AF1543" s="381"/>
      <c r="AG1543" s="381"/>
      <c r="AH1543" s="381"/>
      <c r="AI1543" s="381"/>
      <c r="AJ1543" s="381"/>
      <c r="AK1543" s="383">
        <f t="shared" si="244"/>
        <v>100</v>
      </c>
      <c r="AL1543" s="380"/>
      <c r="AM1543" s="381">
        <f>AK1543</f>
        <v>100</v>
      </c>
      <c r="AN1543" s="583"/>
    </row>
    <row r="1544" spans="3:40" ht="12.75" x14ac:dyDescent="0.2">
      <c r="C1544" s="362" t="s">
        <v>32</v>
      </c>
      <c r="D1544" s="384"/>
      <c r="E1544" s="369"/>
      <c r="F1544" s="369">
        <f t="shared" ref="F1544:AM1544" si="247">SUM(F1534:F1543)</f>
        <v>0</v>
      </c>
      <c r="G1544" s="369">
        <f t="shared" si="247"/>
        <v>50</v>
      </c>
      <c r="H1544" s="369">
        <f t="shared" si="247"/>
        <v>136.82</v>
      </c>
      <c r="I1544" s="369">
        <f t="shared" si="247"/>
        <v>0</v>
      </c>
      <c r="J1544" s="369">
        <f t="shared" si="247"/>
        <v>100</v>
      </c>
      <c r="K1544" s="369">
        <f t="shared" si="247"/>
        <v>0</v>
      </c>
      <c r="L1544" s="369">
        <f t="shared" si="247"/>
        <v>0</v>
      </c>
      <c r="M1544" s="369">
        <f t="shared" si="247"/>
        <v>0</v>
      </c>
      <c r="N1544" s="369">
        <f t="shared" si="247"/>
        <v>100</v>
      </c>
      <c r="O1544" s="369">
        <f t="shared" si="247"/>
        <v>0</v>
      </c>
      <c r="P1544" s="369">
        <f t="shared" si="247"/>
        <v>0</v>
      </c>
      <c r="Q1544" s="369">
        <f t="shared" si="247"/>
        <v>0</v>
      </c>
      <c r="R1544" s="369">
        <f t="shared" si="247"/>
        <v>0</v>
      </c>
      <c r="S1544" s="369">
        <f t="shared" si="247"/>
        <v>0</v>
      </c>
      <c r="T1544" s="369">
        <f t="shared" si="247"/>
        <v>602.69000000000005</v>
      </c>
      <c r="U1544" s="369">
        <f t="shared" si="247"/>
        <v>0</v>
      </c>
      <c r="V1544" s="369">
        <f t="shared" si="247"/>
        <v>0</v>
      </c>
      <c r="W1544" s="369">
        <f t="shared" si="247"/>
        <v>0</v>
      </c>
      <c r="X1544" s="369">
        <f t="shared" si="247"/>
        <v>0</v>
      </c>
      <c r="Y1544" s="369">
        <f t="shared" si="247"/>
        <v>525</v>
      </c>
      <c r="Z1544" s="369">
        <f t="shared" si="247"/>
        <v>0</v>
      </c>
      <c r="AA1544" s="369">
        <f t="shared" si="247"/>
        <v>0</v>
      </c>
      <c r="AB1544" s="369">
        <f t="shared" si="247"/>
        <v>0</v>
      </c>
      <c r="AC1544" s="369">
        <f t="shared" si="247"/>
        <v>0</v>
      </c>
      <c r="AD1544" s="369">
        <f t="shared" si="247"/>
        <v>0</v>
      </c>
      <c r="AE1544" s="369">
        <f t="shared" si="247"/>
        <v>0</v>
      </c>
      <c r="AF1544" s="369">
        <f t="shared" si="247"/>
        <v>0</v>
      </c>
      <c r="AG1544" s="369">
        <f t="shared" si="247"/>
        <v>0</v>
      </c>
      <c r="AH1544" s="369">
        <f t="shared" si="247"/>
        <v>0</v>
      </c>
      <c r="AI1544" s="369">
        <f t="shared" si="247"/>
        <v>0</v>
      </c>
      <c r="AJ1544" s="369">
        <f t="shared" si="247"/>
        <v>0</v>
      </c>
      <c r="AK1544" s="385">
        <f t="shared" si="247"/>
        <v>1514.51</v>
      </c>
      <c r="AL1544" s="366">
        <f t="shared" si="247"/>
        <v>1264.51</v>
      </c>
      <c r="AM1544" s="369">
        <f t="shared" si="247"/>
        <v>250</v>
      </c>
      <c r="AN1544" s="374"/>
    </row>
    <row r="1545" spans="3:40" ht="12.75" x14ac:dyDescent="0.2">
      <c r="C1545" s="630" t="s">
        <v>83</v>
      </c>
      <c r="D1545" s="423" t="s">
        <v>84</v>
      </c>
      <c r="E1545" s="424" t="s">
        <v>18</v>
      </c>
      <c r="F1545" s="425"/>
      <c r="G1545" s="425"/>
      <c r="H1545" s="425"/>
      <c r="I1545" s="425"/>
      <c r="J1545" s="425"/>
      <c r="K1545" s="425"/>
      <c r="L1545" s="425"/>
      <c r="M1545" s="425"/>
      <c r="N1545" s="425"/>
      <c r="O1545" s="425"/>
      <c r="P1545" s="425"/>
      <c r="Q1545" s="425"/>
      <c r="R1545" s="425"/>
      <c r="S1545" s="425"/>
      <c r="T1545" s="425"/>
      <c r="U1545" s="424">
        <v>500</v>
      </c>
      <c r="V1545" s="425"/>
      <c r="W1545" s="425"/>
      <c r="X1545" s="425"/>
      <c r="Y1545" s="425"/>
      <c r="Z1545" s="425"/>
      <c r="AA1545" s="425"/>
      <c r="AB1545" s="425"/>
      <c r="AC1545" s="425"/>
      <c r="AD1545" s="425"/>
      <c r="AE1545" s="425"/>
      <c r="AF1545" s="425"/>
      <c r="AG1545" s="425"/>
      <c r="AH1545" s="425"/>
      <c r="AI1545" s="425"/>
      <c r="AJ1545" s="426"/>
      <c r="AK1545" s="425"/>
      <c r="AL1545" s="427">
        <f>SUM(F1545:AJ1545)</f>
        <v>500</v>
      </c>
      <c r="AM1545" s="427"/>
      <c r="AN1545" s="374"/>
    </row>
    <row r="1546" spans="3:40" ht="12.75" x14ac:dyDescent="0.2">
      <c r="C1546" s="581"/>
      <c r="D1546" s="430" t="s">
        <v>85</v>
      </c>
      <c r="E1546" s="431" t="s">
        <v>19</v>
      </c>
      <c r="F1546" s="432"/>
      <c r="G1546" s="432"/>
      <c r="H1546" s="432"/>
      <c r="I1546" s="432"/>
      <c r="J1546" s="432"/>
      <c r="K1546" s="432"/>
      <c r="L1546" s="432"/>
      <c r="M1546" s="432"/>
      <c r="N1546" s="432"/>
      <c r="O1546" s="432"/>
      <c r="P1546" s="432"/>
      <c r="Q1546" s="432"/>
      <c r="R1546" s="432"/>
      <c r="S1546" s="432"/>
      <c r="T1546" s="432"/>
      <c r="U1546" s="431"/>
      <c r="V1546" s="432"/>
      <c r="W1546" s="432"/>
      <c r="X1546" s="432"/>
      <c r="Y1546" s="432"/>
      <c r="Z1546" s="432"/>
      <c r="AA1546" s="432"/>
      <c r="AB1546" s="432"/>
      <c r="AC1546" s="432"/>
      <c r="AD1546" s="432"/>
      <c r="AE1546" s="432"/>
      <c r="AF1546" s="432"/>
      <c r="AG1546" s="432"/>
      <c r="AH1546" s="432"/>
      <c r="AI1546" s="432"/>
      <c r="AJ1546" s="433"/>
      <c r="AK1546" s="427"/>
      <c r="AL1546" s="427"/>
      <c r="AM1546" s="427">
        <f>SUM(F1546:AJ1546)</f>
        <v>0</v>
      </c>
      <c r="AN1546" s="374"/>
    </row>
    <row r="1547" spans="3:40" ht="12.75" x14ac:dyDescent="0.2">
      <c r="C1547" s="629" t="s">
        <v>33</v>
      </c>
      <c r="D1547" s="416" t="s">
        <v>34</v>
      </c>
      <c r="E1547" s="441" t="s">
        <v>19</v>
      </c>
      <c r="F1547" s="409"/>
      <c r="G1547" s="409"/>
      <c r="H1547" s="409"/>
      <c r="I1547" s="409"/>
      <c r="J1547" s="409"/>
      <c r="K1547" s="409"/>
      <c r="L1547" s="409"/>
      <c r="M1547" s="409"/>
      <c r="N1547" s="409"/>
      <c r="O1547" s="409"/>
      <c r="P1547" s="409"/>
      <c r="Q1547" s="409"/>
      <c r="R1547" s="409"/>
      <c r="S1547" s="409"/>
      <c r="T1547" s="409"/>
      <c r="U1547" s="409"/>
      <c r="V1547" s="409"/>
      <c r="W1547" s="409"/>
      <c r="X1547" s="409"/>
      <c r="Y1547" s="409"/>
      <c r="Z1547" s="409"/>
      <c r="AA1547" s="409"/>
      <c r="AB1547" s="409"/>
      <c r="AC1547" s="409"/>
      <c r="AD1547" s="409"/>
      <c r="AE1547" s="409"/>
      <c r="AF1547" s="409"/>
      <c r="AG1547" s="409"/>
      <c r="AH1547" s="409"/>
      <c r="AI1547" s="409"/>
      <c r="AJ1547" s="409"/>
      <c r="AK1547" s="442">
        <f t="shared" ref="AK1547:AK1591" si="248">SUM(F1547:AJ1547)</f>
        <v>0</v>
      </c>
      <c r="AL1547" s="394"/>
      <c r="AM1547" s="396">
        <f>AK1547</f>
        <v>0</v>
      </c>
      <c r="AN1547" s="374">
        <f>AM1547</f>
        <v>0</v>
      </c>
    </row>
    <row r="1548" spans="3:40" ht="12.75" x14ac:dyDescent="0.2">
      <c r="C1548" s="580"/>
      <c r="D1548" s="402" t="s">
        <v>35</v>
      </c>
      <c r="E1548" s="393" t="s">
        <v>18</v>
      </c>
      <c r="F1548" s="394"/>
      <c r="G1548" s="394"/>
      <c r="H1548" s="394"/>
      <c r="I1548" s="394"/>
      <c r="J1548" s="394"/>
      <c r="K1548" s="394"/>
      <c r="L1548" s="394"/>
      <c r="M1548" s="394"/>
      <c r="N1548" s="394"/>
      <c r="O1548" s="394"/>
      <c r="P1548" s="394"/>
      <c r="Q1548" s="394"/>
      <c r="R1548" s="394"/>
      <c r="S1548" s="394"/>
      <c r="T1548" s="394"/>
      <c r="U1548" s="394"/>
      <c r="V1548" s="394"/>
      <c r="W1548" s="394"/>
      <c r="X1548" s="394"/>
      <c r="Y1548" s="393">
        <v>10</v>
      </c>
      <c r="Z1548" s="394"/>
      <c r="AA1548" s="394"/>
      <c r="AB1548" s="394"/>
      <c r="AC1548" s="394"/>
      <c r="AD1548" s="394"/>
      <c r="AE1548" s="394"/>
      <c r="AF1548" s="394"/>
      <c r="AG1548" s="394"/>
      <c r="AH1548" s="394"/>
      <c r="AI1548" s="394"/>
      <c r="AJ1548" s="394"/>
      <c r="AK1548" s="395">
        <f t="shared" si="248"/>
        <v>10</v>
      </c>
      <c r="AL1548" s="394">
        <f>AK1548</f>
        <v>10</v>
      </c>
      <c r="AM1548" s="396"/>
      <c r="AN1548" s="374">
        <f>AL1548</f>
        <v>10</v>
      </c>
    </row>
    <row r="1549" spans="3:40" ht="12.75" x14ac:dyDescent="0.2">
      <c r="C1549" s="580"/>
      <c r="D1549" s="402" t="s">
        <v>36</v>
      </c>
      <c r="E1549" s="404" t="s">
        <v>19</v>
      </c>
      <c r="F1549" s="396"/>
      <c r="G1549" s="396"/>
      <c r="H1549" s="396"/>
      <c r="I1549" s="396"/>
      <c r="J1549" s="396"/>
      <c r="K1549" s="396"/>
      <c r="L1549" s="396"/>
      <c r="M1549" s="396"/>
      <c r="N1549" s="396"/>
      <c r="O1549" s="396"/>
      <c r="P1549" s="396"/>
      <c r="Q1549" s="396"/>
      <c r="R1549" s="396"/>
      <c r="S1549" s="396"/>
      <c r="T1549" s="396"/>
      <c r="U1549" s="396"/>
      <c r="V1549" s="396"/>
      <c r="W1549" s="396"/>
      <c r="X1549" s="396"/>
      <c r="Y1549" s="396"/>
      <c r="Z1549" s="396"/>
      <c r="AA1549" s="396"/>
      <c r="AB1549" s="396"/>
      <c r="AC1549" s="396"/>
      <c r="AD1549" s="396"/>
      <c r="AE1549" s="396"/>
      <c r="AF1549" s="396"/>
      <c r="AG1549" s="396"/>
      <c r="AH1549" s="396"/>
      <c r="AI1549" s="396"/>
      <c r="AJ1549" s="396"/>
      <c r="AK1549" s="405">
        <f t="shared" si="248"/>
        <v>0</v>
      </c>
      <c r="AL1549" s="394"/>
      <c r="AM1549" s="396">
        <f>AK1549</f>
        <v>0</v>
      </c>
      <c r="AN1549" s="374">
        <f>AM1549</f>
        <v>0</v>
      </c>
    </row>
    <row r="1550" spans="3:40" ht="12.75" x14ac:dyDescent="0.2">
      <c r="C1550" s="580"/>
      <c r="D1550" s="643" t="s">
        <v>37</v>
      </c>
      <c r="E1550" s="393" t="s">
        <v>18</v>
      </c>
      <c r="F1550" s="394"/>
      <c r="G1550" s="394"/>
      <c r="H1550" s="394"/>
      <c r="I1550" s="394"/>
      <c r="J1550" s="394"/>
      <c r="K1550" s="394"/>
      <c r="L1550" s="394"/>
      <c r="M1550" s="394"/>
      <c r="N1550" s="394"/>
      <c r="O1550" s="394"/>
      <c r="P1550" s="394"/>
      <c r="Q1550" s="394"/>
      <c r="R1550" s="394"/>
      <c r="S1550" s="394"/>
      <c r="T1550" s="394"/>
      <c r="U1550" s="394"/>
      <c r="V1550" s="394"/>
      <c r="W1550" s="394"/>
      <c r="X1550" s="394"/>
      <c r="Y1550" s="394"/>
      <c r="Z1550" s="394"/>
      <c r="AA1550" s="394"/>
      <c r="AB1550" s="394"/>
      <c r="AC1550" s="394"/>
      <c r="AD1550" s="394"/>
      <c r="AE1550" s="394"/>
      <c r="AF1550" s="394"/>
      <c r="AG1550" s="394"/>
      <c r="AH1550" s="394"/>
      <c r="AI1550" s="394"/>
      <c r="AJ1550" s="394"/>
      <c r="AK1550" s="395">
        <f t="shared" si="248"/>
        <v>0</v>
      </c>
      <c r="AL1550" s="408">
        <f>AK1550</f>
        <v>0</v>
      </c>
      <c r="AM1550" s="409"/>
      <c r="AN1550" s="633">
        <f>SUM(AL1550:AM1551)</f>
        <v>10.1</v>
      </c>
    </row>
    <row r="1551" spans="3:40" ht="12.75" x14ac:dyDescent="0.2">
      <c r="C1551" s="580"/>
      <c r="D1551" s="577"/>
      <c r="E1551" s="404" t="s">
        <v>19</v>
      </c>
      <c r="F1551" s="396"/>
      <c r="G1551" s="396"/>
      <c r="H1551" s="404">
        <v>2.5</v>
      </c>
      <c r="I1551" s="396"/>
      <c r="J1551" s="396"/>
      <c r="K1551" s="396"/>
      <c r="L1551" s="404">
        <v>0.9</v>
      </c>
      <c r="M1551" s="396"/>
      <c r="N1551" s="404">
        <v>5</v>
      </c>
      <c r="O1551" s="396"/>
      <c r="P1551" s="396"/>
      <c r="Q1551" s="396"/>
      <c r="R1551" s="396"/>
      <c r="S1551" s="396"/>
      <c r="T1551" s="404"/>
      <c r="U1551" s="404"/>
      <c r="V1551" s="404"/>
      <c r="W1551" s="404"/>
      <c r="X1551" s="404"/>
      <c r="Y1551" s="396"/>
      <c r="Z1551" s="396"/>
      <c r="AA1551" s="404">
        <f>0.85*2</f>
        <v>1.7</v>
      </c>
      <c r="AB1551" s="404"/>
      <c r="AC1551" s="404"/>
      <c r="AD1551" s="404"/>
      <c r="AE1551" s="404"/>
      <c r="AF1551" s="396"/>
      <c r="AG1551" s="396"/>
      <c r="AH1551" s="396"/>
      <c r="AI1551" s="396"/>
      <c r="AJ1551" s="396"/>
      <c r="AK1551" s="405">
        <f t="shared" si="248"/>
        <v>10.1</v>
      </c>
      <c r="AL1551" s="406"/>
      <c r="AM1551" s="407">
        <f>AK1551</f>
        <v>10.1</v>
      </c>
      <c r="AN1551" s="583"/>
    </row>
    <row r="1552" spans="3:40" ht="12.75" x14ac:dyDescent="0.2">
      <c r="C1552" s="580"/>
      <c r="D1552" s="402" t="s">
        <v>38</v>
      </c>
      <c r="E1552" s="393" t="s">
        <v>18</v>
      </c>
      <c r="F1552" s="394"/>
      <c r="G1552" s="394"/>
      <c r="H1552" s="394"/>
      <c r="I1552" s="394"/>
      <c r="J1552" s="394"/>
      <c r="K1552" s="394"/>
      <c r="L1552" s="394"/>
      <c r="M1552" s="394"/>
      <c r="N1552" s="394"/>
      <c r="O1552" s="394"/>
      <c r="P1552" s="394"/>
      <c r="Q1552" s="394"/>
      <c r="R1552" s="394"/>
      <c r="S1552" s="394"/>
      <c r="T1552" s="394"/>
      <c r="U1552" s="394"/>
      <c r="V1552" s="394"/>
      <c r="W1552" s="394"/>
      <c r="X1552" s="394"/>
      <c r="Y1552" s="394"/>
      <c r="Z1552" s="394"/>
      <c r="AA1552" s="394"/>
      <c r="AB1552" s="394"/>
      <c r="AC1552" s="394"/>
      <c r="AD1552" s="394"/>
      <c r="AE1552" s="394"/>
      <c r="AF1552" s="394"/>
      <c r="AG1552" s="394"/>
      <c r="AH1552" s="394"/>
      <c r="AI1552" s="394"/>
      <c r="AJ1552" s="394"/>
      <c r="AK1552" s="395">
        <f t="shared" si="248"/>
        <v>0</v>
      </c>
      <c r="AL1552" s="394">
        <f t="shared" ref="AL1552:AL1554" si="249">AK1552</f>
        <v>0</v>
      </c>
      <c r="AM1552" s="396"/>
      <c r="AN1552" s="374">
        <f t="shared" ref="AN1552:AN1553" si="250">AL1552</f>
        <v>0</v>
      </c>
    </row>
    <row r="1553" spans="3:40" ht="12.75" x14ac:dyDescent="0.2">
      <c r="C1553" s="580"/>
      <c r="D1553" s="402" t="s">
        <v>39</v>
      </c>
      <c r="E1553" s="393" t="s">
        <v>18</v>
      </c>
      <c r="F1553" s="394"/>
      <c r="G1553" s="394"/>
      <c r="H1553" s="394"/>
      <c r="I1553" s="394"/>
      <c r="J1553" s="394"/>
      <c r="K1553" s="394"/>
      <c r="L1553" s="394"/>
      <c r="M1553" s="394"/>
      <c r="N1553" s="394"/>
      <c r="O1553" s="394"/>
      <c r="P1553" s="394"/>
      <c r="Q1553" s="394"/>
      <c r="R1553" s="394"/>
      <c r="S1553" s="394"/>
      <c r="T1553" s="394"/>
      <c r="U1553" s="393">
        <v>9</v>
      </c>
      <c r="V1553" s="394"/>
      <c r="W1553" s="394"/>
      <c r="X1553" s="394"/>
      <c r="Y1553" s="394"/>
      <c r="Z1553" s="394"/>
      <c r="AA1553" s="394"/>
      <c r="AB1553" s="394"/>
      <c r="AC1553" s="394"/>
      <c r="AD1553" s="394"/>
      <c r="AE1553" s="394"/>
      <c r="AF1553" s="394"/>
      <c r="AG1553" s="394"/>
      <c r="AH1553" s="394"/>
      <c r="AI1553" s="394"/>
      <c r="AJ1553" s="394"/>
      <c r="AK1553" s="395">
        <f t="shared" si="248"/>
        <v>9</v>
      </c>
      <c r="AL1553" s="394">
        <f t="shared" si="249"/>
        <v>9</v>
      </c>
      <c r="AM1553" s="396"/>
      <c r="AN1553" s="374">
        <f t="shared" si="250"/>
        <v>9</v>
      </c>
    </row>
    <row r="1554" spans="3:40" ht="12.75" x14ac:dyDescent="0.2">
      <c r="C1554" s="580"/>
      <c r="D1554" s="643" t="s">
        <v>40</v>
      </c>
      <c r="E1554" s="393" t="s">
        <v>18</v>
      </c>
      <c r="F1554" s="394"/>
      <c r="G1554" s="394"/>
      <c r="H1554" s="394"/>
      <c r="I1554" s="394"/>
      <c r="J1554" s="394"/>
      <c r="K1554" s="394"/>
      <c r="L1554" s="394"/>
      <c r="M1554" s="394"/>
      <c r="N1554" s="394"/>
      <c r="O1554" s="394"/>
      <c r="P1554" s="394"/>
      <c r="Q1554" s="394"/>
      <c r="R1554" s="394"/>
      <c r="S1554" s="394"/>
      <c r="T1554" s="394"/>
      <c r="U1554" s="394"/>
      <c r="V1554" s="394"/>
      <c r="W1554" s="394"/>
      <c r="X1554" s="394"/>
      <c r="Y1554" s="394"/>
      <c r="Z1554" s="394"/>
      <c r="AA1554" s="394"/>
      <c r="AB1554" s="394"/>
      <c r="AC1554" s="394"/>
      <c r="AD1554" s="394"/>
      <c r="AE1554" s="394"/>
      <c r="AF1554" s="394"/>
      <c r="AG1554" s="394"/>
      <c r="AH1554" s="394"/>
      <c r="AI1554" s="394"/>
      <c r="AJ1554" s="394"/>
      <c r="AK1554" s="395">
        <f t="shared" si="248"/>
        <v>0</v>
      </c>
      <c r="AL1554" s="408">
        <f t="shared" si="249"/>
        <v>0</v>
      </c>
      <c r="AM1554" s="409"/>
      <c r="AN1554" s="633">
        <f>SUM(AL1554:AM1555)</f>
        <v>0</v>
      </c>
    </row>
    <row r="1555" spans="3:40" ht="12.75" x14ac:dyDescent="0.2">
      <c r="C1555" s="580"/>
      <c r="D1555" s="577"/>
      <c r="E1555" s="404" t="s">
        <v>19</v>
      </c>
      <c r="F1555" s="396"/>
      <c r="G1555" s="396"/>
      <c r="H1555" s="396"/>
      <c r="I1555" s="396"/>
      <c r="J1555" s="396"/>
      <c r="K1555" s="396"/>
      <c r="L1555" s="396"/>
      <c r="M1555" s="396"/>
      <c r="N1555" s="396"/>
      <c r="O1555" s="396"/>
      <c r="P1555" s="396"/>
      <c r="Q1555" s="396"/>
      <c r="R1555" s="396"/>
      <c r="S1555" s="396"/>
      <c r="T1555" s="396"/>
      <c r="U1555" s="396"/>
      <c r="V1555" s="396"/>
      <c r="W1555" s="396"/>
      <c r="X1555" s="396"/>
      <c r="Y1555" s="396"/>
      <c r="Z1555" s="396"/>
      <c r="AA1555" s="396"/>
      <c r="AB1555" s="396"/>
      <c r="AC1555" s="396"/>
      <c r="AD1555" s="396"/>
      <c r="AE1555" s="396"/>
      <c r="AF1555" s="396"/>
      <c r="AG1555" s="396"/>
      <c r="AH1555" s="396"/>
      <c r="AI1555" s="396"/>
      <c r="AJ1555" s="396"/>
      <c r="AK1555" s="405">
        <f t="shared" si="248"/>
        <v>0</v>
      </c>
      <c r="AL1555" s="406"/>
      <c r="AM1555" s="407">
        <f>AK1555</f>
        <v>0</v>
      </c>
      <c r="AN1555" s="583"/>
    </row>
    <row r="1556" spans="3:40" ht="12.75" x14ac:dyDescent="0.2">
      <c r="C1556" s="580"/>
      <c r="D1556" s="643" t="s">
        <v>41</v>
      </c>
      <c r="E1556" s="393" t="s">
        <v>18</v>
      </c>
      <c r="F1556" s="394"/>
      <c r="G1556" s="394"/>
      <c r="H1556" s="394"/>
      <c r="I1556" s="394"/>
      <c r="J1556" s="394"/>
      <c r="K1556" s="394"/>
      <c r="L1556" s="394"/>
      <c r="M1556" s="394"/>
      <c r="N1556" s="394"/>
      <c r="O1556" s="394"/>
      <c r="P1556" s="394"/>
      <c r="Q1556" s="394"/>
      <c r="R1556" s="394"/>
      <c r="S1556" s="394"/>
      <c r="T1556" s="394"/>
      <c r="U1556" s="394"/>
      <c r="V1556" s="394"/>
      <c r="W1556" s="394"/>
      <c r="X1556" s="394"/>
      <c r="Y1556" s="394"/>
      <c r="Z1556" s="394"/>
      <c r="AA1556" s="393">
        <v>50</v>
      </c>
      <c r="AB1556" s="394"/>
      <c r="AC1556" s="394"/>
      <c r="AD1556" s="394"/>
      <c r="AE1556" s="394"/>
      <c r="AF1556" s="394"/>
      <c r="AG1556" s="394"/>
      <c r="AH1556" s="394"/>
      <c r="AI1556" s="394"/>
      <c r="AJ1556" s="394"/>
      <c r="AK1556" s="395">
        <f t="shared" si="248"/>
        <v>50</v>
      </c>
      <c r="AL1556" s="408">
        <f>AK1556</f>
        <v>50</v>
      </c>
      <c r="AM1556" s="409"/>
      <c r="AN1556" s="633">
        <f>SUM(AL1556:AM1557)</f>
        <v>450</v>
      </c>
    </row>
    <row r="1557" spans="3:40" ht="12.75" x14ac:dyDescent="0.2">
      <c r="C1557" s="580"/>
      <c r="D1557" s="577"/>
      <c r="E1557" s="404" t="s">
        <v>19</v>
      </c>
      <c r="F1557" s="396"/>
      <c r="G1557" s="396"/>
      <c r="H1557" s="396"/>
      <c r="I1557" s="396"/>
      <c r="J1557" s="396"/>
      <c r="K1557" s="396"/>
      <c r="L1557" s="396"/>
      <c r="M1557" s="396"/>
      <c r="N1557" s="396"/>
      <c r="O1557" s="396"/>
      <c r="P1557" s="396"/>
      <c r="Q1557" s="404"/>
      <c r="R1557" s="404"/>
      <c r="S1557" s="404"/>
      <c r="T1557" s="396"/>
      <c r="U1557" s="404">
        <v>400</v>
      </c>
      <c r="V1557" s="396"/>
      <c r="W1557" s="396"/>
      <c r="X1557" s="396"/>
      <c r="Y1557" s="396"/>
      <c r="Z1557" s="396"/>
      <c r="AA1557" s="396"/>
      <c r="AB1557" s="396"/>
      <c r="AC1557" s="396"/>
      <c r="AD1557" s="396"/>
      <c r="AE1557" s="396"/>
      <c r="AF1557" s="396"/>
      <c r="AG1557" s="396"/>
      <c r="AH1557" s="396"/>
      <c r="AI1557" s="396"/>
      <c r="AJ1557" s="396"/>
      <c r="AK1557" s="405">
        <f t="shared" si="248"/>
        <v>400</v>
      </c>
      <c r="AL1557" s="406"/>
      <c r="AM1557" s="407">
        <f>AK1557</f>
        <v>400</v>
      </c>
      <c r="AN1557" s="583"/>
    </row>
    <row r="1558" spans="3:40" ht="12.75" x14ac:dyDescent="0.2">
      <c r="C1558" s="580"/>
      <c r="D1558" s="402" t="s">
        <v>42</v>
      </c>
      <c r="E1558" s="393" t="s">
        <v>18</v>
      </c>
      <c r="F1558" s="394"/>
      <c r="G1558" s="394"/>
      <c r="H1558" s="394"/>
      <c r="I1558" s="393">
        <v>50</v>
      </c>
      <c r="J1558" s="394"/>
      <c r="K1558" s="394"/>
      <c r="L1558" s="394"/>
      <c r="M1558" s="394"/>
      <c r="N1558" s="394"/>
      <c r="O1558" s="394"/>
      <c r="P1558" s="394"/>
      <c r="Q1558" s="394"/>
      <c r="R1558" s="394"/>
      <c r="S1558" s="394"/>
      <c r="T1558" s="394"/>
      <c r="U1558" s="394"/>
      <c r="V1558" s="394"/>
      <c r="W1558" s="394"/>
      <c r="X1558" s="394"/>
      <c r="Y1558" s="394"/>
      <c r="Z1558" s="394"/>
      <c r="AA1558" s="394"/>
      <c r="AB1558" s="394"/>
      <c r="AC1558" s="394"/>
      <c r="AD1558" s="394"/>
      <c r="AE1558" s="394"/>
      <c r="AF1558" s="394"/>
      <c r="AG1558" s="394"/>
      <c r="AH1558" s="394"/>
      <c r="AI1558" s="394"/>
      <c r="AJ1558" s="394"/>
      <c r="AK1558" s="395">
        <f t="shared" si="248"/>
        <v>50</v>
      </c>
      <c r="AL1558" s="394">
        <f>AK1558</f>
        <v>50</v>
      </c>
      <c r="AM1558" s="396"/>
      <c r="AN1558" s="374">
        <f>AL1558</f>
        <v>50</v>
      </c>
    </row>
    <row r="1559" spans="3:40" ht="12.75" x14ac:dyDescent="0.2">
      <c r="C1559" s="580"/>
      <c r="D1559" s="402" t="s">
        <v>43</v>
      </c>
      <c r="E1559" s="404" t="s">
        <v>19</v>
      </c>
      <c r="F1559" s="396"/>
      <c r="G1559" s="396"/>
      <c r="H1559" s="396"/>
      <c r="I1559" s="396"/>
      <c r="J1559" s="396"/>
      <c r="K1559" s="396"/>
      <c r="L1559" s="396"/>
      <c r="M1559" s="396"/>
      <c r="N1559" s="396"/>
      <c r="O1559" s="396"/>
      <c r="P1559" s="396"/>
      <c r="Q1559" s="396"/>
      <c r="R1559" s="396"/>
      <c r="S1559" s="396"/>
      <c r="T1559" s="396"/>
      <c r="U1559" s="396"/>
      <c r="V1559" s="396"/>
      <c r="W1559" s="396"/>
      <c r="X1559" s="396"/>
      <c r="Y1559" s="396"/>
      <c r="Z1559" s="396"/>
      <c r="AA1559" s="396"/>
      <c r="AB1559" s="396"/>
      <c r="AC1559" s="396"/>
      <c r="AD1559" s="396"/>
      <c r="AE1559" s="396"/>
      <c r="AF1559" s="396"/>
      <c r="AG1559" s="396"/>
      <c r="AH1559" s="396"/>
      <c r="AI1559" s="396"/>
      <c r="AJ1559" s="396"/>
      <c r="AK1559" s="405">
        <f t="shared" si="248"/>
        <v>0</v>
      </c>
      <c r="AL1559" s="394"/>
      <c r="AM1559" s="396">
        <f>AK1559</f>
        <v>0</v>
      </c>
      <c r="AN1559" s="374">
        <f>AM1559</f>
        <v>0</v>
      </c>
    </row>
    <row r="1560" spans="3:40" ht="12.75" x14ac:dyDescent="0.2">
      <c r="C1560" s="580"/>
      <c r="D1560" s="643" t="s">
        <v>44</v>
      </c>
      <c r="E1560" s="393" t="s">
        <v>18</v>
      </c>
      <c r="F1560" s="394"/>
      <c r="G1560" s="394"/>
      <c r="H1560" s="394"/>
      <c r="I1560" s="394"/>
      <c r="J1560" s="394"/>
      <c r="K1560" s="394"/>
      <c r="L1560" s="394"/>
      <c r="M1560" s="394"/>
      <c r="N1560" s="394"/>
      <c r="O1560" s="394"/>
      <c r="P1560" s="394"/>
      <c r="Q1560" s="394"/>
      <c r="R1560" s="394"/>
      <c r="S1560" s="394"/>
      <c r="T1560" s="394"/>
      <c r="U1560" s="394"/>
      <c r="V1560" s="394"/>
      <c r="W1560" s="394"/>
      <c r="X1560" s="394"/>
      <c r="Y1560" s="394"/>
      <c r="Z1560" s="394"/>
      <c r="AA1560" s="394"/>
      <c r="AB1560" s="394"/>
      <c r="AC1560" s="394"/>
      <c r="AD1560" s="394"/>
      <c r="AE1560" s="394"/>
      <c r="AF1560" s="394"/>
      <c r="AG1560" s="394"/>
      <c r="AH1560" s="394"/>
      <c r="AI1560" s="394"/>
      <c r="AJ1560" s="394"/>
      <c r="AK1560" s="395">
        <f t="shared" si="248"/>
        <v>0</v>
      </c>
      <c r="AL1560" s="408">
        <f>AK1560</f>
        <v>0</v>
      </c>
      <c r="AM1560" s="409"/>
      <c r="AN1560" s="633">
        <f>SUM(AL1560:AM1561)</f>
        <v>0</v>
      </c>
    </row>
    <row r="1561" spans="3:40" ht="12.75" x14ac:dyDescent="0.2">
      <c r="C1561" s="581"/>
      <c r="D1561" s="585"/>
      <c r="E1561" s="404" t="s">
        <v>19</v>
      </c>
      <c r="F1561" s="407"/>
      <c r="G1561" s="407"/>
      <c r="H1561" s="407"/>
      <c r="I1561" s="407"/>
      <c r="J1561" s="407"/>
      <c r="K1561" s="407"/>
      <c r="L1561" s="407"/>
      <c r="M1561" s="407"/>
      <c r="N1561" s="407"/>
      <c r="O1561" s="407"/>
      <c r="P1561" s="407"/>
      <c r="Q1561" s="407"/>
      <c r="R1561" s="407"/>
      <c r="S1561" s="407"/>
      <c r="T1561" s="407"/>
      <c r="U1561" s="407"/>
      <c r="V1561" s="407"/>
      <c r="W1561" s="407"/>
      <c r="X1561" s="407"/>
      <c r="Y1561" s="407"/>
      <c r="Z1561" s="407"/>
      <c r="AA1561" s="407"/>
      <c r="AB1561" s="407"/>
      <c r="AC1561" s="407"/>
      <c r="AD1561" s="407"/>
      <c r="AE1561" s="407"/>
      <c r="AF1561" s="407"/>
      <c r="AG1561" s="407"/>
      <c r="AH1561" s="407"/>
      <c r="AI1561" s="407"/>
      <c r="AJ1561" s="407"/>
      <c r="AK1561" s="405">
        <f t="shared" si="248"/>
        <v>0</v>
      </c>
      <c r="AL1561" s="406"/>
      <c r="AM1561" s="407">
        <f>AK1561</f>
        <v>0</v>
      </c>
      <c r="AN1561" s="583"/>
    </row>
    <row r="1562" spans="3:40" ht="12.75" x14ac:dyDescent="0.2">
      <c r="C1562" s="629" t="s">
        <v>45</v>
      </c>
      <c r="D1562" s="644" t="s">
        <v>46</v>
      </c>
      <c r="E1562" s="411" t="s">
        <v>18</v>
      </c>
      <c r="F1562" s="412">
        <f>2.79+0.38+1.45</f>
        <v>4.62</v>
      </c>
      <c r="G1562" s="411">
        <v>5.09</v>
      </c>
      <c r="H1562" s="412">
        <f>5.04+5.04</f>
        <v>10.08</v>
      </c>
      <c r="I1562" s="412"/>
      <c r="J1562" s="412"/>
      <c r="K1562" s="412"/>
      <c r="L1562" s="412"/>
      <c r="M1562" s="412"/>
      <c r="N1562" s="412"/>
      <c r="O1562" s="412"/>
      <c r="P1562" s="412"/>
      <c r="Q1562" s="412"/>
      <c r="R1562" s="412"/>
      <c r="S1562" s="412"/>
      <c r="T1562" s="412">
        <f>28.03*2</f>
        <v>56.06</v>
      </c>
      <c r="U1562" s="412"/>
      <c r="V1562" s="411">
        <v>0.36</v>
      </c>
      <c r="W1562" s="411">
        <v>0.8</v>
      </c>
      <c r="X1562" s="412"/>
      <c r="Y1562" s="412"/>
      <c r="Z1562" s="412">
        <f>30.41-2.09</f>
        <v>28.32</v>
      </c>
      <c r="AA1562" s="412">
        <f>1.56+1.45+1.45</f>
        <v>4.46</v>
      </c>
      <c r="AB1562" s="411"/>
      <c r="AC1562" s="412">
        <f>0.99+2.69+8.51</f>
        <v>12.19</v>
      </c>
      <c r="AD1562" s="412">
        <f>4.07+0.38+0.57+0.57</f>
        <v>5.5900000000000007</v>
      </c>
      <c r="AE1562" s="412">
        <f>5.72+3.19+6.54</f>
        <v>15.45</v>
      </c>
      <c r="AF1562" s="412"/>
      <c r="AG1562" s="411">
        <v>3.95</v>
      </c>
      <c r="AH1562" s="412"/>
      <c r="AI1562" s="412"/>
      <c r="AJ1562" s="412">
        <f>0.38+1.57+0.98+10.54+4.7+3.28+5.31+3.43</f>
        <v>30.189999999999998</v>
      </c>
      <c r="AK1562" s="395">
        <f t="shared" si="248"/>
        <v>177.15999999999997</v>
      </c>
      <c r="AL1562" s="408">
        <f>AK1562</f>
        <v>177.15999999999997</v>
      </c>
      <c r="AM1562" s="409"/>
      <c r="AN1562" s="633">
        <f>SUM(AL1562:AM1563)</f>
        <v>267.58999999999997</v>
      </c>
    </row>
    <row r="1563" spans="3:40" ht="12.75" x14ac:dyDescent="0.2">
      <c r="C1563" s="580"/>
      <c r="D1563" s="577"/>
      <c r="E1563" s="404" t="s">
        <v>19</v>
      </c>
      <c r="F1563" s="396"/>
      <c r="G1563" s="396"/>
      <c r="H1563" s="396"/>
      <c r="I1563" s="396"/>
      <c r="J1563" s="396"/>
      <c r="K1563" s="396"/>
      <c r="L1563" s="404">
        <v>3</v>
      </c>
      <c r="M1563" s="396"/>
      <c r="N1563" s="396">
        <f>2.79+10.19+3.2+2.09+4.84+1.05+5.21+4.97</f>
        <v>34.340000000000003</v>
      </c>
      <c r="O1563" s="396"/>
      <c r="P1563" s="396"/>
      <c r="Q1563" s="396"/>
      <c r="R1563" s="396"/>
      <c r="S1563" s="404">
        <v>19.09</v>
      </c>
      <c r="T1563" s="404"/>
      <c r="U1563" s="396"/>
      <c r="V1563" s="404">
        <v>34</v>
      </c>
      <c r="W1563" s="396"/>
      <c r="X1563" s="404"/>
      <c r="Y1563" s="396"/>
      <c r="Z1563" s="404"/>
      <c r="AA1563" s="396"/>
      <c r="AB1563" s="404"/>
      <c r="AC1563" s="404"/>
      <c r="AD1563" s="404"/>
      <c r="AE1563" s="396"/>
      <c r="AF1563" s="396"/>
      <c r="AG1563" s="396"/>
      <c r="AH1563" s="396"/>
      <c r="AI1563" s="396"/>
      <c r="AJ1563" s="396"/>
      <c r="AK1563" s="405">
        <f t="shared" si="248"/>
        <v>90.43</v>
      </c>
      <c r="AL1563" s="406"/>
      <c r="AM1563" s="407">
        <f>AK1563</f>
        <v>90.43</v>
      </c>
      <c r="AN1563" s="583"/>
    </row>
    <row r="1564" spans="3:40" ht="12.75" x14ac:dyDescent="0.2">
      <c r="C1564" s="580"/>
      <c r="D1564" s="643" t="s">
        <v>47</v>
      </c>
      <c r="E1564" s="393" t="s">
        <v>18</v>
      </c>
      <c r="F1564" s="394">
        <f>3.82-0.31-0.03</f>
        <v>3.48</v>
      </c>
      <c r="G1564" s="393">
        <v>2.77</v>
      </c>
      <c r="H1564" s="393">
        <v>45.8</v>
      </c>
      <c r="I1564" s="393">
        <v>6.53</v>
      </c>
      <c r="J1564" s="393">
        <v>32.97</v>
      </c>
      <c r="K1564" s="394"/>
      <c r="L1564" s="394"/>
      <c r="M1564" s="394"/>
      <c r="N1564" s="394"/>
      <c r="O1564" s="394"/>
      <c r="P1564" s="394"/>
      <c r="Q1564" s="393"/>
      <c r="R1564" s="394"/>
      <c r="S1564" s="394"/>
      <c r="T1564" s="393">
        <v>2.79</v>
      </c>
      <c r="U1564" s="394"/>
      <c r="V1564" s="394"/>
      <c r="W1564" s="394"/>
      <c r="X1564" s="393">
        <v>2.09</v>
      </c>
      <c r="Y1564" s="394"/>
      <c r="Z1564" s="393">
        <v>2.09</v>
      </c>
      <c r="AA1564" s="394">
        <f>4.59+2.63</f>
        <v>7.22</v>
      </c>
      <c r="AB1564" s="393"/>
      <c r="AC1564" s="394">
        <f>2.79+2.09</f>
        <v>4.88</v>
      </c>
      <c r="AD1564" s="394">
        <f>0.89+0.22+3.35+4.27+0.22+5.74+2.89+2.77</f>
        <v>20.350000000000001</v>
      </c>
      <c r="AE1564" s="394">
        <f>2.91</f>
        <v>2.91</v>
      </c>
      <c r="AF1564" s="393"/>
      <c r="AG1564" s="393">
        <f>2+2.09+1.99</f>
        <v>6.08</v>
      </c>
      <c r="AH1564" s="394"/>
      <c r="AI1564" s="394"/>
      <c r="AJ1564" s="393">
        <f>2+4.97+2.06</f>
        <v>9.0299999999999994</v>
      </c>
      <c r="AK1564" s="395">
        <f t="shared" si="248"/>
        <v>148.99</v>
      </c>
      <c r="AL1564" s="408">
        <f>AK1564</f>
        <v>148.99</v>
      </c>
      <c r="AM1564" s="409"/>
      <c r="AN1564" s="633">
        <f>SUM(AL1564:AM1565)</f>
        <v>167.26000000000002</v>
      </c>
    </row>
    <row r="1565" spans="3:40" ht="12.75" x14ac:dyDescent="0.2">
      <c r="C1565" s="580"/>
      <c r="D1565" s="577"/>
      <c r="E1565" s="404" t="s">
        <v>19</v>
      </c>
      <c r="F1565" s="396"/>
      <c r="G1565" s="396"/>
      <c r="H1565" s="404">
        <v>2</v>
      </c>
      <c r="I1565" s="404"/>
      <c r="J1565" s="396"/>
      <c r="K1565" s="396"/>
      <c r="L1565" s="396"/>
      <c r="M1565" s="396"/>
      <c r="N1565" s="396">
        <f>2.69+4.97</f>
        <v>7.66</v>
      </c>
      <c r="O1565" s="396"/>
      <c r="P1565" s="404">
        <v>8.61</v>
      </c>
      <c r="Q1565" s="404"/>
      <c r="R1565" s="404"/>
      <c r="S1565" s="404"/>
      <c r="T1565" s="404"/>
      <c r="U1565" s="404"/>
      <c r="V1565" s="404"/>
      <c r="W1565" s="404"/>
      <c r="X1565" s="404"/>
      <c r="Y1565" s="396"/>
      <c r="Z1565" s="404"/>
      <c r="AA1565" s="396"/>
      <c r="AB1565" s="404"/>
      <c r="AC1565" s="396"/>
      <c r="AD1565" s="396"/>
      <c r="AE1565" s="396"/>
      <c r="AF1565" s="396"/>
      <c r="AG1565" s="396"/>
      <c r="AH1565" s="396"/>
      <c r="AI1565" s="396"/>
      <c r="AJ1565" s="396"/>
      <c r="AK1565" s="405">
        <f t="shared" si="248"/>
        <v>18.27</v>
      </c>
      <c r="AL1565" s="406"/>
      <c r="AM1565" s="407">
        <f>AK1565</f>
        <v>18.27</v>
      </c>
      <c r="AN1565" s="583"/>
    </row>
    <row r="1566" spans="3:40" ht="12.75" x14ac:dyDescent="0.2">
      <c r="C1566" s="580"/>
      <c r="D1566" s="643" t="s">
        <v>48</v>
      </c>
      <c r="E1566" s="393" t="s">
        <v>18</v>
      </c>
      <c r="F1566" s="394"/>
      <c r="G1566" s="393">
        <v>3.14</v>
      </c>
      <c r="H1566" s="394"/>
      <c r="I1566" s="394"/>
      <c r="J1566" s="394"/>
      <c r="K1566" s="394"/>
      <c r="L1566" s="394"/>
      <c r="M1566" s="394"/>
      <c r="N1566" s="394"/>
      <c r="O1566" s="394"/>
      <c r="P1566" s="394"/>
      <c r="Q1566" s="393"/>
      <c r="R1566" s="393"/>
      <c r="S1566" s="393"/>
      <c r="T1566" s="393"/>
      <c r="U1566" s="393">
        <v>2.36</v>
      </c>
      <c r="V1566" s="393">
        <v>2.88</v>
      </c>
      <c r="W1566" s="393"/>
      <c r="X1566" s="394"/>
      <c r="Y1566" s="393">
        <v>3.94</v>
      </c>
      <c r="Z1566" s="394"/>
      <c r="AA1566" s="394"/>
      <c r="AB1566" s="393">
        <v>3.54</v>
      </c>
      <c r="AC1566" s="393">
        <v>4</v>
      </c>
      <c r="AD1566" s="394"/>
      <c r="AE1566" s="393"/>
      <c r="AF1566" s="393">
        <v>5.47</v>
      </c>
      <c r="AG1566" s="393">
        <v>3.86</v>
      </c>
      <c r="AH1566" s="393">
        <v>5.09</v>
      </c>
      <c r="AI1566" s="394"/>
      <c r="AJ1566" s="393">
        <v>5.74</v>
      </c>
      <c r="AK1566" s="395">
        <f t="shared" si="248"/>
        <v>40.020000000000003</v>
      </c>
      <c r="AL1566" s="408">
        <f>AK1566</f>
        <v>40.020000000000003</v>
      </c>
      <c r="AM1566" s="409"/>
      <c r="AN1566" s="633">
        <f>SUM(AL1566:AM1567)</f>
        <v>64.64</v>
      </c>
    </row>
    <row r="1567" spans="3:40" ht="12.75" x14ac:dyDescent="0.2">
      <c r="C1567" s="580"/>
      <c r="D1567" s="577"/>
      <c r="E1567" s="404" t="s">
        <v>19</v>
      </c>
      <c r="F1567" s="396"/>
      <c r="G1567" s="396"/>
      <c r="H1567" s="404">
        <v>2.8</v>
      </c>
      <c r="I1567" s="396"/>
      <c r="J1567" s="396"/>
      <c r="K1567" s="404">
        <v>5.96</v>
      </c>
      <c r="L1567" s="404">
        <v>7.33</v>
      </c>
      <c r="M1567" s="404">
        <v>3.07</v>
      </c>
      <c r="N1567" s="396"/>
      <c r="O1567" s="396"/>
      <c r="P1567" s="396"/>
      <c r="Q1567" s="404"/>
      <c r="R1567" s="404"/>
      <c r="S1567" s="404"/>
      <c r="T1567" s="404">
        <v>5.46</v>
      </c>
      <c r="U1567" s="404"/>
      <c r="V1567" s="404"/>
      <c r="W1567" s="404"/>
      <c r="X1567" s="404"/>
      <c r="Y1567" s="396"/>
      <c r="Z1567" s="396"/>
      <c r="AA1567" s="404"/>
      <c r="AB1567" s="404"/>
      <c r="AC1567" s="404"/>
      <c r="AD1567" s="404"/>
      <c r="AE1567" s="404"/>
      <c r="AF1567" s="396"/>
      <c r="AG1567" s="396"/>
      <c r="AH1567" s="396"/>
      <c r="AI1567" s="396"/>
      <c r="AJ1567" s="396"/>
      <c r="AK1567" s="405">
        <f t="shared" si="248"/>
        <v>24.62</v>
      </c>
      <c r="AL1567" s="406"/>
      <c r="AM1567" s="407">
        <f>AK1567</f>
        <v>24.62</v>
      </c>
      <c r="AN1567" s="583"/>
    </row>
    <row r="1568" spans="3:40" ht="12.75" x14ac:dyDescent="0.2">
      <c r="C1568" s="580"/>
      <c r="D1568" s="643" t="s">
        <v>49</v>
      </c>
      <c r="E1568" s="393" t="s">
        <v>18</v>
      </c>
      <c r="F1568" s="393">
        <v>4</v>
      </c>
      <c r="G1568" s="393">
        <v>3</v>
      </c>
      <c r="H1568" s="394"/>
      <c r="I1568" s="394"/>
      <c r="J1568" s="394"/>
      <c r="K1568" s="394"/>
      <c r="L1568" s="394"/>
      <c r="M1568" s="394"/>
      <c r="N1568" s="394"/>
      <c r="O1568" s="394"/>
      <c r="P1568" s="394"/>
      <c r="Q1568" s="393">
        <v>2.99</v>
      </c>
      <c r="R1568" s="394"/>
      <c r="S1568" s="394"/>
      <c r="T1568" s="393">
        <f>3+3</f>
        <v>6</v>
      </c>
      <c r="U1568" s="393">
        <v>3</v>
      </c>
      <c r="V1568" s="393">
        <v>3</v>
      </c>
      <c r="W1568" s="393">
        <v>6</v>
      </c>
      <c r="X1568" s="394"/>
      <c r="Y1568" s="394"/>
      <c r="Z1568" s="393">
        <v>3</v>
      </c>
      <c r="AA1568" s="393">
        <v>3</v>
      </c>
      <c r="AB1568" s="393">
        <v>3</v>
      </c>
      <c r="AC1568" s="394"/>
      <c r="AD1568" s="394"/>
      <c r="AE1568" s="393"/>
      <c r="AF1568" s="393">
        <v>3</v>
      </c>
      <c r="AG1568" s="393">
        <v>3</v>
      </c>
      <c r="AH1568" s="393">
        <v>8</v>
      </c>
      <c r="AI1568" s="393">
        <v>3</v>
      </c>
      <c r="AJ1568" s="394"/>
      <c r="AK1568" s="395">
        <f t="shared" si="248"/>
        <v>53.99</v>
      </c>
      <c r="AL1568" s="408">
        <f>AK1568</f>
        <v>53.99</v>
      </c>
      <c r="AM1568" s="409"/>
      <c r="AN1568" s="633">
        <f>SUM(AL1568:AM1569)</f>
        <v>101.99000000000001</v>
      </c>
    </row>
    <row r="1569" spans="3:40" ht="12.75" x14ac:dyDescent="0.2">
      <c r="C1569" s="580"/>
      <c r="D1569" s="577"/>
      <c r="E1569" s="404" t="s">
        <v>19</v>
      </c>
      <c r="F1569" s="396"/>
      <c r="G1569" s="396"/>
      <c r="H1569" s="404">
        <v>3</v>
      </c>
      <c r="I1569" s="404">
        <v>3</v>
      </c>
      <c r="J1569" s="396"/>
      <c r="K1569" s="404">
        <v>3</v>
      </c>
      <c r="L1569" s="404">
        <v>9</v>
      </c>
      <c r="M1569" s="404">
        <v>6</v>
      </c>
      <c r="N1569" s="404">
        <v>6</v>
      </c>
      <c r="O1569" s="404">
        <v>3</v>
      </c>
      <c r="P1569" s="404">
        <v>3</v>
      </c>
      <c r="Q1569" s="404"/>
      <c r="R1569" s="404">
        <v>6</v>
      </c>
      <c r="S1569" s="404"/>
      <c r="T1569" s="404"/>
      <c r="U1569" s="404"/>
      <c r="V1569" s="404"/>
      <c r="W1569" s="404"/>
      <c r="X1569" s="404"/>
      <c r="Y1569" s="404">
        <f>3+3</f>
        <v>6</v>
      </c>
      <c r="Z1569" s="404"/>
      <c r="AA1569" s="396"/>
      <c r="AB1569" s="396"/>
      <c r="AC1569" s="396"/>
      <c r="AD1569" s="396"/>
      <c r="AE1569" s="404"/>
      <c r="AF1569" s="396"/>
      <c r="AG1569" s="396"/>
      <c r="AH1569" s="396"/>
      <c r="AI1569" s="396"/>
      <c r="AJ1569" s="396"/>
      <c r="AK1569" s="405">
        <f t="shared" si="248"/>
        <v>48</v>
      </c>
      <c r="AL1569" s="406"/>
      <c r="AM1569" s="407">
        <f>AK1569</f>
        <v>48</v>
      </c>
      <c r="AN1569" s="583"/>
    </row>
    <row r="1570" spans="3:40" ht="12.75" x14ac:dyDescent="0.2">
      <c r="C1570" s="580"/>
      <c r="D1570" s="643" t="s">
        <v>50</v>
      </c>
      <c r="E1570" s="393" t="s">
        <v>18</v>
      </c>
      <c r="F1570" s="394"/>
      <c r="G1570" s="393">
        <v>5.3</v>
      </c>
      <c r="H1570" s="394"/>
      <c r="I1570" s="394"/>
      <c r="J1570" s="394"/>
      <c r="K1570" s="394"/>
      <c r="L1570" s="394"/>
      <c r="M1570" s="394"/>
      <c r="N1570" s="394"/>
      <c r="O1570" s="394"/>
      <c r="P1570" s="394"/>
      <c r="Q1570" s="394"/>
      <c r="R1570" s="394"/>
      <c r="S1570" s="394"/>
      <c r="T1570" s="394"/>
      <c r="U1570" s="393">
        <f>5.3*2</f>
        <v>10.6</v>
      </c>
      <c r="V1570" s="394"/>
      <c r="W1570" s="394"/>
      <c r="X1570" s="394"/>
      <c r="Y1570" s="394"/>
      <c r="Z1570" s="393">
        <v>5.3</v>
      </c>
      <c r="AA1570" s="393">
        <v>5.3</v>
      </c>
      <c r="AB1570" s="393">
        <v>5.3</v>
      </c>
      <c r="AC1570" s="393">
        <v>5.3</v>
      </c>
      <c r="AD1570" s="393">
        <v>5.3</v>
      </c>
      <c r="AE1570" s="393">
        <v>5.3</v>
      </c>
      <c r="AF1570" s="393">
        <v>5.3</v>
      </c>
      <c r="AG1570" s="393">
        <v>5.3</v>
      </c>
      <c r="AH1570" s="393">
        <v>5.3</v>
      </c>
      <c r="AI1570" s="393">
        <v>5.3</v>
      </c>
      <c r="AJ1570" s="393">
        <f>5.3*2</f>
        <v>10.6</v>
      </c>
      <c r="AK1570" s="395">
        <f t="shared" si="248"/>
        <v>79.499999999999986</v>
      </c>
      <c r="AL1570" s="408">
        <f>AK1570</f>
        <v>79.499999999999986</v>
      </c>
      <c r="AM1570" s="409"/>
      <c r="AN1570" s="633">
        <f>SUM(AL1570:AM1571)</f>
        <v>164.39999999999998</v>
      </c>
    </row>
    <row r="1571" spans="3:40" ht="12.75" x14ac:dyDescent="0.2">
      <c r="C1571" s="580"/>
      <c r="D1571" s="577"/>
      <c r="E1571" s="404" t="s">
        <v>19</v>
      </c>
      <c r="F1571" s="396"/>
      <c r="G1571" s="396"/>
      <c r="H1571" s="404">
        <v>5.3</v>
      </c>
      <c r="I1571" s="404">
        <v>5.4</v>
      </c>
      <c r="J1571" s="396"/>
      <c r="K1571" s="404">
        <v>5.3</v>
      </c>
      <c r="L1571" s="404">
        <v>5.3</v>
      </c>
      <c r="M1571" s="404">
        <v>5.3</v>
      </c>
      <c r="N1571" s="404">
        <v>5.3</v>
      </c>
      <c r="O1571" s="404">
        <v>5.3</v>
      </c>
      <c r="P1571" s="404">
        <v>5.3</v>
      </c>
      <c r="Q1571" s="404">
        <v>5.3</v>
      </c>
      <c r="R1571" s="404">
        <v>5.3</v>
      </c>
      <c r="S1571" s="404">
        <v>5.3</v>
      </c>
      <c r="T1571" s="404">
        <v>5.3</v>
      </c>
      <c r="U1571" s="404"/>
      <c r="V1571" s="404">
        <v>5.3</v>
      </c>
      <c r="W1571" s="404">
        <v>5.3</v>
      </c>
      <c r="X1571" s="404">
        <v>5.3</v>
      </c>
      <c r="Y1571" s="404">
        <v>5.3</v>
      </c>
      <c r="Z1571" s="404"/>
      <c r="AA1571" s="404"/>
      <c r="AB1571" s="404"/>
      <c r="AC1571" s="404"/>
      <c r="AD1571" s="396"/>
      <c r="AE1571" s="396"/>
      <c r="AF1571" s="396"/>
      <c r="AG1571" s="396"/>
      <c r="AH1571" s="396"/>
      <c r="AI1571" s="396"/>
      <c r="AJ1571" s="396"/>
      <c r="AK1571" s="405">
        <f t="shared" si="248"/>
        <v>84.899999999999977</v>
      </c>
      <c r="AL1571" s="406"/>
      <c r="AM1571" s="407">
        <f>AK1571</f>
        <v>84.899999999999977</v>
      </c>
      <c r="AN1571" s="583"/>
    </row>
    <row r="1572" spans="3:40" ht="12.75" x14ac:dyDescent="0.2">
      <c r="C1572" s="580"/>
      <c r="D1572" s="643" t="s">
        <v>1</v>
      </c>
      <c r="E1572" s="393" t="s">
        <v>18</v>
      </c>
      <c r="F1572" s="394"/>
      <c r="G1572" s="394"/>
      <c r="H1572" s="394"/>
      <c r="I1572" s="394"/>
      <c r="J1572" s="394"/>
      <c r="K1572" s="394"/>
      <c r="L1572" s="394"/>
      <c r="M1572" s="394"/>
      <c r="N1572" s="394"/>
      <c r="O1572" s="394"/>
      <c r="P1572" s="394"/>
      <c r="Q1572" s="393"/>
      <c r="R1572" s="393"/>
      <c r="S1572" s="393"/>
      <c r="T1572" s="394"/>
      <c r="U1572" s="393"/>
      <c r="V1572" s="393"/>
      <c r="W1572" s="394"/>
      <c r="X1572" s="393"/>
      <c r="Y1572" s="393"/>
      <c r="Z1572" s="393"/>
      <c r="AA1572" s="393"/>
      <c r="AB1572" s="393"/>
      <c r="AC1572" s="393"/>
      <c r="AD1572" s="394"/>
      <c r="AE1572" s="394"/>
      <c r="AF1572" s="394"/>
      <c r="AG1572" s="394"/>
      <c r="AH1572" s="394"/>
      <c r="AI1572" s="394"/>
      <c r="AJ1572" s="394"/>
      <c r="AK1572" s="395">
        <f t="shared" si="248"/>
        <v>0</v>
      </c>
      <c r="AL1572" s="403">
        <f>AK1572</f>
        <v>0</v>
      </c>
      <c r="AM1572" s="396"/>
      <c r="AN1572" s="633">
        <f>SUM(AL1572:AM1573)</f>
        <v>0</v>
      </c>
    </row>
    <row r="1573" spans="3:40" ht="12.75" x14ac:dyDescent="0.2">
      <c r="C1573" s="580"/>
      <c r="D1573" s="577"/>
      <c r="E1573" s="404" t="s">
        <v>19</v>
      </c>
      <c r="F1573" s="396"/>
      <c r="G1573" s="396"/>
      <c r="H1573" s="396"/>
      <c r="I1573" s="396"/>
      <c r="J1573" s="396"/>
      <c r="K1573" s="396"/>
      <c r="L1573" s="396"/>
      <c r="M1573" s="396"/>
      <c r="N1573" s="396"/>
      <c r="O1573" s="396"/>
      <c r="P1573" s="396"/>
      <c r="Q1573" s="404"/>
      <c r="R1573" s="404"/>
      <c r="S1573" s="404"/>
      <c r="T1573" s="396"/>
      <c r="U1573" s="404"/>
      <c r="V1573" s="404"/>
      <c r="W1573" s="396"/>
      <c r="X1573" s="404"/>
      <c r="Y1573" s="404"/>
      <c r="Z1573" s="404"/>
      <c r="AA1573" s="404"/>
      <c r="AB1573" s="404"/>
      <c r="AC1573" s="404"/>
      <c r="AD1573" s="396"/>
      <c r="AE1573" s="396"/>
      <c r="AF1573" s="396"/>
      <c r="AG1573" s="396"/>
      <c r="AH1573" s="396"/>
      <c r="AI1573" s="396"/>
      <c r="AJ1573" s="396"/>
      <c r="AK1573" s="405">
        <f t="shared" si="248"/>
        <v>0</v>
      </c>
      <c r="AL1573" s="403"/>
      <c r="AM1573" s="396">
        <f>AK1573</f>
        <v>0</v>
      </c>
      <c r="AN1573" s="583"/>
    </row>
    <row r="1574" spans="3:40" ht="12.75" x14ac:dyDescent="0.2">
      <c r="C1574" s="580"/>
      <c r="D1574" s="643" t="s">
        <v>97</v>
      </c>
      <c r="E1574" s="393" t="s">
        <v>18</v>
      </c>
      <c r="F1574" s="394"/>
      <c r="G1574" s="394"/>
      <c r="H1574" s="394"/>
      <c r="I1574" s="394"/>
      <c r="J1574" s="394"/>
      <c r="K1574" s="394"/>
      <c r="L1574" s="394"/>
      <c r="M1574" s="394"/>
      <c r="N1574" s="394"/>
      <c r="O1574" s="394"/>
      <c r="P1574" s="394"/>
      <c r="Q1574" s="394"/>
      <c r="R1574" s="394"/>
      <c r="S1574" s="394"/>
      <c r="T1574" s="394"/>
      <c r="U1574" s="394"/>
      <c r="V1574" s="394"/>
      <c r="W1574" s="394"/>
      <c r="X1574" s="394"/>
      <c r="Y1574" s="394"/>
      <c r="Z1574" s="394"/>
      <c r="AA1574" s="394"/>
      <c r="AB1574" s="394"/>
      <c r="AC1574" s="394"/>
      <c r="AD1574" s="394"/>
      <c r="AE1574" s="394"/>
      <c r="AF1574" s="394"/>
      <c r="AG1574" s="394"/>
      <c r="AH1574" s="394"/>
      <c r="AI1574" s="394"/>
      <c r="AJ1574" s="394"/>
      <c r="AK1574" s="395">
        <f t="shared" si="248"/>
        <v>0</v>
      </c>
      <c r="AL1574" s="408">
        <f>AK1574</f>
        <v>0</v>
      </c>
      <c r="AM1574" s="409"/>
      <c r="AN1574" s="634">
        <f>SUM(AL1574:AM1575)</f>
        <v>0</v>
      </c>
    </row>
    <row r="1575" spans="3:40" ht="12.75" x14ac:dyDescent="0.2">
      <c r="C1575" s="580"/>
      <c r="D1575" s="577"/>
      <c r="E1575" s="404" t="s">
        <v>19</v>
      </c>
      <c r="F1575" s="396"/>
      <c r="G1575" s="396"/>
      <c r="H1575" s="396"/>
      <c r="I1575" s="396"/>
      <c r="J1575" s="396"/>
      <c r="K1575" s="396"/>
      <c r="L1575" s="396"/>
      <c r="M1575" s="396"/>
      <c r="N1575" s="396"/>
      <c r="O1575" s="396"/>
      <c r="P1575" s="396"/>
      <c r="Q1575" s="396"/>
      <c r="R1575" s="396"/>
      <c r="S1575" s="396"/>
      <c r="T1575" s="396"/>
      <c r="U1575" s="396"/>
      <c r="V1575" s="396"/>
      <c r="W1575" s="396"/>
      <c r="X1575" s="396"/>
      <c r="Y1575" s="396"/>
      <c r="Z1575" s="396"/>
      <c r="AA1575" s="396"/>
      <c r="AB1575" s="396"/>
      <c r="AC1575" s="396"/>
      <c r="AD1575" s="396"/>
      <c r="AE1575" s="396"/>
      <c r="AF1575" s="396"/>
      <c r="AG1575" s="396"/>
      <c r="AH1575" s="396"/>
      <c r="AI1575" s="396"/>
      <c r="AJ1575" s="396"/>
      <c r="AK1575" s="405">
        <f t="shared" si="248"/>
        <v>0</v>
      </c>
      <c r="AL1575" s="406"/>
      <c r="AM1575" s="407">
        <f>AK1575</f>
        <v>0</v>
      </c>
      <c r="AN1575" s="583"/>
    </row>
    <row r="1576" spans="3:40" ht="12.75" x14ac:dyDescent="0.2">
      <c r="C1576" s="580"/>
      <c r="D1576" s="643" t="s">
        <v>52</v>
      </c>
      <c r="E1576" s="393" t="s">
        <v>18</v>
      </c>
      <c r="F1576" s="394"/>
      <c r="G1576" s="394"/>
      <c r="H1576" s="394"/>
      <c r="I1576" s="394"/>
      <c r="J1576" s="394"/>
      <c r="K1576" s="394"/>
      <c r="L1576" s="394"/>
      <c r="M1576" s="394"/>
      <c r="N1576" s="394"/>
      <c r="O1576" s="394"/>
      <c r="P1576" s="394"/>
      <c r="Q1576" s="394"/>
      <c r="R1576" s="394"/>
      <c r="S1576" s="394"/>
      <c r="T1576" s="394"/>
      <c r="U1576" s="394"/>
      <c r="V1576" s="394"/>
      <c r="W1576" s="394"/>
      <c r="X1576" s="394"/>
      <c r="Y1576" s="393"/>
      <c r="Z1576" s="393"/>
      <c r="AA1576" s="394"/>
      <c r="AB1576" s="394"/>
      <c r="AC1576" s="394"/>
      <c r="AD1576" s="394"/>
      <c r="AE1576" s="394"/>
      <c r="AF1576" s="394"/>
      <c r="AG1576" s="394"/>
      <c r="AH1576" s="394"/>
      <c r="AI1576" s="394"/>
      <c r="AJ1576" s="414"/>
      <c r="AK1576" s="395">
        <f t="shared" si="248"/>
        <v>0</v>
      </c>
      <c r="AL1576" s="408">
        <f>AK1576</f>
        <v>0</v>
      </c>
      <c r="AM1576" s="409"/>
      <c r="AN1576" s="633">
        <f>SUM(AL1576:AM1577)</f>
        <v>0</v>
      </c>
    </row>
    <row r="1577" spans="3:40" ht="12.75" x14ac:dyDescent="0.2">
      <c r="C1577" s="581"/>
      <c r="D1577" s="585"/>
      <c r="E1577" s="404" t="s">
        <v>19</v>
      </c>
      <c r="F1577" s="396"/>
      <c r="G1577" s="396"/>
      <c r="H1577" s="396"/>
      <c r="I1577" s="396"/>
      <c r="J1577" s="396"/>
      <c r="K1577" s="396"/>
      <c r="L1577" s="396"/>
      <c r="M1577" s="396"/>
      <c r="N1577" s="396"/>
      <c r="O1577" s="396"/>
      <c r="P1577" s="396"/>
      <c r="Q1577" s="396"/>
      <c r="R1577" s="396"/>
      <c r="S1577" s="396"/>
      <c r="T1577" s="396"/>
      <c r="U1577" s="396"/>
      <c r="V1577" s="396"/>
      <c r="W1577" s="396"/>
      <c r="X1577" s="396"/>
      <c r="Y1577" s="404"/>
      <c r="Z1577" s="404"/>
      <c r="AA1577" s="396"/>
      <c r="AB1577" s="396"/>
      <c r="AC1577" s="396"/>
      <c r="AD1577" s="396"/>
      <c r="AE1577" s="396"/>
      <c r="AF1577" s="396"/>
      <c r="AG1577" s="396"/>
      <c r="AH1577" s="396"/>
      <c r="AI1577" s="396"/>
      <c r="AJ1577" s="415"/>
      <c r="AK1577" s="405">
        <f t="shared" si="248"/>
        <v>0</v>
      </c>
      <c r="AL1577" s="406"/>
      <c r="AM1577" s="407">
        <f>AK1577</f>
        <v>0</v>
      </c>
      <c r="AN1577" s="583"/>
    </row>
    <row r="1578" spans="3:40" ht="12.75" x14ac:dyDescent="0.2">
      <c r="C1578" s="629" t="s">
        <v>53</v>
      </c>
      <c r="D1578" s="416" t="s">
        <v>54</v>
      </c>
      <c r="E1578" s="411" t="s">
        <v>18</v>
      </c>
      <c r="F1578" s="412"/>
      <c r="G1578" s="412"/>
      <c r="H1578" s="412"/>
      <c r="I1578" s="412"/>
      <c r="J1578" s="412"/>
      <c r="K1578" s="412"/>
      <c r="L1578" s="412"/>
      <c r="M1578" s="412"/>
      <c r="N1578" s="412"/>
      <c r="O1578" s="412"/>
      <c r="P1578" s="412"/>
      <c r="Q1578" s="412"/>
      <c r="R1578" s="412"/>
      <c r="S1578" s="412"/>
      <c r="T1578" s="412"/>
      <c r="U1578" s="412"/>
      <c r="V1578" s="412"/>
      <c r="W1578" s="412"/>
      <c r="X1578" s="412"/>
      <c r="Y1578" s="412"/>
      <c r="Z1578" s="412"/>
      <c r="AA1578" s="412"/>
      <c r="AB1578" s="412"/>
      <c r="AC1578" s="412"/>
      <c r="AD1578" s="412"/>
      <c r="AE1578" s="412"/>
      <c r="AF1578" s="412"/>
      <c r="AG1578" s="412"/>
      <c r="AH1578" s="412"/>
      <c r="AI1578" s="412"/>
      <c r="AJ1578" s="417"/>
      <c r="AK1578" s="395">
        <f t="shared" si="248"/>
        <v>0</v>
      </c>
      <c r="AL1578" s="394">
        <f t="shared" ref="AL1578:AL1579" si="251">AK1578</f>
        <v>0</v>
      </c>
      <c r="AM1578" s="396"/>
      <c r="AN1578" s="374">
        <f>AL1578</f>
        <v>0</v>
      </c>
    </row>
    <row r="1579" spans="3:40" ht="12.75" x14ac:dyDescent="0.2">
      <c r="C1579" s="580"/>
      <c r="D1579" s="643" t="s">
        <v>56</v>
      </c>
      <c r="E1579" s="393" t="s">
        <v>18</v>
      </c>
      <c r="F1579" s="394"/>
      <c r="G1579" s="394"/>
      <c r="H1579" s="393">
        <v>3.72</v>
      </c>
      <c r="I1579" s="394"/>
      <c r="J1579" s="394"/>
      <c r="K1579" s="394"/>
      <c r="L1579" s="394"/>
      <c r="M1579" s="394"/>
      <c r="N1579" s="394"/>
      <c r="O1579" s="394"/>
      <c r="P1579" s="394"/>
      <c r="Q1579" s="394"/>
      <c r="R1579" s="394"/>
      <c r="S1579" s="394"/>
      <c r="T1579" s="394"/>
      <c r="U1579" s="394"/>
      <c r="V1579" s="394"/>
      <c r="W1579" s="394"/>
      <c r="X1579" s="394"/>
      <c r="Y1579" s="394"/>
      <c r="Z1579" s="394"/>
      <c r="AA1579" s="394"/>
      <c r="AB1579" s="394"/>
      <c r="AC1579" s="394"/>
      <c r="AD1579" s="394"/>
      <c r="AE1579" s="394"/>
      <c r="AF1579" s="394"/>
      <c r="AG1579" s="394"/>
      <c r="AH1579" s="394"/>
      <c r="AI1579" s="394"/>
      <c r="AJ1579" s="414"/>
      <c r="AK1579" s="395">
        <f t="shared" si="248"/>
        <v>3.72</v>
      </c>
      <c r="AL1579" s="408">
        <f t="shared" si="251"/>
        <v>3.72</v>
      </c>
      <c r="AM1579" s="409"/>
      <c r="AN1579" s="633">
        <f>SUM(AL1579:AM1580)</f>
        <v>3.72</v>
      </c>
    </row>
    <row r="1580" spans="3:40" ht="12.75" x14ac:dyDescent="0.2">
      <c r="C1580" s="580"/>
      <c r="D1580" s="577"/>
      <c r="E1580" s="404" t="s">
        <v>19</v>
      </c>
      <c r="F1580" s="396"/>
      <c r="G1580" s="396"/>
      <c r="H1580" s="396"/>
      <c r="I1580" s="396"/>
      <c r="J1580" s="396"/>
      <c r="K1580" s="396"/>
      <c r="L1580" s="396"/>
      <c r="M1580" s="396"/>
      <c r="N1580" s="396"/>
      <c r="O1580" s="396"/>
      <c r="P1580" s="396"/>
      <c r="Q1580" s="396"/>
      <c r="R1580" s="396"/>
      <c r="S1580" s="396"/>
      <c r="T1580" s="396"/>
      <c r="U1580" s="396"/>
      <c r="V1580" s="396"/>
      <c r="W1580" s="396"/>
      <c r="X1580" s="396"/>
      <c r="Y1580" s="396"/>
      <c r="Z1580" s="396"/>
      <c r="AA1580" s="396"/>
      <c r="AB1580" s="396"/>
      <c r="AC1580" s="396"/>
      <c r="AD1580" s="396"/>
      <c r="AE1580" s="396"/>
      <c r="AF1580" s="396"/>
      <c r="AG1580" s="396"/>
      <c r="AH1580" s="396"/>
      <c r="AI1580" s="396"/>
      <c r="AJ1580" s="415"/>
      <c r="AK1580" s="405">
        <f t="shared" si="248"/>
        <v>0</v>
      </c>
      <c r="AL1580" s="406"/>
      <c r="AM1580" s="407">
        <f>AK1580</f>
        <v>0</v>
      </c>
      <c r="AN1580" s="583"/>
    </row>
    <row r="1581" spans="3:40" ht="12.75" x14ac:dyDescent="0.2">
      <c r="C1581" s="580"/>
      <c r="D1581" s="643" t="s">
        <v>57</v>
      </c>
      <c r="E1581" s="393" t="s">
        <v>18</v>
      </c>
      <c r="F1581" s="394"/>
      <c r="G1581" s="394"/>
      <c r="H1581" s="394"/>
      <c r="I1581" s="394"/>
      <c r="J1581" s="394"/>
      <c r="K1581" s="394"/>
      <c r="L1581" s="394"/>
      <c r="M1581" s="394"/>
      <c r="N1581" s="394"/>
      <c r="O1581" s="394"/>
      <c r="P1581" s="394"/>
      <c r="Q1581" s="394"/>
      <c r="R1581" s="394"/>
      <c r="S1581" s="394"/>
      <c r="T1581" s="393"/>
      <c r="U1581" s="394"/>
      <c r="V1581" s="394"/>
      <c r="W1581" s="394"/>
      <c r="X1581" s="394"/>
      <c r="Y1581" s="394"/>
      <c r="Z1581" s="394"/>
      <c r="AA1581" s="394"/>
      <c r="AB1581" s="394"/>
      <c r="AC1581" s="394"/>
      <c r="AD1581" s="394"/>
      <c r="AE1581" s="394"/>
      <c r="AF1581" s="394"/>
      <c r="AG1581" s="394"/>
      <c r="AH1581" s="394"/>
      <c r="AI1581" s="394"/>
      <c r="AJ1581" s="414"/>
      <c r="AK1581" s="414">
        <f t="shared" si="248"/>
        <v>0</v>
      </c>
      <c r="AL1581" s="408">
        <f>AK1581</f>
        <v>0</v>
      </c>
      <c r="AM1581" s="409"/>
      <c r="AN1581" s="633">
        <f>SUM(AL1581:AM1582)</f>
        <v>0</v>
      </c>
    </row>
    <row r="1582" spans="3:40" ht="12.75" x14ac:dyDescent="0.2">
      <c r="C1582" s="580"/>
      <c r="D1582" s="577"/>
      <c r="E1582" s="404" t="s">
        <v>19</v>
      </c>
      <c r="F1582" s="396"/>
      <c r="G1582" s="396"/>
      <c r="H1582" s="396"/>
      <c r="I1582" s="396"/>
      <c r="J1582" s="396"/>
      <c r="K1582" s="396"/>
      <c r="L1582" s="396"/>
      <c r="M1582" s="396"/>
      <c r="N1582" s="396"/>
      <c r="O1582" s="396"/>
      <c r="P1582" s="396"/>
      <c r="Q1582" s="396"/>
      <c r="R1582" s="396"/>
      <c r="S1582" s="396"/>
      <c r="T1582" s="404"/>
      <c r="U1582" s="396"/>
      <c r="V1582" s="396"/>
      <c r="W1582" s="396"/>
      <c r="X1582" s="396"/>
      <c r="Y1582" s="396"/>
      <c r="Z1582" s="396"/>
      <c r="AA1582" s="396"/>
      <c r="AB1582" s="396"/>
      <c r="AC1582" s="396"/>
      <c r="AD1582" s="396"/>
      <c r="AE1582" s="396"/>
      <c r="AF1582" s="396"/>
      <c r="AG1582" s="396"/>
      <c r="AH1582" s="396"/>
      <c r="AI1582" s="396"/>
      <c r="AJ1582" s="415"/>
      <c r="AK1582" s="415">
        <f t="shared" si="248"/>
        <v>0</v>
      </c>
      <c r="AL1582" s="406"/>
      <c r="AM1582" s="407">
        <f>AK1582</f>
        <v>0</v>
      </c>
      <c r="AN1582" s="583"/>
    </row>
    <row r="1583" spans="3:40" ht="12.75" x14ac:dyDescent="0.2">
      <c r="C1583" s="581"/>
      <c r="D1583" s="402" t="s">
        <v>55</v>
      </c>
      <c r="E1583" s="393" t="s">
        <v>18</v>
      </c>
      <c r="F1583" s="394"/>
      <c r="G1583" s="394"/>
      <c r="H1583" s="394"/>
      <c r="I1583" s="394"/>
      <c r="J1583" s="394"/>
      <c r="K1583" s="394"/>
      <c r="L1583" s="394"/>
      <c r="M1583" s="394"/>
      <c r="N1583" s="394"/>
      <c r="O1583" s="394"/>
      <c r="P1583" s="394"/>
      <c r="Q1583" s="394"/>
      <c r="R1583" s="394"/>
      <c r="S1583" s="394"/>
      <c r="T1583" s="393"/>
      <c r="U1583" s="394"/>
      <c r="V1583" s="394"/>
      <c r="W1583" s="394"/>
      <c r="X1583" s="394"/>
      <c r="Y1583" s="394"/>
      <c r="Z1583" s="394"/>
      <c r="AA1583" s="394"/>
      <c r="AB1583" s="394"/>
      <c r="AC1583" s="393">
        <v>12.39</v>
      </c>
      <c r="AD1583" s="394"/>
      <c r="AE1583" s="394"/>
      <c r="AF1583" s="394"/>
      <c r="AG1583" s="394"/>
      <c r="AH1583" s="394"/>
      <c r="AI1583" s="394"/>
      <c r="AJ1583" s="414"/>
      <c r="AK1583" s="395">
        <f t="shared" si="248"/>
        <v>12.39</v>
      </c>
      <c r="AL1583" s="403">
        <f t="shared" ref="AL1583:AL1584" si="252">AK1583</f>
        <v>12.39</v>
      </c>
      <c r="AM1583" s="396"/>
      <c r="AN1583" s="455">
        <f>AL1583</f>
        <v>12.39</v>
      </c>
    </row>
    <row r="1584" spans="3:40" ht="12.75" x14ac:dyDescent="0.2">
      <c r="C1584" s="629" t="s">
        <v>58</v>
      </c>
      <c r="D1584" s="644" t="s">
        <v>59</v>
      </c>
      <c r="E1584" s="411" t="s">
        <v>18</v>
      </c>
      <c r="F1584" s="412"/>
      <c r="G1584" s="412"/>
      <c r="H1584" s="412"/>
      <c r="I1584" s="412"/>
      <c r="J1584" s="412"/>
      <c r="K1584" s="412"/>
      <c r="L1584" s="412"/>
      <c r="M1584" s="412"/>
      <c r="N1584" s="412"/>
      <c r="O1584" s="412"/>
      <c r="P1584" s="412"/>
      <c r="Q1584" s="412"/>
      <c r="R1584" s="412"/>
      <c r="S1584" s="412"/>
      <c r="T1584" s="412"/>
      <c r="U1584" s="412"/>
      <c r="V1584" s="412"/>
      <c r="W1584" s="412"/>
      <c r="X1584" s="412"/>
      <c r="Y1584" s="411">
        <v>25</v>
      </c>
      <c r="Z1584" s="412"/>
      <c r="AA1584" s="412"/>
      <c r="AB1584" s="412"/>
      <c r="AC1584" s="412"/>
      <c r="AD1584" s="412"/>
      <c r="AE1584" s="412"/>
      <c r="AF1584" s="412"/>
      <c r="AG1584" s="412"/>
      <c r="AH1584" s="412"/>
      <c r="AI1584" s="412"/>
      <c r="AJ1584" s="417"/>
      <c r="AK1584" s="395">
        <f t="shared" si="248"/>
        <v>25</v>
      </c>
      <c r="AL1584" s="408">
        <f t="shared" si="252"/>
        <v>25</v>
      </c>
      <c r="AM1584" s="409"/>
      <c r="AN1584" s="633">
        <f>SUM(AL1584:AM1585)</f>
        <v>25</v>
      </c>
    </row>
    <row r="1585" spans="3:46" ht="12.75" x14ac:dyDescent="0.2">
      <c r="C1585" s="580"/>
      <c r="D1585" s="577"/>
      <c r="E1585" s="404" t="s">
        <v>19</v>
      </c>
      <c r="F1585" s="396"/>
      <c r="G1585" s="396"/>
      <c r="H1585" s="396"/>
      <c r="I1585" s="396"/>
      <c r="J1585" s="396"/>
      <c r="K1585" s="396"/>
      <c r="L1585" s="396"/>
      <c r="M1585" s="396"/>
      <c r="N1585" s="396"/>
      <c r="O1585" s="396"/>
      <c r="P1585" s="396"/>
      <c r="Q1585" s="396"/>
      <c r="R1585" s="396"/>
      <c r="S1585" s="396"/>
      <c r="T1585" s="396"/>
      <c r="U1585" s="396"/>
      <c r="V1585" s="396"/>
      <c r="W1585" s="396"/>
      <c r="X1585" s="396"/>
      <c r="Y1585" s="396"/>
      <c r="Z1585" s="396"/>
      <c r="AA1585" s="396"/>
      <c r="AB1585" s="396"/>
      <c r="AC1585" s="396"/>
      <c r="AD1585" s="396"/>
      <c r="AE1585" s="396"/>
      <c r="AF1585" s="396"/>
      <c r="AG1585" s="396"/>
      <c r="AH1585" s="396"/>
      <c r="AI1585" s="396"/>
      <c r="AJ1585" s="415"/>
      <c r="AK1585" s="405">
        <f t="shared" si="248"/>
        <v>0</v>
      </c>
      <c r="AL1585" s="406"/>
      <c r="AM1585" s="407">
        <f>AK1585</f>
        <v>0</v>
      </c>
      <c r="AN1585" s="583"/>
    </row>
    <row r="1586" spans="3:46" ht="12.75" x14ac:dyDescent="0.2">
      <c r="C1586" s="580"/>
      <c r="D1586" s="643" t="s">
        <v>61</v>
      </c>
      <c r="E1586" s="393" t="s">
        <v>18</v>
      </c>
      <c r="F1586" s="394"/>
      <c r="G1586" s="394"/>
      <c r="H1586" s="394"/>
      <c r="I1586" s="394"/>
      <c r="J1586" s="394"/>
      <c r="K1586" s="394"/>
      <c r="L1586" s="394"/>
      <c r="M1586" s="394"/>
      <c r="N1586" s="394"/>
      <c r="O1586" s="394"/>
      <c r="P1586" s="394"/>
      <c r="Q1586" s="394"/>
      <c r="R1586" s="394"/>
      <c r="S1586" s="394"/>
      <c r="T1586" s="394"/>
      <c r="U1586" s="394"/>
      <c r="V1586" s="394"/>
      <c r="W1586" s="394"/>
      <c r="X1586" s="394"/>
      <c r="Y1586" s="394"/>
      <c r="Z1586" s="394"/>
      <c r="AA1586" s="394"/>
      <c r="AB1586" s="394"/>
      <c r="AC1586" s="394"/>
      <c r="AD1586" s="394"/>
      <c r="AE1586" s="394"/>
      <c r="AF1586" s="394"/>
      <c r="AG1586" s="394"/>
      <c r="AH1586" s="394"/>
      <c r="AI1586" s="394"/>
      <c r="AJ1586" s="414"/>
      <c r="AK1586" s="395">
        <f t="shared" si="248"/>
        <v>0</v>
      </c>
      <c r="AL1586" s="408">
        <f>AK1586</f>
        <v>0</v>
      </c>
      <c r="AM1586" s="409"/>
      <c r="AN1586" s="633">
        <f>SUM(AL1586:AM1587)</f>
        <v>42.5</v>
      </c>
    </row>
    <row r="1587" spans="3:46" ht="12.75" x14ac:dyDescent="0.2">
      <c r="C1587" s="581"/>
      <c r="D1587" s="585"/>
      <c r="E1587" s="410" t="s">
        <v>19</v>
      </c>
      <c r="F1587" s="407"/>
      <c r="G1587" s="407"/>
      <c r="H1587" s="407"/>
      <c r="I1587" s="407"/>
      <c r="J1587" s="407"/>
      <c r="K1587" s="407"/>
      <c r="L1587" s="407"/>
      <c r="M1587" s="407"/>
      <c r="N1587" s="407"/>
      <c r="O1587" s="407"/>
      <c r="P1587" s="407"/>
      <c r="Q1587" s="407">
        <f>22.3+10.2</f>
        <v>32.5</v>
      </c>
      <c r="R1587" s="407"/>
      <c r="S1587" s="407"/>
      <c r="T1587" s="407"/>
      <c r="U1587" s="407"/>
      <c r="V1587" s="407"/>
      <c r="W1587" s="410">
        <v>10</v>
      </c>
      <c r="X1587" s="407"/>
      <c r="Y1587" s="410"/>
      <c r="Z1587" s="407"/>
      <c r="AA1587" s="407"/>
      <c r="AB1587" s="407"/>
      <c r="AC1587" s="407"/>
      <c r="AD1587" s="407"/>
      <c r="AE1587" s="407"/>
      <c r="AF1587" s="407"/>
      <c r="AG1587" s="407"/>
      <c r="AH1587" s="407"/>
      <c r="AI1587" s="407"/>
      <c r="AJ1587" s="418"/>
      <c r="AK1587" s="405">
        <f t="shared" si="248"/>
        <v>42.5</v>
      </c>
      <c r="AL1587" s="406"/>
      <c r="AM1587" s="407">
        <f>AK1587</f>
        <v>42.5</v>
      </c>
      <c r="AN1587" s="583"/>
    </row>
    <row r="1588" spans="3:46" ht="12.75" x14ac:dyDescent="0.2">
      <c r="C1588" s="629" t="s">
        <v>63</v>
      </c>
      <c r="D1588" s="644" t="s">
        <v>75</v>
      </c>
      <c r="E1588" s="411" t="s">
        <v>18</v>
      </c>
      <c r="F1588" s="412"/>
      <c r="G1588" s="412"/>
      <c r="H1588" s="412"/>
      <c r="I1588" s="412"/>
      <c r="J1588" s="412"/>
      <c r="K1588" s="412"/>
      <c r="L1588" s="412"/>
      <c r="M1588" s="412"/>
      <c r="N1588" s="412"/>
      <c r="O1588" s="412"/>
      <c r="P1588" s="412"/>
      <c r="Q1588" s="412"/>
      <c r="R1588" s="412"/>
      <c r="S1588" s="412"/>
      <c r="T1588" s="412"/>
      <c r="U1588" s="412"/>
      <c r="V1588" s="412"/>
      <c r="W1588" s="412"/>
      <c r="X1588" s="412"/>
      <c r="Y1588" s="412"/>
      <c r="Z1588" s="412"/>
      <c r="AA1588" s="412"/>
      <c r="AB1588" s="412"/>
      <c r="AC1588" s="412"/>
      <c r="AD1588" s="412"/>
      <c r="AE1588" s="412"/>
      <c r="AF1588" s="412"/>
      <c r="AG1588" s="412"/>
      <c r="AH1588" s="412"/>
      <c r="AI1588" s="412"/>
      <c r="AJ1588" s="417"/>
      <c r="AK1588" s="395">
        <f t="shared" si="248"/>
        <v>0</v>
      </c>
      <c r="AL1588" s="412">
        <f>AK1588</f>
        <v>0</v>
      </c>
      <c r="AM1588" s="409"/>
      <c r="AN1588" s="633">
        <f>SUM(AL1588:AM1589)</f>
        <v>0</v>
      </c>
    </row>
    <row r="1589" spans="3:46" ht="18" customHeight="1" x14ac:dyDescent="0.2">
      <c r="C1589" s="580"/>
      <c r="D1589" s="577"/>
      <c r="E1589" s="404" t="s">
        <v>19</v>
      </c>
      <c r="F1589" s="396"/>
      <c r="G1589" s="396"/>
      <c r="H1589" s="396"/>
      <c r="I1589" s="396"/>
      <c r="J1589" s="396"/>
      <c r="K1589" s="396"/>
      <c r="L1589" s="396"/>
      <c r="M1589" s="396"/>
      <c r="N1589" s="396"/>
      <c r="O1589" s="396"/>
      <c r="P1589" s="396"/>
      <c r="Q1589" s="396"/>
      <c r="R1589" s="396"/>
      <c r="S1589" s="396"/>
      <c r="T1589" s="396"/>
      <c r="U1589" s="396"/>
      <c r="V1589" s="396"/>
      <c r="W1589" s="396"/>
      <c r="X1589" s="396"/>
      <c r="Y1589" s="396"/>
      <c r="Z1589" s="396"/>
      <c r="AA1589" s="396"/>
      <c r="AB1589" s="396"/>
      <c r="AC1589" s="396"/>
      <c r="AD1589" s="396"/>
      <c r="AE1589" s="396"/>
      <c r="AF1589" s="396"/>
      <c r="AG1589" s="396"/>
      <c r="AH1589" s="396"/>
      <c r="AI1589" s="396"/>
      <c r="AJ1589" s="415"/>
      <c r="AK1589" s="405">
        <f t="shared" si="248"/>
        <v>0</v>
      </c>
      <c r="AL1589" s="406"/>
      <c r="AM1589" s="407">
        <f>AK1589</f>
        <v>0</v>
      </c>
      <c r="AN1589" s="583"/>
    </row>
    <row r="1590" spans="3:46" ht="12.75" x14ac:dyDescent="0.2">
      <c r="C1590" s="580"/>
      <c r="D1590" s="643" t="s">
        <v>65</v>
      </c>
      <c r="E1590" s="393" t="s">
        <v>18</v>
      </c>
      <c r="F1590" s="394"/>
      <c r="G1590" s="394"/>
      <c r="H1590" s="394"/>
      <c r="I1590" s="394"/>
      <c r="J1590" s="394"/>
      <c r="K1590" s="394"/>
      <c r="L1590" s="394"/>
      <c r="M1590" s="394"/>
      <c r="N1590" s="394"/>
      <c r="O1590" s="394"/>
      <c r="P1590" s="394"/>
      <c r="Q1590" s="394"/>
      <c r="R1590" s="394"/>
      <c r="S1590" s="394"/>
      <c r="T1590" s="394"/>
      <c r="U1590" s="394"/>
      <c r="V1590" s="394"/>
      <c r="W1590" s="394"/>
      <c r="X1590" s="394"/>
      <c r="Y1590" s="394"/>
      <c r="Z1590" s="394"/>
      <c r="AA1590" s="394"/>
      <c r="AB1590" s="394"/>
      <c r="AC1590" s="394"/>
      <c r="AD1590" s="394"/>
      <c r="AE1590" s="394"/>
      <c r="AF1590" s="394"/>
      <c r="AG1590" s="394"/>
      <c r="AH1590" s="394"/>
      <c r="AI1590" s="394"/>
      <c r="AJ1590" s="414"/>
      <c r="AK1590" s="395">
        <f t="shared" si="248"/>
        <v>0</v>
      </c>
      <c r="AL1590" s="408">
        <f>AK1590</f>
        <v>0</v>
      </c>
      <c r="AM1590" s="409"/>
      <c r="AN1590" s="633">
        <f>SUM(AL1590:AM1591)</f>
        <v>25</v>
      </c>
    </row>
    <row r="1591" spans="3:46" ht="12.75" x14ac:dyDescent="0.2">
      <c r="C1591" s="581"/>
      <c r="D1591" s="585"/>
      <c r="E1591" s="410" t="s">
        <v>19</v>
      </c>
      <c r="F1591" s="407"/>
      <c r="G1591" s="407"/>
      <c r="H1591" s="407"/>
      <c r="I1591" s="407"/>
      <c r="J1591" s="407"/>
      <c r="K1591" s="407"/>
      <c r="L1591" s="407"/>
      <c r="M1591" s="407"/>
      <c r="N1591" s="407"/>
      <c r="O1591" s="407"/>
      <c r="P1591" s="407"/>
      <c r="Q1591" s="407"/>
      <c r="R1591" s="407"/>
      <c r="S1591" s="407"/>
      <c r="T1591" s="407"/>
      <c r="U1591" s="410">
        <v>25</v>
      </c>
      <c r="V1591" s="407"/>
      <c r="W1591" s="407"/>
      <c r="X1591" s="407"/>
      <c r="Y1591" s="407"/>
      <c r="Z1591" s="407"/>
      <c r="AA1591" s="407"/>
      <c r="AB1591" s="407"/>
      <c r="AC1591" s="407"/>
      <c r="AD1591" s="407"/>
      <c r="AE1591" s="407"/>
      <c r="AF1591" s="407"/>
      <c r="AG1591" s="407"/>
      <c r="AH1591" s="407"/>
      <c r="AI1591" s="407"/>
      <c r="AJ1591" s="418"/>
      <c r="AK1591" s="419">
        <f t="shared" si="248"/>
        <v>25</v>
      </c>
      <c r="AL1591" s="406"/>
      <c r="AM1591" s="407">
        <f>AK1591</f>
        <v>25</v>
      </c>
      <c r="AN1591" s="583"/>
    </row>
    <row r="1592" spans="3:46" ht="12.75" x14ac:dyDescent="0.2">
      <c r="C1592" s="420" t="s">
        <v>32</v>
      </c>
      <c r="D1592" s="396"/>
      <c r="E1592" s="396"/>
      <c r="F1592" s="396">
        <f t="shared" ref="F1592:AM1592" si="253">SUM(F1547:F1591)</f>
        <v>12.1</v>
      </c>
      <c r="G1592" s="396">
        <f t="shared" si="253"/>
        <v>19.3</v>
      </c>
      <c r="H1592" s="396">
        <f t="shared" si="253"/>
        <v>75.199999999999989</v>
      </c>
      <c r="I1592" s="396">
        <f t="shared" si="253"/>
        <v>64.930000000000007</v>
      </c>
      <c r="J1592" s="396">
        <f t="shared" si="253"/>
        <v>32.97</v>
      </c>
      <c r="K1592" s="396">
        <f t="shared" si="253"/>
        <v>14.260000000000002</v>
      </c>
      <c r="L1592" s="396">
        <f t="shared" si="253"/>
        <v>25.53</v>
      </c>
      <c r="M1592" s="396">
        <f t="shared" si="253"/>
        <v>14.370000000000001</v>
      </c>
      <c r="N1592" s="396">
        <f t="shared" si="253"/>
        <v>58.3</v>
      </c>
      <c r="O1592" s="396">
        <f t="shared" si="253"/>
        <v>8.3000000000000007</v>
      </c>
      <c r="P1592" s="396">
        <f t="shared" si="253"/>
        <v>16.91</v>
      </c>
      <c r="Q1592" s="396">
        <f t="shared" si="253"/>
        <v>40.79</v>
      </c>
      <c r="R1592" s="396">
        <f t="shared" si="253"/>
        <v>11.3</v>
      </c>
      <c r="S1592" s="396">
        <f t="shared" si="253"/>
        <v>24.39</v>
      </c>
      <c r="T1592" s="396">
        <f t="shared" si="253"/>
        <v>75.61</v>
      </c>
      <c r="U1592" s="396">
        <f t="shared" si="253"/>
        <v>449.96000000000004</v>
      </c>
      <c r="V1592" s="396">
        <f t="shared" si="253"/>
        <v>45.54</v>
      </c>
      <c r="W1592" s="396">
        <f t="shared" si="253"/>
        <v>22.1</v>
      </c>
      <c r="X1592" s="396">
        <f t="shared" si="253"/>
        <v>7.39</v>
      </c>
      <c r="Y1592" s="396">
        <f t="shared" si="253"/>
        <v>50.239999999999995</v>
      </c>
      <c r="Z1592" s="396">
        <f t="shared" si="253"/>
        <v>38.709999999999994</v>
      </c>
      <c r="AA1592" s="396">
        <f t="shared" si="253"/>
        <v>71.679999999999993</v>
      </c>
      <c r="AB1592" s="396">
        <f t="shared" si="253"/>
        <v>11.84</v>
      </c>
      <c r="AC1592" s="396">
        <f t="shared" si="253"/>
        <v>38.760000000000005</v>
      </c>
      <c r="AD1592" s="396">
        <f t="shared" si="253"/>
        <v>31.240000000000002</v>
      </c>
      <c r="AE1592" s="396">
        <f t="shared" si="253"/>
        <v>23.66</v>
      </c>
      <c r="AF1592" s="396">
        <f t="shared" si="253"/>
        <v>13.77</v>
      </c>
      <c r="AG1592" s="396">
        <f t="shared" si="253"/>
        <v>22.19</v>
      </c>
      <c r="AH1592" s="396">
        <f t="shared" si="253"/>
        <v>18.39</v>
      </c>
      <c r="AI1592" s="396">
        <f t="shared" si="253"/>
        <v>8.3000000000000007</v>
      </c>
      <c r="AJ1592" s="396">
        <f t="shared" si="253"/>
        <v>55.56</v>
      </c>
      <c r="AK1592" s="421">
        <f t="shared" si="253"/>
        <v>1403.5900000000001</v>
      </c>
      <c r="AL1592" s="394">
        <f t="shared" si="253"/>
        <v>659.77</v>
      </c>
      <c r="AM1592" s="396">
        <f t="shared" si="253"/>
        <v>743.82</v>
      </c>
    </row>
    <row r="1595" spans="3:46" ht="12.75" x14ac:dyDescent="0.2">
      <c r="F1595" s="642" t="s">
        <v>100</v>
      </c>
      <c r="G1595" s="577"/>
      <c r="H1595" s="577"/>
      <c r="I1595" s="577"/>
      <c r="J1595" s="577"/>
      <c r="K1595" s="577"/>
      <c r="L1595" s="577"/>
      <c r="M1595" s="577"/>
      <c r="N1595" s="577"/>
      <c r="O1595" s="577"/>
      <c r="P1595" s="577"/>
      <c r="Q1595" s="577"/>
      <c r="R1595" s="577"/>
      <c r="S1595" s="577"/>
      <c r="T1595" s="577"/>
      <c r="U1595" s="577"/>
      <c r="V1595" s="577"/>
      <c r="W1595" s="577"/>
      <c r="X1595" s="577"/>
      <c r="Y1595" s="577"/>
      <c r="Z1595" s="577"/>
      <c r="AA1595" s="577"/>
      <c r="AB1595" s="577"/>
      <c r="AC1595" s="577"/>
      <c r="AD1595" s="577"/>
      <c r="AE1595" s="577"/>
      <c r="AF1595" s="577"/>
      <c r="AG1595" s="577"/>
      <c r="AH1595" s="577"/>
      <c r="AI1595" s="577"/>
    </row>
    <row r="1596" spans="3:46" ht="12.75" x14ac:dyDescent="0.2">
      <c r="E1596" s="362" t="s">
        <v>9</v>
      </c>
      <c r="F1596" s="362" t="s">
        <v>11</v>
      </c>
      <c r="G1596" s="362" t="s">
        <v>12</v>
      </c>
      <c r="H1596" s="362" t="s">
        <v>13</v>
      </c>
      <c r="I1596" s="362" t="s">
        <v>14</v>
      </c>
      <c r="J1596" s="362" t="s">
        <v>15</v>
      </c>
      <c r="K1596" s="362" t="s">
        <v>16</v>
      </c>
      <c r="L1596" s="362" t="s">
        <v>10</v>
      </c>
      <c r="M1596" s="362" t="s">
        <v>11</v>
      </c>
      <c r="N1596" s="362" t="s">
        <v>12</v>
      </c>
      <c r="O1596" s="362" t="s">
        <v>13</v>
      </c>
      <c r="P1596" s="362" t="s">
        <v>14</v>
      </c>
      <c r="Q1596" s="362" t="s">
        <v>15</v>
      </c>
      <c r="R1596" s="362" t="s">
        <v>16</v>
      </c>
      <c r="S1596" s="362" t="s">
        <v>10</v>
      </c>
      <c r="T1596" s="362" t="s">
        <v>11</v>
      </c>
      <c r="U1596" s="362" t="s">
        <v>12</v>
      </c>
      <c r="V1596" s="362" t="s">
        <v>13</v>
      </c>
      <c r="W1596" s="362" t="s">
        <v>14</v>
      </c>
      <c r="X1596" s="362" t="s">
        <v>15</v>
      </c>
      <c r="Y1596" s="362" t="s">
        <v>16</v>
      </c>
      <c r="Z1596" s="362" t="s">
        <v>10</v>
      </c>
      <c r="AA1596" s="362" t="s">
        <v>11</v>
      </c>
      <c r="AB1596" s="362" t="s">
        <v>12</v>
      </c>
      <c r="AC1596" s="362" t="s">
        <v>13</v>
      </c>
      <c r="AD1596" s="362" t="s">
        <v>14</v>
      </c>
      <c r="AE1596" s="362" t="s">
        <v>15</v>
      </c>
      <c r="AF1596" s="362" t="s">
        <v>16</v>
      </c>
      <c r="AG1596" s="362" t="s">
        <v>10</v>
      </c>
      <c r="AH1596" s="362" t="s">
        <v>11</v>
      </c>
      <c r="AI1596" s="362" t="s">
        <v>12</v>
      </c>
      <c r="AJ1596" s="369"/>
      <c r="AK1596" s="362"/>
      <c r="AL1596" s="363"/>
      <c r="AM1596" s="364"/>
      <c r="AN1596" s="365"/>
      <c r="AP1596" s="366"/>
      <c r="AQ1596" s="366"/>
      <c r="AR1596" s="367" t="s">
        <v>17</v>
      </c>
      <c r="AS1596" s="367" t="s">
        <v>18</v>
      </c>
      <c r="AT1596" s="367" t="s">
        <v>19</v>
      </c>
    </row>
    <row r="1597" spans="3:46" ht="12.75" x14ac:dyDescent="0.2">
      <c r="E1597" s="362" t="s">
        <v>20</v>
      </c>
      <c r="F1597" s="362">
        <v>1</v>
      </c>
      <c r="G1597" s="362">
        <v>2</v>
      </c>
      <c r="H1597" s="362">
        <v>3</v>
      </c>
      <c r="I1597" s="362">
        <v>4</v>
      </c>
      <c r="J1597" s="362">
        <v>5</v>
      </c>
      <c r="K1597" s="362">
        <v>6</v>
      </c>
      <c r="L1597" s="362">
        <v>7</v>
      </c>
      <c r="M1597" s="362">
        <v>8</v>
      </c>
      <c r="N1597" s="362">
        <v>9</v>
      </c>
      <c r="O1597" s="362">
        <v>10</v>
      </c>
      <c r="P1597" s="362">
        <v>11</v>
      </c>
      <c r="Q1597" s="362">
        <v>12</v>
      </c>
      <c r="R1597" s="362">
        <v>13</v>
      </c>
      <c r="S1597" s="362">
        <v>14</v>
      </c>
      <c r="T1597" s="362">
        <v>15</v>
      </c>
      <c r="U1597" s="362">
        <v>16</v>
      </c>
      <c r="V1597" s="362">
        <v>17</v>
      </c>
      <c r="W1597" s="362">
        <v>18</v>
      </c>
      <c r="X1597" s="362">
        <v>19</v>
      </c>
      <c r="Y1597" s="362">
        <v>20</v>
      </c>
      <c r="Z1597" s="362">
        <v>21</v>
      </c>
      <c r="AA1597" s="362">
        <v>22</v>
      </c>
      <c r="AB1597" s="362">
        <v>23</v>
      </c>
      <c r="AC1597" s="362">
        <v>24</v>
      </c>
      <c r="AD1597" s="362">
        <v>25</v>
      </c>
      <c r="AE1597" s="362">
        <v>26</v>
      </c>
      <c r="AF1597" s="362">
        <v>27</v>
      </c>
      <c r="AG1597" s="362">
        <v>28</v>
      </c>
      <c r="AH1597" s="362">
        <v>29</v>
      </c>
      <c r="AI1597" s="362">
        <v>30</v>
      </c>
      <c r="AJ1597" s="369"/>
      <c r="AK1597" s="362" t="s">
        <v>21</v>
      </c>
      <c r="AL1597" s="363" t="s">
        <v>18</v>
      </c>
      <c r="AM1597" s="364" t="s">
        <v>19</v>
      </c>
      <c r="AN1597" s="368" t="s">
        <v>22</v>
      </c>
      <c r="AP1597" s="367"/>
      <c r="AQ1597" s="367" t="s">
        <v>23</v>
      </c>
      <c r="AR1597" s="369">
        <f t="shared" ref="AR1597:AT1597" si="254">AK1607-AK1650</f>
        <v>-204.42000000000002</v>
      </c>
      <c r="AS1597" s="369">
        <f t="shared" si="254"/>
        <v>46.34</v>
      </c>
      <c r="AT1597" s="369">
        <f t="shared" si="254"/>
        <v>-250.76</v>
      </c>
    </row>
    <row r="1598" spans="3:46" ht="12.75" x14ac:dyDescent="0.2">
      <c r="C1598" s="628" t="s">
        <v>24</v>
      </c>
      <c r="D1598" s="370" t="s">
        <v>25</v>
      </c>
      <c r="E1598" s="371" t="s">
        <v>18</v>
      </c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3">
        <f t="shared" ref="AK1598:AK1606" si="255">SUM(F1598:AI1598)</f>
        <v>0</v>
      </c>
      <c r="AL1598" s="366">
        <f t="shared" ref="AL1598:AL1599" si="256">AK1598</f>
        <v>0</v>
      </c>
      <c r="AM1598" s="369"/>
      <c r="AN1598" s="374">
        <f>AL1598</f>
        <v>0</v>
      </c>
    </row>
    <row r="1599" spans="3:46" ht="12.75" x14ac:dyDescent="0.2">
      <c r="C1599" s="580"/>
      <c r="D1599" s="645" t="s">
        <v>26</v>
      </c>
      <c r="E1599" s="363" t="s">
        <v>18</v>
      </c>
      <c r="F1599" s="366"/>
      <c r="G1599" s="366"/>
      <c r="H1599" s="366"/>
      <c r="I1599" s="366"/>
      <c r="J1599" s="366"/>
      <c r="K1599" s="366"/>
      <c r="L1599" s="366"/>
      <c r="M1599" s="366"/>
      <c r="N1599" s="366"/>
      <c r="O1599" s="366"/>
      <c r="P1599" s="366"/>
      <c r="Q1599" s="366"/>
      <c r="R1599" s="366"/>
      <c r="S1599" s="366"/>
      <c r="T1599" s="366"/>
      <c r="U1599" s="366"/>
      <c r="V1599" s="366"/>
      <c r="W1599" s="366"/>
      <c r="X1599" s="366"/>
      <c r="Y1599" s="366"/>
      <c r="Z1599" s="366"/>
      <c r="AA1599" s="366"/>
      <c r="AB1599" s="366"/>
      <c r="AC1599" s="366"/>
      <c r="AD1599" s="366"/>
      <c r="AE1599" s="366"/>
      <c r="AF1599" s="366"/>
      <c r="AG1599" s="366"/>
      <c r="AH1599" s="366"/>
      <c r="AI1599" s="366"/>
      <c r="AJ1599" s="366"/>
      <c r="AK1599" s="376">
        <f t="shared" si="255"/>
        <v>0</v>
      </c>
      <c r="AL1599" s="377">
        <f t="shared" si="256"/>
        <v>0</v>
      </c>
      <c r="AM1599" s="378"/>
      <c r="AN1599" s="633">
        <f>SUM(AL1599:AM1600)</f>
        <v>0</v>
      </c>
    </row>
    <row r="1600" spans="3:46" ht="12.75" x14ac:dyDescent="0.2">
      <c r="C1600" s="580"/>
      <c r="D1600" s="577"/>
      <c r="E1600" s="364" t="s">
        <v>19</v>
      </c>
      <c r="F1600" s="369"/>
      <c r="G1600" s="369"/>
      <c r="H1600" s="369"/>
      <c r="I1600" s="369"/>
      <c r="J1600" s="369"/>
      <c r="K1600" s="369"/>
      <c r="L1600" s="369"/>
      <c r="M1600" s="369"/>
      <c r="N1600" s="369"/>
      <c r="O1600" s="369"/>
      <c r="P1600" s="369"/>
      <c r="Q1600" s="369"/>
      <c r="R1600" s="369"/>
      <c r="S1600" s="369"/>
      <c r="T1600" s="369"/>
      <c r="U1600" s="369"/>
      <c r="V1600" s="369"/>
      <c r="W1600" s="369"/>
      <c r="X1600" s="369"/>
      <c r="Y1600" s="369"/>
      <c r="Z1600" s="369"/>
      <c r="AA1600" s="369"/>
      <c r="AB1600" s="369"/>
      <c r="AC1600" s="369"/>
      <c r="AD1600" s="369"/>
      <c r="AE1600" s="369"/>
      <c r="AF1600" s="369"/>
      <c r="AG1600" s="369"/>
      <c r="AH1600" s="369"/>
      <c r="AI1600" s="369"/>
      <c r="AJ1600" s="369"/>
      <c r="AK1600" s="379">
        <f t="shared" si="255"/>
        <v>0</v>
      </c>
      <c r="AL1600" s="380"/>
      <c r="AM1600" s="381">
        <f t="shared" ref="AM1600:AM1601" si="257">AK1600</f>
        <v>0</v>
      </c>
      <c r="AN1600" s="583"/>
    </row>
    <row r="1601" spans="3:40" ht="12.75" x14ac:dyDescent="0.2">
      <c r="C1601" s="580"/>
      <c r="D1601" s="375" t="s">
        <v>27</v>
      </c>
      <c r="E1601" s="364" t="s">
        <v>19</v>
      </c>
      <c r="F1601" s="369"/>
      <c r="G1601" s="369"/>
      <c r="H1601" s="369"/>
      <c r="I1601" s="369"/>
      <c r="J1601" s="369"/>
      <c r="K1601" s="369"/>
      <c r="L1601" s="369"/>
      <c r="M1601" s="369"/>
      <c r="N1601" s="369"/>
      <c r="O1601" s="369"/>
      <c r="P1601" s="369"/>
      <c r="Q1601" s="369"/>
      <c r="R1601" s="369"/>
      <c r="S1601" s="369"/>
      <c r="T1601" s="369"/>
      <c r="U1601" s="369"/>
      <c r="V1601" s="369"/>
      <c r="W1601" s="369"/>
      <c r="X1601" s="369"/>
      <c r="Y1601" s="369"/>
      <c r="Z1601" s="369"/>
      <c r="AA1601" s="369"/>
      <c r="AB1601" s="369"/>
      <c r="AC1601" s="369"/>
      <c r="AD1601" s="369"/>
      <c r="AE1601" s="369"/>
      <c r="AF1601" s="369"/>
      <c r="AG1601" s="369"/>
      <c r="AH1601" s="369"/>
      <c r="AI1601" s="369"/>
      <c r="AJ1601" s="369"/>
      <c r="AK1601" s="379">
        <f t="shared" si="255"/>
        <v>0</v>
      </c>
      <c r="AL1601" s="366"/>
      <c r="AM1601" s="369">
        <f t="shared" si="257"/>
        <v>0</v>
      </c>
      <c r="AN1601" s="374">
        <f>AM1601</f>
        <v>0</v>
      </c>
    </row>
    <row r="1602" spans="3:40" ht="12.75" x14ac:dyDescent="0.2">
      <c r="C1602" s="580"/>
      <c r="D1602" s="645" t="s">
        <v>28</v>
      </c>
      <c r="E1602" s="363" t="s">
        <v>18</v>
      </c>
      <c r="F1602" s="366"/>
      <c r="G1602" s="366"/>
      <c r="H1602" s="366"/>
      <c r="I1602" s="366"/>
      <c r="J1602" s="366"/>
      <c r="K1602" s="366"/>
      <c r="L1602" s="366"/>
      <c r="M1602" s="366"/>
      <c r="N1602" s="366"/>
      <c r="O1602" s="366"/>
      <c r="P1602" s="366"/>
      <c r="Q1602" s="366"/>
      <c r="R1602" s="366"/>
      <c r="S1602" s="366"/>
      <c r="T1602" s="366"/>
      <c r="U1602" s="366"/>
      <c r="V1602" s="366"/>
      <c r="W1602" s="366"/>
      <c r="X1602" s="366"/>
      <c r="Y1602" s="366"/>
      <c r="Z1602" s="366"/>
      <c r="AA1602" s="366"/>
      <c r="AB1602" s="366"/>
      <c r="AC1602" s="366"/>
      <c r="AD1602" s="366"/>
      <c r="AE1602" s="366"/>
      <c r="AF1602" s="366"/>
      <c r="AG1602" s="363"/>
      <c r="AH1602" s="366"/>
      <c r="AI1602" s="366"/>
      <c r="AJ1602" s="366"/>
      <c r="AK1602" s="376">
        <f t="shared" si="255"/>
        <v>0</v>
      </c>
      <c r="AL1602" s="377">
        <f>AK1602</f>
        <v>0</v>
      </c>
      <c r="AM1602" s="378"/>
      <c r="AN1602" s="633">
        <f>SUM(AL1602:AM1603)</f>
        <v>14.5</v>
      </c>
    </row>
    <row r="1603" spans="3:40" ht="12.75" x14ac:dyDescent="0.2">
      <c r="C1603" s="580"/>
      <c r="D1603" s="577"/>
      <c r="E1603" s="364" t="s">
        <v>19</v>
      </c>
      <c r="F1603" s="369"/>
      <c r="G1603" s="369"/>
      <c r="H1603" s="369"/>
      <c r="I1603" s="369"/>
      <c r="J1603" s="369"/>
      <c r="K1603" s="369"/>
      <c r="L1603" s="369"/>
      <c r="M1603" s="369"/>
      <c r="N1603" s="369"/>
      <c r="O1603" s="369"/>
      <c r="P1603" s="369"/>
      <c r="Q1603" s="369"/>
      <c r="R1603" s="369"/>
      <c r="S1603" s="364">
        <v>14.5</v>
      </c>
      <c r="T1603" s="369"/>
      <c r="U1603" s="369"/>
      <c r="V1603" s="369"/>
      <c r="W1603" s="369"/>
      <c r="X1603" s="369"/>
      <c r="Y1603" s="369"/>
      <c r="Z1603" s="369"/>
      <c r="AA1603" s="369"/>
      <c r="AB1603" s="369"/>
      <c r="AC1603" s="369"/>
      <c r="AD1603" s="369"/>
      <c r="AE1603" s="369"/>
      <c r="AF1603" s="369"/>
      <c r="AG1603" s="369"/>
      <c r="AH1603" s="369"/>
      <c r="AI1603" s="369"/>
      <c r="AJ1603" s="369"/>
      <c r="AK1603" s="379">
        <f t="shared" si="255"/>
        <v>14.5</v>
      </c>
      <c r="AL1603" s="380"/>
      <c r="AM1603" s="381">
        <f>AK1603</f>
        <v>14.5</v>
      </c>
      <c r="AN1603" s="583"/>
    </row>
    <row r="1604" spans="3:40" ht="12.75" x14ac:dyDescent="0.2">
      <c r="C1604" s="580"/>
      <c r="D1604" s="375" t="s">
        <v>29</v>
      </c>
      <c r="E1604" s="363" t="s">
        <v>18</v>
      </c>
      <c r="F1604" s="366"/>
      <c r="G1604" s="366"/>
      <c r="H1604" s="366"/>
      <c r="I1604" s="366"/>
      <c r="J1604" s="366"/>
      <c r="K1604" s="366"/>
      <c r="L1604" s="366"/>
      <c r="M1604" s="366"/>
      <c r="N1604" s="366"/>
      <c r="O1604" s="366"/>
      <c r="P1604" s="366"/>
      <c r="Q1604" s="366"/>
      <c r="R1604" s="366"/>
      <c r="S1604" s="366"/>
      <c r="T1604" s="366"/>
      <c r="U1604" s="366"/>
      <c r="V1604" s="366"/>
      <c r="W1604" s="366"/>
      <c r="X1604" s="366"/>
      <c r="Y1604" s="366"/>
      <c r="Z1604" s="366"/>
      <c r="AA1604" s="366"/>
      <c r="AB1604" s="363">
        <v>50</v>
      </c>
      <c r="AC1604" s="366"/>
      <c r="AD1604" s="366"/>
      <c r="AE1604" s="366"/>
      <c r="AF1604" s="366"/>
      <c r="AG1604" s="363">
        <v>100</v>
      </c>
      <c r="AH1604" s="366"/>
      <c r="AI1604" s="366"/>
      <c r="AJ1604" s="366"/>
      <c r="AK1604" s="376">
        <f t="shared" si="255"/>
        <v>150</v>
      </c>
      <c r="AL1604" s="366">
        <f t="shared" ref="AL1604:AL1605" si="258">AK1604</f>
        <v>150</v>
      </c>
      <c r="AM1604" s="369"/>
      <c r="AN1604" s="374">
        <f>AL1604</f>
        <v>150</v>
      </c>
    </row>
    <row r="1605" spans="3:40" ht="12.75" x14ac:dyDescent="0.2">
      <c r="C1605" s="580"/>
      <c r="D1605" s="645" t="s">
        <v>31</v>
      </c>
      <c r="E1605" s="363" t="s">
        <v>18</v>
      </c>
      <c r="F1605" s="366"/>
      <c r="G1605" s="366"/>
      <c r="H1605" s="366"/>
      <c r="I1605" s="366"/>
      <c r="J1605" s="366"/>
      <c r="K1605" s="366"/>
      <c r="L1605" s="366"/>
      <c r="M1605" s="366"/>
      <c r="N1605" s="366"/>
      <c r="O1605" s="366"/>
      <c r="P1605" s="366"/>
      <c r="Q1605" s="366"/>
      <c r="R1605" s="366"/>
      <c r="S1605" s="366"/>
      <c r="T1605" s="366"/>
      <c r="U1605" s="366"/>
      <c r="V1605" s="366"/>
      <c r="W1605" s="366"/>
      <c r="X1605" s="366"/>
      <c r="Y1605" s="366"/>
      <c r="Z1605" s="366"/>
      <c r="AA1605" s="366"/>
      <c r="AB1605" s="366"/>
      <c r="AC1605" s="366"/>
      <c r="AD1605" s="366"/>
      <c r="AE1605" s="366"/>
      <c r="AF1605" s="366"/>
      <c r="AG1605" s="366"/>
      <c r="AH1605" s="366"/>
      <c r="AI1605" s="366"/>
      <c r="AJ1605" s="366"/>
      <c r="AK1605" s="376">
        <f t="shared" si="255"/>
        <v>0</v>
      </c>
      <c r="AL1605" s="377">
        <f t="shared" si="258"/>
        <v>0</v>
      </c>
      <c r="AM1605" s="378"/>
      <c r="AN1605" s="633">
        <f>SUM(AL1605:AM1606)</f>
        <v>0</v>
      </c>
    </row>
    <row r="1606" spans="3:40" ht="12.75" x14ac:dyDescent="0.2">
      <c r="C1606" s="581"/>
      <c r="D1606" s="585"/>
      <c r="E1606" s="382" t="s">
        <v>19</v>
      </c>
      <c r="F1606" s="381"/>
      <c r="G1606" s="381"/>
      <c r="H1606" s="381"/>
      <c r="I1606" s="381"/>
      <c r="J1606" s="381"/>
      <c r="K1606" s="381"/>
      <c r="L1606" s="381"/>
      <c r="M1606" s="381"/>
      <c r="N1606" s="381"/>
      <c r="O1606" s="381"/>
      <c r="P1606" s="381"/>
      <c r="Q1606" s="381"/>
      <c r="R1606" s="381"/>
      <c r="S1606" s="381"/>
      <c r="T1606" s="381"/>
      <c r="U1606" s="381"/>
      <c r="V1606" s="381"/>
      <c r="W1606" s="381"/>
      <c r="X1606" s="381"/>
      <c r="Y1606" s="381"/>
      <c r="Z1606" s="381"/>
      <c r="AA1606" s="381"/>
      <c r="AB1606" s="381"/>
      <c r="AC1606" s="381"/>
      <c r="AD1606" s="381"/>
      <c r="AE1606" s="381"/>
      <c r="AF1606" s="381"/>
      <c r="AG1606" s="381"/>
      <c r="AH1606" s="381"/>
      <c r="AI1606" s="381"/>
      <c r="AJ1606" s="381"/>
      <c r="AK1606" s="383">
        <f t="shared" si="255"/>
        <v>0</v>
      </c>
      <c r="AL1606" s="380"/>
      <c r="AM1606" s="381">
        <f>AK1606</f>
        <v>0</v>
      </c>
      <c r="AN1606" s="583"/>
    </row>
    <row r="1607" spans="3:40" ht="12.75" x14ac:dyDescent="0.2">
      <c r="C1607" s="362" t="s">
        <v>32</v>
      </c>
      <c r="D1607" s="384"/>
      <c r="E1607" s="369"/>
      <c r="F1607" s="369">
        <f t="shared" ref="F1607:AI1607" si="259">SUM(F1598:F1606)</f>
        <v>0</v>
      </c>
      <c r="G1607" s="369">
        <f t="shared" si="259"/>
        <v>0</v>
      </c>
      <c r="H1607" s="369">
        <f t="shared" si="259"/>
        <v>0</v>
      </c>
      <c r="I1607" s="369">
        <f t="shared" si="259"/>
        <v>0</v>
      </c>
      <c r="J1607" s="369">
        <f t="shared" si="259"/>
        <v>0</v>
      </c>
      <c r="K1607" s="369">
        <f t="shared" si="259"/>
        <v>0</v>
      </c>
      <c r="L1607" s="369">
        <f t="shared" si="259"/>
        <v>0</v>
      </c>
      <c r="M1607" s="369">
        <f t="shared" si="259"/>
        <v>0</v>
      </c>
      <c r="N1607" s="369">
        <f t="shared" si="259"/>
        <v>0</v>
      </c>
      <c r="O1607" s="369">
        <f t="shared" si="259"/>
        <v>0</v>
      </c>
      <c r="P1607" s="369">
        <f t="shared" si="259"/>
        <v>0</v>
      </c>
      <c r="Q1607" s="369">
        <f t="shared" si="259"/>
        <v>0</v>
      </c>
      <c r="R1607" s="369">
        <f t="shared" si="259"/>
        <v>0</v>
      </c>
      <c r="S1607" s="369">
        <f t="shared" si="259"/>
        <v>14.5</v>
      </c>
      <c r="T1607" s="369">
        <f t="shared" si="259"/>
        <v>0</v>
      </c>
      <c r="U1607" s="369">
        <f t="shared" si="259"/>
        <v>0</v>
      </c>
      <c r="V1607" s="369">
        <f t="shared" si="259"/>
        <v>0</v>
      </c>
      <c r="W1607" s="369">
        <f t="shared" si="259"/>
        <v>0</v>
      </c>
      <c r="X1607" s="369">
        <f t="shared" si="259"/>
        <v>0</v>
      </c>
      <c r="Y1607" s="369">
        <f t="shared" si="259"/>
        <v>0</v>
      </c>
      <c r="Z1607" s="369">
        <f t="shared" si="259"/>
        <v>0</v>
      </c>
      <c r="AA1607" s="369">
        <f t="shared" si="259"/>
        <v>0</v>
      </c>
      <c r="AB1607" s="369">
        <f t="shared" si="259"/>
        <v>50</v>
      </c>
      <c r="AC1607" s="369">
        <f t="shared" si="259"/>
        <v>0</v>
      </c>
      <c r="AD1607" s="369">
        <f t="shared" si="259"/>
        <v>0</v>
      </c>
      <c r="AE1607" s="369">
        <f t="shared" si="259"/>
        <v>0</v>
      </c>
      <c r="AF1607" s="369">
        <f t="shared" si="259"/>
        <v>0</v>
      </c>
      <c r="AG1607" s="369">
        <f t="shared" si="259"/>
        <v>100</v>
      </c>
      <c r="AH1607" s="369">
        <f t="shared" si="259"/>
        <v>0</v>
      </c>
      <c r="AI1607" s="369">
        <f t="shared" si="259"/>
        <v>0</v>
      </c>
      <c r="AJ1607" s="369"/>
      <c r="AK1607" s="385">
        <f t="shared" ref="AK1607:AM1607" si="260">SUM(AK1598:AK1606)</f>
        <v>164.5</v>
      </c>
      <c r="AL1607" s="366">
        <f t="shared" si="260"/>
        <v>150</v>
      </c>
      <c r="AM1607" s="369">
        <f t="shared" si="260"/>
        <v>14.5</v>
      </c>
      <c r="AN1607" s="374"/>
    </row>
    <row r="1608" spans="3:40" ht="12.75" x14ac:dyDescent="0.2">
      <c r="C1608" s="629" t="s">
        <v>33</v>
      </c>
      <c r="D1608" s="416" t="s">
        <v>34</v>
      </c>
      <c r="E1608" s="441" t="s">
        <v>19</v>
      </c>
      <c r="F1608" s="409"/>
      <c r="G1608" s="409"/>
      <c r="H1608" s="409"/>
      <c r="I1608" s="409"/>
      <c r="J1608" s="409"/>
      <c r="K1608" s="409"/>
      <c r="L1608" s="409"/>
      <c r="M1608" s="409"/>
      <c r="N1608" s="409"/>
      <c r="O1608" s="409"/>
      <c r="P1608" s="409"/>
      <c r="Q1608" s="409"/>
      <c r="R1608" s="409"/>
      <c r="S1608" s="409"/>
      <c r="T1608" s="409"/>
      <c r="U1608" s="409"/>
      <c r="V1608" s="409"/>
      <c r="W1608" s="409"/>
      <c r="X1608" s="409"/>
      <c r="Y1608" s="409"/>
      <c r="Z1608" s="409"/>
      <c r="AA1608" s="409"/>
      <c r="AB1608" s="409"/>
      <c r="AC1608" s="409"/>
      <c r="AD1608" s="409"/>
      <c r="AE1608" s="409"/>
      <c r="AF1608" s="409"/>
      <c r="AG1608" s="409"/>
      <c r="AH1608" s="409"/>
      <c r="AI1608" s="409"/>
      <c r="AJ1608" s="409"/>
      <c r="AK1608" s="442">
        <f t="shared" ref="AK1608:AK1625" si="261">SUM(F1608:AJ1608)</f>
        <v>0</v>
      </c>
      <c r="AL1608" s="394"/>
      <c r="AM1608" s="396">
        <f>AK1608</f>
        <v>0</v>
      </c>
      <c r="AN1608" s="374">
        <f>AM1608</f>
        <v>0</v>
      </c>
    </row>
    <row r="1609" spans="3:40" ht="12.75" x14ac:dyDescent="0.2">
      <c r="C1609" s="580"/>
      <c r="D1609" s="402" t="s">
        <v>35</v>
      </c>
      <c r="E1609" s="393" t="s">
        <v>18</v>
      </c>
      <c r="F1609" s="394"/>
      <c r="G1609" s="394"/>
      <c r="H1609" s="394"/>
      <c r="I1609" s="394"/>
      <c r="J1609" s="394"/>
      <c r="K1609" s="394"/>
      <c r="L1609" s="394"/>
      <c r="M1609" s="394"/>
      <c r="N1609" s="394"/>
      <c r="O1609" s="394"/>
      <c r="P1609" s="394"/>
      <c r="Q1609" s="394"/>
      <c r="R1609" s="394"/>
      <c r="S1609" s="394"/>
      <c r="T1609" s="394"/>
      <c r="U1609" s="394"/>
      <c r="V1609" s="394"/>
      <c r="W1609" s="394"/>
      <c r="X1609" s="394"/>
      <c r="Y1609" s="394"/>
      <c r="Z1609" s="394"/>
      <c r="AA1609" s="394"/>
      <c r="AB1609" s="394"/>
      <c r="AC1609" s="394"/>
      <c r="AD1609" s="394"/>
      <c r="AE1609" s="394"/>
      <c r="AF1609" s="394"/>
      <c r="AG1609" s="394"/>
      <c r="AH1609" s="393">
        <v>10</v>
      </c>
      <c r="AI1609" s="394"/>
      <c r="AJ1609" s="394"/>
      <c r="AK1609" s="395">
        <f t="shared" si="261"/>
        <v>10</v>
      </c>
      <c r="AL1609" s="394">
        <f>AK1609</f>
        <v>10</v>
      </c>
      <c r="AM1609" s="396"/>
      <c r="AN1609" s="374">
        <f>AL1609</f>
        <v>10</v>
      </c>
    </row>
    <row r="1610" spans="3:40" ht="12.75" x14ac:dyDescent="0.2">
      <c r="C1610" s="580"/>
      <c r="D1610" s="402" t="s">
        <v>36</v>
      </c>
      <c r="E1610" s="404" t="s">
        <v>19</v>
      </c>
      <c r="F1610" s="396"/>
      <c r="G1610" s="396"/>
      <c r="H1610" s="396"/>
      <c r="I1610" s="396"/>
      <c r="J1610" s="396"/>
      <c r="K1610" s="396"/>
      <c r="L1610" s="396"/>
      <c r="M1610" s="396"/>
      <c r="N1610" s="396"/>
      <c r="O1610" s="396"/>
      <c r="P1610" s="396"/>
      <c r="Q1610" s="396"/>
      <c r="R1610" s="396"/>
      <c r="S1610" s="396"/>
      <c r="T1610" s="396"/>
      <c r="U1610" s="396"/>
      <c r="V1610" s="396"/>
      <c r="W1610" s="396"/>
      <c r="X1610" s="396"/>
      <c r="Y1610" s="396"/>
      <c r="Z1610" s="396"/>
      <c r="AA1610" s="396"/>
      <c r="AB1610" s="396"/>
      <c r="AC1610" s="396"/>
      <c r="AD1610" s="396"/>
      <c r="AE1610" s="396"/>
      <c r="AF1610" s="396"/>
      <c r="AG1610" s="396"/>
      <c r="AH1610" s="396"/>
      <c r="AI1610" s="396"/>
      <c r="AJ1610" s="396"/>
      <c r="AK1610" s="405">
        <f t="shared" si="261"/>
        <v>0</v>
      </c>
      <c r="AL1610" s="394"/>
      <c r="AM1610" s="396">
        <f>AK1610</f>
        <v>0</v>
      </c>
      <c r="AN1610" s="374">
        <f>AM1610</f>
        <v>0</v>
      </c>
    </row>
    <row r="1611" spans="3:40" ht="12.75" x14ac:dyDescent="0.2">
      <c r="C1611" s="580"/>
      <c r="D1611" s="643" t="s">
        <v>37</v>
      </c>
      <c r="E1611" s="393" t="s">
        <v>18</v>
      </c>
      <c r="F1611" s="394"/>
      <c r="G1611" s="394"/>
      <c r="H1611" s="394"/>
      <c r="I1611" s="394"/>
      <c r="J1611" s="394"/>
      <c r="K1611" s="394"/>
      <c r="L1611" s="394"/>
      <c r="M1611" s="394"/>
      <c r="N1611" s="394"/>
      <c r="O1611" s="394"/>
      <c r="P1611" s="394"/>
      <c r="Q1611" s="394"/>
      <c r="R1611" s="394"/>
      <c r="S1611" s="394"/>
      <c r="T1611" s="394"/>
      <c r="U1611" s="394"/>
      <c r="V1611" s="394"/>
      <c r="W1611" s="394"/>
      <c r="X1611" s="394"/>
      <c r="Y1611" s="394"/>
      <c r="Z1611" s="394"/>
      <c r="AA1611" s="394"/>
      <c r="AB1611" s="394"/>
      <c r="AC1611" s="394"/>
      <c r="AD1611" s="394"/>
      <c r="AE1611" s="394"/>
      <c r="AF1611" s="394"/>
      <c r="AG1611" s="394"/>
      <c r="AH1611" s="394"/>
      <c r="AI1611" s="393">
        <v>1.7</v>
      </c>
      <c r="AJ1611" s="394"/>
      <c r="AK1611" s="395">
        <f t="shared" si="261"/>
        <v>1.7</v>
      </c>
      <c r="AL1611" s="408">
        <f>AK1611</f>
        <v>1.7</v>
      </c>
      <c r="AM1611" s="409"/>
      <c r="AN1611" s="633">
        <f>SUM(AL1611:AM1612)</f>
        <v>31.8</v>
      </c>
    </row>
    <row r="1612" spans="3:40" ht="12.75" x14ac:dyDescent="0.2">
      <c r="C1612" s="580"/>
      <c r="D1612" s="577"/>
      <c r="E1612" s="404" t="s">
        <v>19</v>
      </c>
      <c r="F1612" s="396"/>
      <c r="G1612" s="396"/>
      <c r="H1612" s="396"/>
      <c r="I1612" s="396"/>
      <c r="J1612" s="396"/>
      <c r="K1612" s="396"/>
      <c r="L1612" s="396"/>
      <c r="M1612" s="396"/>
      <c r="N1612" s="396"/>
      <c r="O1612" s="396"/>
      <c r="P1612" s="396"/>
      <c r="Q1612" s="396"/>
      <c r="R1612" s="396"/>
      <c r="S1612" s="396"/>
      <c r="T1612" s="404">
        <v>1.8</v>
      </c>
      <c r="U1612" s="404">
        <v>1.8</v>
      </c>
      <c r="V1612" s="404">
        <v>1.8</v>
      </c>
      <c r="W1612" s="404">
        <v>1.8</v>
      </c>
      <c r="X1612" s="404">
        <v>1.8</v>
      </c>
      <c r="Y1612" s="396"/>
      <c r="Z1612" s="396"/>
      <c r="AA1612" s="404">
        <v>1.8</v>
      </c>
      <c r="AB1612" s="404">
        <v>13.9</v>
      </c>
      <c r="AC1612" s="404">
        <v>1.8</v>
      </c>
      <c r="AD1612" s="404">
        <v>2.7</v>
      </c>
      <c r="AE1612" s="404">
        <v>0.9</v>
      </c>
      <c r="AF1612" s="396"/>
      <c r="AG1612" s="396"/>
      <c r="AH1612" s="396"/>
      <c r="AI1612" s="404"/>
      <c r="AJ1612" s="404"/>
      <c r="AK1612" s="405">
        <f t="shared" si="261"/>
        <v>30.1</v>
      </c>
      <c r="AL1612" s="406"/>
      <c r="AM1612" s="407">
        <f>AK1612</f>
        <v>30.1</v>
      </c>
      <c r="AN1612" s="583"/>
    </row>
    <row r="1613" spans="3:40" ht="12.75" x14ac:dyDescent="0.2">
      <c r="C1613" s="580"/>
      <c r="D1613" s="402" t="s">
        <v>38</v>
      </c>
      <c r="E1613" s="393" t="s">
        <v>18</v>
      </c>
      <c r="F1613" s="394"/>
      <c r="G1613" s="394"/>
      <c r="H1613" s="394"/>
      <c r="I1613" s="394"/>
      <c r="J1613" s="394"/>
      <c r="K1613" s="394"/>
      <c r="L1613" s="394"/>
      <c r="M1613" s="394"/>
      <c r="N1613" s="394"/>
      <c r="O1613" s="394"/>
      <c r="P1613" s="394"/>
      <c r="Q1613" s="394"/>
      <c r="R1613" s="394"/>
      <c r="S1613" s="394"/>
      <c r="T1613" s="394"/>
      <c r="U1613" s="394"/>
      <c r="V1613" s="394"/>
      <c r="W1613" s="394"/>
      <c r="X1613" s="394"/>
      <c r="Y1613" s="394"/>
      <c r="Z1613" s="394"/>
      <c r="AA1613" s="394"/>
      <c r="AB1613" s="394"/>
      <c r="AC1613" s="394"/>
      <c r="AD1613" s="394"/>
      <c r="AE1613" s="394"/>
      <c r="AF1613" s="394"/>
      <c r="AG1613" s="394"/>
      <c r="AH1613" s="394"/>
      <c r="AI1613" s="394"/>
      <c r="AJ1613" s="394"/>
      <c r="AK1613" s="395">
        <f t="shared" si="261"/>
        <v>0</v>
      </c>
      <c r="AL1613" s="394">
        <f t="shared" ref="AL1613:AL1615" si="262">AK1613</f>
        <v>0</v>
      </c>
      <c r="AM1613" s="396"/>
      <c r="AN1613" s="374">
        <f t="shared" ref="AN1613:AN1614" si="263">AL1613</f>
        <v>0</v>
      </c>
    </row>
    <row r="1614" spans="3:40" ht="12.75" x14ac:dyDescent="0.2">
      <c r="C1614" s="580"/>
      <c r="D1614" s="402" t="s">
        <v>39</v>
      </c>
      <c r="E1614" s="393" t="s">
        <v>18</v>
      </c>
      <c r="F1614" s="394"/>
      <c r="G1614" s="394"/>
      <c r="H1614" s="394"/>
      <c r="I1614" s="394"/>
      <c r="J1614" s="394"/>
      <c r="K1614" s="394"/>
      <c r="L1614" s="394"/>
      <c r="M1614" s="394"/>
      <c r="N1614" s="394"/>
      <c r="O1614" s="394"/>
      <c r="P1614" s="394"/>
      <c r="Q1614" s="394"/>
      <c r="R1614" s="394"/>
      <c r="S1614" s="394"/>
      <c r="T1614" s="394"/>
      <c r="U1614" s="394"/>
      <c r="V1614" s="394"/>
      <c r="W1614" s="394"/>
      <c r="X1614" s="394"/>
      <c r="Y1614" s="394"/>
      <c r="Z1614" s="394"/>
      <c r="AA1614" s="394"/>
      <c r="AB1614" s="394"/>
      <c r="AC1614" s="394"/>
      <c r="AD1614" s="394"/>
      <c r="AE1614" s="394"/>
      <c r="AF1614" s="394"/>
      <c r="AG1614" s="394"/>
      <c r="AH1614" s="394"/>
      <c r="AI1614" s="394"/>
      <c r="AJ1614" s="394"/>
      <c r="AK1614" s="395">
        <f t="shared" si="261"/>
        <v>0</v>
      </c>
      <c r="AL1614" s="394">
        <f t="shared" si="262"/>
        <v>0</v>
      </c>
      <c r="AM1614" s="396"/>
      <c r="AN1614" s="374">
        <f t="shared" si="263"/>
        <v>0</v>
      </c>
    </row>
    <row r="1615" spans="3:40" ht="12.75" x14ac:dyDescent="0.2">
      <c r="C1615" s="580"/>
      <c r="D1615" s="643" t="s">
        <v>40</v>
      </c>
      <c r="E1615" s="393" t="s">
        <v>18</v>
      </c>
      <c r="F1615" s="394"/>
      <c r="G1615" s="394"/>
      <c r="H1615" s="394"/>
      <c r="I1615" s="394"/>
      <c r="J1615" s="394"/>
      <c r="K1615" s="394"/>
      <c r="L1615" s="394"/>
      <c r="M1615" s="394"/>
      <c r="N1615" s="394"/>
      <c r="O1615" s="394"/>
      <c r="P1615" s="394"/>
      <c r="Q1615" s="394"/>
      <c r="R1615" s="394"/>
      <c r="S1615" s="394"/>
      <c r="T1615" s="394"/>
      <c r="U1615" s="394"/>
      <c r="V1615" s="394"/>
      <c r="W1615" s="394"/>
      <c r="X1615" s="394"/>
      <c r="Y1615" s="394"/>
      <c r="Z1615" s="394"/>
      <c r="AA1615" s="394"/>
      <c r="AB1615" s="394"/>
      <c r="AC1615" s="394"/>
      <c r="AD1615" s="394"/>
      <c r="AE1615" s="394"/>
      <c r="AF1615" s="394"/>
      <c r="AG1615" s="394"/>
      <c r="AH1615" s="394"/>
      <c r="AI1615" s="394"/>
      <c r="AJ1615" s="394"/>
      <c r="AK1615" s="395">
        <f t="shared" si="261"/>
        <v>0</v>
      </c>
      <c r="AL1615" s="408">
        <f t="shared" si="262"/>
        <v>0</v>
      </c>
      <c r="AM1615" s="409"/>
      <c r="AN1615" s="633">
        <f>SUM(AL1615:AM1616)</f>
        <v>0</v>
      </c>
    </row>
    <row r="1616" spans="3:40" ht="12.75" x14ac:dyDescent="0.2">
      <c r="C1616" s="580"/>
      <c r="D1616" s="577"/>
      <c r="E1616" s="404" t="s">
        <v>19</v>
      </c>
      <c r="F1616" s="396"/>
      <c r="G1616" s="396"/>
      <c r="H1616" s="396"/>
      <c r="I1616" s="396"/>
      <c r="J1616" s="396"/>
      <c r="K1616" s="396"/>
      <c r="L1616" s="396"/>
      <c r="M1616" s="396"/>
      <c r="N1616" s="396"/>
      <c r="O1616" s="396"/>
      <c r="P1616" s="396"/>
      <c r="Q1616" s="396"/>
      <c r="R1616" s="396"/>
      <c r="S1616" s="396"/>
      <c r="T1616" s="396"/>
      <c r="U1616" s="396"/>
      <c r="V1616" s="396"/>
      <c r="W1616" s="396"/>
      <c r="X1616" s="396"/>
      <c r="Y1616" s="396"/>
      <c r="Z1616" s="396"/>
      <c r="AA1616" s="396"/>
      <c r="AB1616" s="396"/>
      <c r="AC1616" s="396"/>
      <c r="AD1616" s="396"/>
      <c r="AE1616" s="396"/>
      <c r="AF1616" s="396"/>
      <c r="AG1616" s="396"/>
      <c r="AH1616" s="396"/>
      <c r="AI1616" s="396"/>
      <c r="AJ1616" s="396"/>
      <c r="AK1616" s="405">
        <f t="shared" si="261"/>
        <v>0</v>
      </c>
      <c r="AL1616" s="406"/>
      <c r="AM1616" s="407">
        <f>AK1616</f>
        <v>0</v>
      </c>
      <c r="AN1616" s="583"/>
    </row>
    <row r="1617" spans="3:40" ht="12.75" x14ac:dyDescent="0.2">
      <c r="C1617" s="580"/>
      <c r="D1617" s="643" t="s">
        <v>75</v>
      </c>
      <c r="E1617" s="393" t="s">
        <v>18</v>
      </c>
      <c r="F1617" s="394"/>
      <c r="G1617" s="394"/>
      <c r="H1617" s="394"/>
      <c r="I1617" s="394"/>
      <c r="J1617" s="394"/>
      <c r="K1617" s="394"/>
      <c r="L1617" s="394"/>
      <c r="M1617" s="394"/>
      <c r="N1617" s="394"/>
      <c r="O1617" s="394"/>
      <c r="P1617" s="394"/>
      <c r="Q1617" s="394"/>
      <c r="R1617" s="394"/>
      <c r="S1617" s="394"/>
      <c r="T1617" s="394"/>
      <c r="U1617" s="394"/>
      <c r="V1617" s="394"/>
      <c r="W1617" s="394"/>
      <c r="X1617" s="394"/>
      <c r="Y1617" s="394"/>
      <c r="Z1617" s="394"/>
      <c r="AA1617" s="394"/>
      <c r="AB1617" s="394"/>
      <c r="AC1617" s="394"/>
      <c r="AD1617" s="394"/>
      <c r="AE1617" s="394"/>
      <c r="AF1617" s="394"/>
      <c r="AG1617" s="394"/>
      <c r="AH1617" s="394"/>
      <c r="AI1617" s="394"/>
      <c r="AJ1617" s="394"/>
      <c r="AK1617" s="395">
        <f t="shared" si="261"/>
        <v>0</v>
      </c>
      <c r="AL1617" s="408">
        <f>AK1617</f>
        <v>0</v>
      </c>
      <c r="AM1617" s="409"/>
      <c r="AN1617" s="633">
        <f>SUM(AL1617:AM1618)</f>
        <v>0</v>
      </c>
    </row>
    <row r="1618" spans="3:40" ht="12.75" x14ac:dyDescent="0.2">
      <c r="C1618" s="580"/>
      <c r="D1618" s="577"/>
      <c r="E1618" s="404" t="s">
        <v>19</v>
      </c>
      <c r="F1618" s="396"/>
      <c r="G1618" s="396"/>
      <c r="H1618" s="396"/>
      <c r="I1618" s="396"/>
      <c r="J1618" s="396"/>
      <c r="K1618" s="396"/>
      <c r="L1618" s="396"/>
      <c r="M1618" s="396"/>
      <c r="N1618" s="396"/>
      <c r="O1618" s="396"/>
      <c r="P1618" s="396"/>
      <c r="Q1618" s="396"/>
      <c r="R1618" s="396"/>
      <c r="S1618" s="396"/>
      <c r="T1618" s="396"/>
      <c r="U1618" s="396"/>
      <c r="V1618" s="396"/>
      <c r="W1618" s="396"/>
      <c r="X1618" s="396"/>
      <c r="Y1618" s="396"/>
      <c r="Z1618" s="396"/>
      <c r="AA1618" s="396"/>
      <c r="AB1618" s="396"/>
      <c r="AC1618" s="396"/>
      <c r="AD1618" s="396"/>
      <c r="AE1618" s="396"/>
      <c r="AF1618" s="396"/>
      <c r="AG1618" s="396"/>
      <c r="AH1618" s="396"/>
      <c r="AI1618" s="396"/>
      <c r="AJ1618" s="396"/>
      <c r="AK1618" s="405">
        <f t="shared" si="261"/>
        <v>0</v>
      </c>
      <c r="AL1618" s="406"/>
      <c r="AM1618" s="407">
        <f>AK1618</f>
        <v>0</v>
      </c>
      <c r="AN1618" s="583"/>
    </row>
    <row r="1619" spans="3:40" ht="12.75" x14ac:dyDescent="0.2">
      <c r="C1619" s="580"/>
      <c r="D1619" s="643" t="s">
        <v>41</v>
      </c>
      <c r="E1619" s="393" t="s">
        <v>18</v>
      </c>
      <c r="F1619" s="394"/>
      <c r="G1619" s="394"/>
      <c r="H1619" s="394"/>
      <c r="I1619" s="394"/>
      <c r="J1619" s="394"/>
      <c r="K1619" s="394"/>
      <c r="L1619" s="394"/>
      <c r="M1619" s="394"/>
      <c r="N1619" s="394"/>
      <c r="O1619" s="394"/>
      <c r="P1619" s="394"/>
      <c r="Q1619" s="394"/>
      <c r="R1619" s="394"/>
      <c r="S1619" s="394"/>
      <c r="T1619" s="394"/>
      <c r="U1619" s="394"/>
      <c r="V1619" s="394"/>
      <c r="W1619" s="394"/>
      <c r="X1619" s="394"/>
      <c r="Y1619" s="394"/>
      <c r="Z1619" s="394"/>
      <c r="AA1619" s="394"/>
      <c r="AB1619" s="394"/>
      <c r="AC1619" s="394"/>
      <c r="AD1619" s="394"/>
      <c r="AE1619" s="394"/>
      <c r="AF1619" s="394"/>
      <c r="AG1619" s="394"/>
      <c r="AH1619" s="394"/>
      <c r="AI1619" s="394"/>
      <c r="AJ1619" s="394"/>
      <c r="AK1619" s="395">
        <f t="shared" si="261"/>
        <v>0</v>
      </c>
      <c r="AL1619" s="408">
        <f>AK1619</f>
        <v>0</v>
      </c>
      <c r="AM1619" s="409"/>
      <c r="AN1619" s="633">
        <f>SUM(AL1619:AM1620)</f>
        <v>14.18</v>
      </c>
    </row>
    <row r="1620" spans="3:40" ht="12.75" x14ac:dyDescent="0.2">
      <c r="C1620" s="580"/>
      <c r="D1620" s="577"/>
      <c r="E1620" s="404" t="s">
        <v>19</v>
      </c>
      <c r="F1620" s="396"/>
      <c r="G1620" s="396"/>
      <c r="H1620" s="396"/>
      <c r="I1620" s="396"/>
      <c r="J1620" s="396"/>
      <c r="K1620" s="396"/>
      <c r="L1620" s="396"/>
      <c r="M1620" s="396"/>
      <c r="N1620" s="396"/>
      <c r="O1620" s="396"/>
      <c r="P1620" s="396"/>
      <c r="Q1620" s="404"/>
      <c r="R1620" s="404">
        <v>9.51</v>
      </c>
      <c r="S1620" s="404">
        <v>4.67</v>
      </c>
      <c r="T1620" s="396"/>
      <c r="U1620" s="396"/>
      <c r="V1620" s="396"/>
      <c r="W1620" s="396"/>
      <c r="X1620" s="396"/>
      <c r="Y1620" s="396"/>
      <c r="Z1620" s="396"/>
      <c r="AA1620" s="396"/>
      <c r="AB1620" s="396"/>
      <c r="AC1620" s="396"/>
      <c r="AD1620" s="396"/>
      <c r="AE1620" s="396"/>
      <c r="AF1620" s="396"/>
      <c r="AG1620" s="396"/>
      <c r="AH1620" s="396"/>
      <c r="AI1620" s="396"/>
      <c r="AJ1620" s="396"/>
      <c r="AK1620" s="405">
        <f t="shared" si="261"/>
        <v>14.18</v>
      </c>
      <c r="AL1620" s="406"/>
      <c r="AM1620" s="407">
        <f>AK1620</f>
        <v>14.18</v>
      </c>
      <c r="AN1620" s="583"/>
    </row>
    <row r="1621" spans="3:40" ht="12.75" x14ac:dyDescent="0.2">
      <c r="C1621" s="580"/>
      <c r="D1621" s="402" t="s">
        <v>42</v>
      </c>
      <c r="E1621" s="393" t="s">
        <v>18</v>
      </c>
      <c r="F1621" s="394"/>
      <c r="G1621" s="394"/>
      <c r="H1621" s="394"/>
      <c r="I1621" s="394"/>
      <c r="J1621" s="394"/>
      <c r="K1621" s="394"/>
      <c r="L1621" s="394"/>
      <c r="M1621" s="394"/>
      <c r="N1621" s="394"/>
      <c r="O1621" s="394"/>
      <c r="P1621" s="394"/>
      <c r="Q1621" s="394"/>
      <c r="R1621" s="394"/>
      <c r="S1621" s="394"/>
      <c r="T1621" s="394"/>
      <c r="U1621" s="394"/>
      <c r="V1621" s="394"/>
      <c r="W1621" s="394"/>
      <c r="X1621" s="394"/>
      <c r="Y1621" s="394"/>
      <c r="Z1621" s="394"/>
      <c r="AA1621" s="394"/>
      <c r="AB1621" s="394"/>
      <c r="AC1621" s="394"/>
      <c r="AD1621" s="394"/>
      <c r="AE1621" s="394"/>
      <c r="AF1621" s="394"/>
      <c r="AG1621" s="394"/>
      <c r="AH1621" s="394"/>
      <c r="AI1621" s="394"/>
      <c r="AJ1621" s="394"/>
      <c r="AK1621" s="395">
        <f t="shared" si="261"/>
        <v>0</v>
      </c>
      <c r="AL1621" s="394">
        <f>AK1621</f>
        <v>0</v>
      </c>
      <c r="AM1621" s="396"/>
      <c r="AN1621" s="374">
        <f>AL1621</f>
        <v>0</v>
      </c>
    </row>
    <row r="1622" spans="3:40" ht="12.75" x14ac:dyDescent="0.2">
      <c r="C1622" s="580"/>
      <c r="D1622" s="402" t="s">
        <v>43</v>
      </c>
      <c r="E1622" s="404" t="s">
        <v>19</v>
      </c>
      <c r="F1622" s="396"/>
      <c r="G1622" s="396"/>
      <c r="H1622" s="396"/>
      <c r="I1622" s="396"/>
      <c r="J1622" s="396"/>
      <c r="K1622" s="396"/>
      <c r="L1622" s="396"/>
      <c r="M1622" s="396"/>
      <c r="N1622" s="396"/>
      <c r="O1622" s="396"/>
      <c r="P1622" s="396"/>
      <c r="Q1622" s="396"/>
      <c r="R1622" s="396"/>
      <c r="S1622" s="396"/>
      <c r="T1622" s="396"/>
      <c r="U1622" s="396"/>
      <c r="V1622" s="396"/>
      <c r="W1622" s="396"/>
      <c r="X1622" s="396"/>
      <c r="Y1622" s="396"/>
      <c r="Z1622" s="396"/>
      <c r="AA1622" s="396"/>
      <c r="AB1622" s="396"/>
      <c r="AC1622" s="396"/>
      <c r="AD1622" s="396"/>
      <c r="AE1622" s="396"/>
      <c r="AF1622" s="396"/>
      <c r="AG1622" s="396"/>
      <c r="AH1622" s="396"/>
      <c r="AI1622" s="396"/>
      <c r="AJ1622" s="396"/>
      <c r="AK1622" s="405">
        <f t="shared" si="261"/>
        <v>0</v>
      </c>
      <c r="AL1622" s="394"/>
      <c r="AM1622" s="396">
        <f>AK1622</f>
        <v>0</v>
      </c>
      <c r="AN1622" s="374">
        <f>AM1622</f>
        <v>0</v>
      </c>
    </row>
    <row r="1623" spans="3:40" ht="12.75" x14ac:dyDescent="0.2">
      <c r="C1623" s="580"/>
      <c r="D1623" s="643" t="s">
        <v>44</v>
      </c>
      <c r="E1623" s="393" t="s">
        <v>18</v>
      </c>
      <c r="F1623" s="394"/>
      <c r="G1623" s="394"/>
      <c r="H1623" s="394"/>
      <c r="I1623" s="394"/>
      <c r="J1623" s="394"/>
      <c r="K1623" s="394"/>
      <c r="L1623" s="394"/>
      <c r="M1623" s="394"/>
      <c r="N1623" s="394"/>
      <c r="O1623" s="394"/>
      <c r="P1623" s="394"/>
      <c r="Q1623" s="394"/>
      <c r="R1623" s="394"/>
      <c r="S1623" s="394"/>
      <c r="T1623" s="394"/>
      <c r="U1623" s="394"/>
      <c r="V1623" s="394"/>
      <c r="W1623" s="394"/>
      <c r="X1623" s="394"/>
      <c r="Y1623" s="394"/>
      <c r="Z1623" s="394"/>
      <c r="AA1623" s="394"/>
      <c r="AB1623" s="394"/>
      <c r="AC1623" s="394"/>
      <c r="AD1623" s="394"/>
      <c r="AE1623" s="394"/>
      <c r="AF1623" s="394"/>
      <c r="AG1623" s="394"/>
      <c r="AH1623" s="394"/>
      <c r="AI1623" s="394"/>
      <c r="AJ1623" s="394"/>
      <c r="AK1623" s="395">
        <f t="shared" si="261"/>
        <v>0</v>
      </c>
      <c r="AL1623" s="408">
        <f>AK1623</f>
        <v>0</v>
      </c>
      <c r="AM1623" s="409"/>
      <c r="AN1623" s="633">
        <f>SUM(AL1623:AM1624)</f>
        <v>0</v>
      </c>
    </row>
    <row r="1624" spans="3:40" ht="12.75" x14ac:dyDescent="0.2">
      <c r="C1624" s="581"/>
      <c r="D1624" s="585"/>
      <c r="E1624" s="404" t="s">
        <v>19</v>
      </c>
      <c r="F1624" s="407"/>
      <c r="G1624" s="407"/>
      <c r="H1624" s="407"/>
      <c r="I1624" s="407"/>
      <c r="J1624" s="407"/>
      <c r="K1624" s="407"/>
      <c r="L1624" s="407"/>
      <c r="M1624" s="407"/>
      <c r="N1624" s="407"/>
      <c r="O1624" s="407"/>
      <c r="P1624" s="407"/>
      <c r="Q1624" s="407"/>
      <c r="R1624" s="407"/>
      <c r="S1624" s="407"/>
      <c r="T1624" s="407"/>
      <c r="U1624" s="407"/>
      <c r="V1624" s="407"/>
      <c r="W1624" s="407"/>
      <c r="X1624" s="407"/>
      <c r="Y1624" s="407"/>
      <c r="Z1624" s="407"/>
      <c r="AA1624" s="407"/>
      <c r="AB1624" s="407"/>
      <c r="AC1624" s="407"/>
      <c r="AD1624" s="407"/>
      <c r="AE1624" s="407"/>
      <c r="AF1624" s="407"/>
      <c r="AG1624" s="407"/>
      <c r="AH1624" s="407"/>
      <c r="AI1624" s="407"/>
      <c r="AJ1624" s="407"/>
      <c r="AK1624" s="405">
        <f t="shared" si="261"/>
        <v>0</v>
      </c>
      <c r="AL1624" s="406"/>
      <c r="AM1624" s="407">
        <f>AK1624</f>
        <v>0</v>
      </c>
      <c r="AN1624" s="583"/>
    </row>
    <row r="1625" spans="3:40" ht="12.75" x14ac:dyDescent="0.2">
      <c r="C1625" s="629" t="s">
        <v>45</v>
      </c>
      <c r="D1625" s="644" t="s">
        <v>46</v>
      </c>
      <c r="E1625" s="411" t="s">
        <v>18</v>
      </c>
      <c r="F1625" s="412"/>
      <c r="G1625" s="412"/>
      <c r="H1625" s="412"/>
      <c r="I1625" s="412"/>
      <c r="J1625" s="412"/>
      <c r="K1625" s="412"/>
      <c r="L1625" s="412"/>
      <c r="M1625" s="412"/>
      <c r="N1625" s="412"/>
      <c r="O1625" s="412"/>
      <c r="P1625" s="412"/>
      <c r="Q1625" s="412"/>
      <c r="R1625" s="412"/>
      <c r="S1625" s="412"/>
      <c r="T1625" s="412"/>
      <c r="U1625" s="412"/>
      <c r="V1625" s="412"/>
      <c r="W1625" s="412"/>
      <c r="X1625" s="412"/>
      <c r="Y1625" s="412"/>
      <c r="Z1625" s="412"/>
      <c r="AA1625" s="412"/>
      <c r="AB1625" s="411">
        <v>7.91</v>
      </c>
      <c r="AC1625" s="412"/>
      <c r="AD1625" s="412"/>
      <c r="AE1625" s="412"/>
      <c r="AF1625" s="412"/>
      <c r="AG1625" s="412"/>
      <c r="AH1625" s="412"/>
      <c r="AI1625" s="412"/>
      <c r="AJ1625" s="412"/>
      <c r="AK1625" s="395">
        <f t="shared" si="261"/>
        <v>7.91</v>
      </c>
      <c r="AL1625" s="408">
        <f>AK1625</f>
        <v>7.91</v>
      </c>
      <c r="AM1625" s="409"/>
      <c r="AN1625" s="633">
        <f>SUM(AL1625:AM1626)</f>
        <v>57.88000000000001</v>
      </c>
    </row>
    <row r="1626" spans="3:40" ht="12.75" x14ac:dyDescent="0.2">
      <c r="C1626" s="580"/>
      <c r="D1626" s="577"/>
      <c r="E1626" s="404" t="s">
        <v>19</v>
      </c>
      <c r="F1626" s="396"/>
      <c r="G1626" s="396"/>
      <c r="H1626" s="396"/>
      <c r="I1626" s="396"/>
      <c r="J1626" s="396"/>
      <c r="K1626" s="396"/>
      <c r="L1626" s="396"/>
      <c r="M1626" s="396"/>
      <c r="N1626" s="396"/>
      <c r="O1626" s="396"/>
      <c r="P1626" s="396"/>
      <c r="Q1626" s="396"/>
      <c r="R1626" s="396"/>
      <c r="S1626" s="404">
        <v>1.72</v>
      </c>
      <c r="T1626" s="404">
        <v>2.99</v>
      </c>
      <c r="U1626" s="396"/>
      <c r="V1626" s="404">
        <v>20.91</v>
      </c>
      <c r="W1626" s="396"/>
      <c r="X1626" s="404">
        <v>13.08</v>
      </c>
      <c r="Y1626" s="396"/>
      <c r="Z1626" s="404">
        <v>0.99</v>
      </c>
      <c r="AA1626" s="396"/>
      <c r="AB1626" s="404"/>
      <c r="AC1626" s="404">
        <v>1.1000000000000001</v>
      </c>
      <c r="AD1626" s="404">
        <v>9.18</v>
      </c>
      <c r="AE1626" s="396"/>
      <c r="AF1626" s="396"/>
      <c r="AG1626" s="396"/>
      <c r="AH1626" s="396"/>
      <c r="AI1626" s="396"/>
      <c r="AJ1626" s="396"/>
      <c r="AK1626" s="405">
        <f>SUM(F1626:AI1626)</f>
        <v>49.970000000000006</v>
      </c>
      <c r="AL1626" s="406"/>
      <c r="AM1626" s="407">
        <f>AK1626</f>
        <v>49.970000000000006</v>
      </c>
      <c r="AN1626" s="583"/>
    </row>
    <row r="1627" spans="3:40" ht="12.75" x14ac:dyDescent="0.2">
      <c r="C1627" s="580"/>
      <c r="D1627" s="643" t="s">
        <v>47</v>
      </c>
      <c r="E1627" s="393" t="s">
        <v>18</v>
      </c>
      <c r="F1627" s="394"/>
      <c r="G1627" s="394"/>
      <c r="H1627" s="394"/>
      <c r="I1627" s="394"/>
      <c r="J1627" s="394"/>
      <c r="K1627" s="394"/>
      <c r="L1627" s="394"/>
      <c r="M1627" s="394"/>
      <c r="N1627" s="394"/>
      <c r="O1627" s="394"/>
      <c r="P1627" s="394"/>
      <c r="Q1627" s="393"/>
      <c r="R1627" s="394"/>
      <c r="S1627" s="394"/>
      <c r="T1627" s="394"/>
      <c r="U1627" s="394"/>
      <c r="V1627" s="394"/>
      <c r="W1627" s="394"/>
      <c r="X1627" s="394"/>
      <c r="Y1627" s="394"/>
      <c r="Z1627" s="394"/>
      <c r="AA1627" s="394"/>
      <c r="AB1627" s="393">
        <v>6.36</v>
      </c>
      <c r="AC1627" s="394"/>
      <c r="AD1627" s="394"/>
      <c r="AE1627" s="394"/>
      <c r="AF1627" s="394"/>
      <c r="AG1627" s="393">
        <v>12</v>
      </c>
      <c r="AH1627" s="394"/>
      <c r="AI1627" s="393">
        <v>1.79</v>
      </c>
      <c r="AJ1627" s="394"/>
      <c r="AK1627" s="395">
        <f>SUM(F1627:AJ1627)</f>
        <v>20.149999999999999</v>
      </c>
      <c r="AL1627" s="408">
        <f>AK1627</f>
        <v>20.149999999999999</v>
      </c>
      <c r="AM1627" s="409"/>
      <c r="AN1627" s="633">
        <f>SUM(AL1627:AM1628)</f>
        <v>57.550000000000004</v>
      </c>
    </row>
    <row r="1628" spans="3:40" ht="12.75" x14ac:dyDescent="0.2">
      <c r="C1628" s="580"/>
      <c r="D1628" s="577"/>
      <c r="E1628" s="404" t="s">
        <v>19</v>
      </c>
      <c r="F1628" s="396"/>
      <c r="G1628" s="396"/>
      <c r="H1628" s="396"/>
      <c r="I1628" s="396"/>
      <c r="J1628" s="396"/>
      <c r="K1628" s="396"/>
      <c r="L1628" s="396"/>
      <c r="M1628" s="396"/>
      <c r="N1628" s="396"/>
      <c r="O1628" s="396"/>
      <c r="P1628" s="396"/>
      <c r="Q1628" s="404"/>
      <c r="R1628" s="404">
        <v>4.28</v>
      </c>
      <c r="S1628" s="404">
        <v>3.27</v>
      </c>
      <c r="T1628" s="404">
        <v>17.7</v>
      </c>
      <c r="U1628" s="404">
        <v>1.92</v>
      </c>
      <c r="V1628" s="404">
        <v>3.9</v>
      </c>
      <c r="W1628" s="404"/>
      <c r="X1628" s="404">
        <v>5.66</v>
      </c>
      <c r="Y1628" s="396"/>
      <c r="Z1628" s="404">
        <v>0.67</v>
      </c>
      <c r="AA1628" s="396"/>
      <c r="AB1628" s="404"/>
      <c r="AC1628" s="396"/>
      <c r="AD1628" s="396"/>
      <c r="AE1628" s="396"/>
      <c r="AF1628" s="396"/>
      <c r="AG1628" s="396"/>
      <c r="AH1628" s="396"/>
      <c r="AI1628" s="396"/>
      <c r="AJ1628" s="396"/>
      <c r="AK1628" s="405">
        <f t="shared" ref="AK1628:AK1630" si="264">SUM(F1628:AI1628)</f>
        <v>37.400000000000006</v>
      </c>
      <c r="AL1628" s="406"/>
      <c r="AM1628" s="407">
        <f>AK1628</f>
        <v>37.400000000000006</v>
      </c>
      <c r="AN1628" s="583"/>
    </row>
    <row r="1629" spans="3:40" ht="12.75" x14ac:dyDescent="0.2">
      <c r="C1629" s="580"/>
      <c r="D1629" s="643" t="s">
        <v>48</v>
      </c>
      <c r="E1629" s="393" t="s">
        <v>18</v>
      </c>
      <c r="F1629" s="394"/>
      <c r="G1629" s="394"/>
      <c r="H1629" s="394"/>
      <c r="I1629" s="394"/>
      <c r="J1629" s="394"/>
      <c r="K1629" s="394"/>
      <c r="L1629" s="394"/>
      <c r="M1629" s="394"/>
      <c r="N1629" s="394"/>
      <c r="O1629" s="394"/>
      <c r="P1629" s="394"/>
      <c r="Q1629" s="393"/>
      <c r="R1629" s="393"/>
      <c r="S1629" s="393"/>
      <c r="T1629" s="393"/>
      <c r="U1629" s="393"/>
      <c r="V1629" s="393"/>
      <c r="W1629" s="393"/>
      <c r="X1629" s="394"/>
      <c r="Y1629" s="394"/>
      <c r="Z1629" s="394"/>
      <c r="AA1629" s="394"/>
      <c r="AB1629" s="394"/>
      <c r="AC1629" s="394"/>
      <c r="AD1629" s="394"/>
      <c r="AE1629" s="393">
        <v>1.1499999999999999</v>
      </c>
      <c r="AF1629" s="394"/>
      <c r="AG1629" s="394"/>
      <c r="AH1629" s="393">
        <v>2.52</v>
      </c>
      <c r="AI1629" s="393">
        <v>3.64</v>
      </c>
      <c r="AJ1629" s="394"/>
      <c r="AK1629" s="395">
        <f t="shared" si="264"/>
        <v>7.3100000000000005</v>
      </c>
      <c r="AL1629" s="408">
        <f>AK1629</f>
        <v>7.3100000000000005</v>
      </c>
      <c r="AM1629" s="409"/>
      <c r="AN1629" s="633">
        <f>SUM(AL1629:AM1630)</f>
        <v>18.14</v>
      </c>
    </row>
    <row r="1630" spans="3:40" ht="12.75" x14ac:dyDescent="0.2">
      <c r="C1630" s="580"/>
      <c r="D1630" s="577"/>
      <c r="E1630" s="404" t="s">
        <v>19</v>
      </c>
      <c r="F1630" s="396"/>
      <c r="G1630" s="396"/>
      <c r="H1630" s="396"/>
      <c r="I1630" s="396"/>
      <c r="J1630" s="396"/>
      <c r="K1630" s="396"/>
      <c r="L1630" s="396"/>
      <c r="M1630" s="396"/>
      <c r="N1630" s="396"/>
      <c r="O1630" s="396"/>
      <c r="P1630" s="396"/>
      <c r="Q1630" s="404"/>
      <c r="R1630" s="404"/>
      <c r="S1630" s="404"/>
      <c r="T1630" s="404"/>
      <c r="U1630" s="404"/>
      <c r="V1630" s="404"/>
      <c r="W1630" s="404">
        <v>1.1299999999999999</v>
      </c>
      <c r="X1630" s="404">
        <v>2.2799999999999998</v>
      </c>
      <c r="Y1630" s="396"/>
      <c r="Z1630" s="396"/>
      <c r="AA1630" s="404">
        <v>1.17</v>
      </c>
      <c r="AB1630" s="404">
        <v>2.2599999999999998</v>
      </c>
      <c r="AC1630" s="404">
        <v>1.07</v>
      </c>
      <c r="AD1630" s="404">
        <v>2.92</v>
      </c>
      <c r="AE1630" s="404"/>
      <c r="AF1630" s="396"/>
      <c r="AG1630" s="396"/>
      <c r="AH1630" s="396"/>
      <c r="AI1630" s="396"/>
      <c r="AJ1630" s="396"/>
      <c r="AK1630" s="405">
        <f t="shared" si="264"/>
        <v>10.83</v>
      </c>
      <c r="AL1630" s="406"/>
      <c r="AM1630" s="407">
        <f>AK1630</f>
        <v>10.83</v>
      </c>
      <c r="AN1630" s="583"/>
    </row>
    <row r="1631" spans="3:40" ht="12.75" x14ac:dyDescent="0.2">
      <c r="C1631" s="580"/>
      <c r="D1631" s="643" t="s">
        <v>49</v>
      </c>
      <c r="E1631" s="393" t="s">
        <v>18</v>
      </c>
      <c r="F1631" s="394"/>
      <c r="G1631" s="394"/>
      <c r="H1631" s="394"/>
      <c r="I1631" s="394"/>
      <c r="J1631" s="394"/>
      <c r="K1631" s="394"/>
      <c r="L1631" s="394"/>
      <c r="M1631" s="394"/>
      <c r="N1631" s="394"/>
      <c r="O1631" s="394"/>
      <c r="P1631" s="394"/>
      <c r="Q1631" s="393"/>
      <c r="R1631" s="394"/>
      <c r="S1631" s="394"/>
      <c r="T1631" s="394"/>
      <c r="U1631" s="394"/>
      <c r="V1631" s="394"/>
      <c r="W1631" s="394"/>
      <c r="X1631" s="394"/>
      <c r="Y1631" s="394"/>
      <c r="Z1631" s="394"/>
      <c r="AA1631" s="394"/>
      <c r="AB1631" s="394"/>
      <c r="AC1631" s="394"/>
      <c r="AD1631" s="394"/>
      <c r="AE1631" s="393">
        <v>3</v>
      </c>
      <c r="AF1631" s="393">
        <v>6</v>
      </c>
      <c r="AG1631" s="393">
        <v>6</v>
      </c>
      <c r="AH1631" s="393">
        <v>3</v>
      </c>
      <c r="AI1631" s="394"/>
      <c r="AJ1631" s="394"/>
      <c r="AK1631" s="395">
        <f>SUM(F1631:AJ1631)</f>
        <v>18</v>
      </c>
      <c r="AL1631" s="408">
        <f>AK1631</f>
        <v>18</v>
      </c>
      <c r="AM1631" s="409"/>
      <c r="AN1631" s="633">
        <f>SUM(AL1631:AM1632)</f>
        <v>63.29</v>
      </c>
    </row>
    <row r="1632" spans="3:40" ht="12.75" x14ac:dyDescent="0.2">
      <c r="C1632" s="580"/>
      <c r="D1632" s="577"/>
      <c r="E1632" s="404" t="s">
        <v>19</v>
      </c>
      <c r="F1632" s="396"/>
      <c r="G1632" s="396"/>
      <c r="H1632" s="396"/>
      <c r="I1632" s="396"/>
      <c r="J1632" s="396"/>
      <c r="K1632" s="396"/>
      <c r="L1632" s="396"/>
      <c r="M1632" s="396"/>
      <c r="N1632" s="396"/>
      <c r="O1632" s="396"/>
      <c r="P1632" s="396"/>
      <c r="Q1632" s="404"/>
      <c r="R1632" s="404">
        <v>3</v>
      </c>
      <c r="S1632" s="404">
        <v>3</v>
      </c>
      <c r="T1632" s="404">
        <v>10</v>
      </c>
      <c r="U1632" s="404">
        <v>6</v>
      </c>
      <c r="V1632" s="404">
        <v>6</v>
      </c>
      <c r="W1632" s="404">
        <v>3</v>
      </c>
      <c r="X1632" s="404">
        <v>6</v>
      </c>
      <c r="Y1632" s="404">
        <v>6</v>
      </c>
      <c r="Z1632" s="404">
        <v>2.29</v>
      </c>
      <c r="AA1632" s="396"/>
      <c r="AB1632" s="396"/>
      <c r="AC1632" s="396"/>
      <c r="AD1632" s="396"/>
      <c r="AE1632" s="404"/>
      <c r="AF1632" s="396"/>
      <c r="AG1632" s="396"/>
      <c r="AH1632" s="396"/>
      <c r="AI1632" s="396"/>
      <c r="AJ1632" s="396"/>
      <c r="AK1632" s="405">
        <f>SUM(F1632:AI1632)</f>
        <v>45.29</v>
      </c>
      <c r="AL1632" s="406"/>
      <c r="AM1632" s="407">
        <f>AK1632</f>
        <v>45.29</v>
      </c>
      <c r="AN1632" s="583"/>
    </row>
    <row r="1633" spans="3:40" ht="12.75" x14ac:dyDescent="0.2">
      <c r="C1633" s="580"/>
      <c r="D1633" s="643" t="s">
        <v>50</v>
      </c>
      <c r="E1633" s="393" t="s">
        <v>18</v>
      </c>
      <c r="F1633" s="394"/>
      <c r="G1633" s="394"/>
      <c r="H1633" s="394"/>
      <c r="I1633" s="394"/>
      <c r="J1633" s="394"/>
      <c r="K1633" s="394"/>
      <c r="L1633" s="394"/>
      <c r="M1633" s="394"/>
      <c r="N1633" s="394"/>
      <c r="O1633" s="394"/>
      <c r="P1633" s="394"/>
      <c r="Q1633" s="394"/>
      <c r="R1633" s="394"/>
      <c r="S1633" s="394"/>
      <c r="T1633" s="394"/>
      <c r="U1633" s="394"/>
      <c r="V1633" s="394"/>
      <c r="W1633" s="394"/>
      <c r="X1633" s="394"/>
      <c r="Y1633" s="394"/>
      <c r="Z1633" s="394"/>
      <c r="AA1633" s="394"/>
      <c r="AB1633" s="394"/>
      <c r="AC1633" s="394"/>
      <c r="AD1633" s="394"/>
      <c r="AE1633" s="393">
        <v>5.3</v>
      </c>
      <c r="AF1633" s="393">
        <v>5.3</v>
      </c>
      <c r="AG1633" s="393">
        <v>5.3</v>
      </c>
      <c r="AH1633" s="393">
        <v>5.3</v>
      </c>
      <c r="AI1633" s="393">
        <v>5.3</v>
      </c>
      <c r="AJ1633" s="394"/>
      <c r="AK1633" s="395">
        <f>SUM(F1633:AJ1633)</f>
        <v>26.5</v>
      </c>
      <c r="AL1633" s="408">
        <f>AK1633</f>
        <v>26.5</v>
      </c>
      <c r="AM1633" s="409"/>
      <c r="AN1633" s="633">
        <f>SUM(AL1633:AM1634)</f>
        <v>79.5</v>
      </c>
    </row>
    <row r="1634" spans="3:40" ht="12.75" x14ac:dyDescent="0.2">
      <c r="C1634" s="580"/>
      <c r="D1634" s="577"/>
      <c r="E1634" s="404" t="s">
        <v>19</v>
      </c>
      <c r="F1634" s="396"/>
      <c r="G1634" s="396"/>
      <c r="H1634" s="396"/>
      <c r="I1634" s="396"/>
      <c r="J1634" s="396"/>
      <c r="K1634" s="396"/>
      <c r="L1634" s="396"/>
      <c r="M1634" s="396"/>
      <c r="N1634" s="396"/>
      <c r="O1634" s="396"/>
      <c r="P1634" s="396"/>
      <c r="Q1634" s="404"/>
      <c r="R1634" s="404">
        <v>5.3</v>
      </c>
      <c r="S1634" s="404">
        <v>5.3</v>
      </c>
      <c r="T1634" s="396"/>
      <c r="U1634" s="404">
        <v>5.3</v>
      </c>
      <c r="V1634" s="404">
        <v>5.3</v>
      </c>
      <c r="W1634" s="396"/>
      <c r="X1634" s="404">
        <v>5.3</v>
      </c>
      <c r="Y1634" s="404">
        <v>5.3</v>
      </c>
      <c r="Z1634" s="404">
        <v>5.3</v>
      </c>
      <c r="AA1634" s="404">
        <v>5.3</v>
      </c>
      <c r="AB1634" s="404">
        <v>5.3</v>
      </c>
      <c r="AC1634" s="404">
        <v>5.3</v>
      </c>
      <c r="AD1634" s="396"/>
      <c r="AE1634" s="396"/>
      <c r="AF1634" s="396"/>
      <c r="AG1634" s="396"/>
      <c r="AH1634" s="396"/>
      <c r="AI1634" s="396"/>
      <c r="AJ1634" s="396"/>
      <c r="AK1634" s="405">
        <f t="shared" ref="AK1634:AK1636" si="265">SUM(F1634:AI1634)</f>
        <v>52.999999999999993</v>
      </c>
      <c r="AL1634" s="406"/>
      <c r="AM1634" s="407">
        <f>AK1634</f>
        <v>52.999999999999993</v>
      </c>
      <c r="AN1634" s="583"/>
    </row>
    <row r="1635" spans="3:40" ht="12.75" x14ac:dyDescent="0.2">
      <c r="C1635" s="580"/>
      <c r="D1635" s="643" t="s">
        <v>1</v>
      </c>
      <c r="E1635" s="393" t="s">
        <v>18</v>
      </c>
      <c r="F1635" s="394"/>
      <c r="G1635" s="394"/>
      <c r="H1635" s="394"/>
      <c r="I1635" s="394"/>
      <c r="J1635" s="394"/>
      <c r="K1635" s="394"/>
      <c r="L1635" s="394"/>
      <c r="M1635" s="394"/>
      <c r="N1635" s="394"/>
      <c r="O1635" s="394"/>
      <c r="P1635" s="394"/>
      <c r="Q1635" s="393"/>
      <c r="R1635" s="393"/>
      <c r="S1635" s="393"/>
      <c r="T1635" s="394"/>
      <c r="U1635" s="393"/>
      <c r="V1635" s="393"/>
      <c r="W1635" s="394"/>
      <c r="X1635" s="393"/>
      <c r="Y1635" s="393"/>
      <c r="Z1635" s="393"/>
      <c r="AA1635" s="393"/>
      <c r="AB1635" s="393"/>
      <c r="AC1635" s="393"/>
      <c r="AD1635" s="394"/>
      <c r="AE1635" s="394"/>
      <c r="AF1635" s="394"/>
      <c r="AG1635" s="394"/>
      <c r="AH1635" s="394"/>
      <c r="AI1635" s="393">
        <v>12.09</v>
      </c>
      <c r="AJ1635" s="394"/>
      <c r="AK1635" s="395">
        <f t="shared" si="265"/>
        <v>12.09</v>
      </c>
      <c r="AL1635" s="403">
        <f>AK1635</f>
        <v>12.09</v>
      </c>
      <c r="AM1635" s="396"/>
      <c r="AN1635" s="633">
        <f>SUM(AL1635:AM1636)</f>
        <v>12.09</v>
      </c>
    </row>
    <row r="1636" spans="3:40" ht="12.75" x14ac:dyDescent="0.2">
      <c r="C1636" s="580"/>
      <c r="D1636" s="577"/>
      <c r="E1636" s="404" t="s">
        <v>19</v>
      </c>
      <c r="F1636" s="396"/>
      <c r="G1636" s="396"/>
      <c r="H1636" s="396"/>
      <c r="I1636" s="396"/>
      <c r="J1636" s="396"/>
      <c r="K1636" s="396"/>
      <c r="L1636" s="396"/>
      <c r="M1636" s="396"/>
      <c r="N1636" s="396"/>
      <c r="O1636" s="396"/>
      <c r="P1636" s="396"/>
      <c r="Q1636" s="404"/>
      <c r="R1636" s="404"/>
      <c r="S1636" s="404"/>
      <c r="T1636" s="396"/>
      <c r="U1636" s="404"/>
      <c r="V1636" s="404"/>
      <c r="W1636" s="396"/>
      <c r="X1636" s="404"/>
      <c r="Y1636" s="404"/>
      <c r="Z1636" s="404"/>
      <c r="AA1636" s="404"/>
      <c r="AB1636" s="404"/>
      <c r="AC1636" s="404"/>
      <c r="AD1636" s="396"/>
      <c r="AE1636" s="396"/>
      <c r="AF1636" s="396"/>
      <c r="AG1636" s="396"/>
      <c r="AH1636" s="396"/>
      <c r="AI1636" s="396"/>
      <c r="AJ1636" s="396"/>
      <c r="AK1636" s="405">
        <f t="shared" si="265"/>
        <v>0</v>
      </c>
      <c r="AL1636" s="403"/>
      <c r="AM1636" s="396">
        <f>AK1636</f>
        <v>0</v>
      </c>
      <c r="AN1636" s="583"/>
    </row>
    <row r="1637" spans="3:40" ht="12.75" x14ac:dyDescent="0.2">
      <c r="C1637" s="580"/>
      <c r="D1637" s="643" t="s">
        <v>97</v>
      </c>
      <c r="E1637" s="393" t="s">
        <v>18</v>
      </c>
      <c r="F1637" s="394"/>
      <c r="G1637" s="394"/>
      <c r="H1637" s="394"/>
      <c r="I1637" s="394"/>
      <c r="J1637" s="394"/>
      <c r="K1637" s="394"/>
      <c r="L1637" s="394"/>
      <c r="M1637" s="394"/>
      <c r="N1637" s="394"/>
      <c r="O1637" s="394"/>
      <c r="P1637" s="394"/>
      <c r="Q1637" s="394"/>
      <c r="R1637" s="394"/>
      <c r="S1637" s="394"/>
      <c r="T1637" s="394"/>
      <c r="U1637" s="394"/>
      <c r="V1637" s="394"/>
      <c r="W1637" s="394"/>
      <c r="X1637" s="394"/>
      <c r="Y1637" s="394"/>
      <c r="Z1637" s="394"/>
      <c r="AA1637" s="394"/>
      <c r="AB1637" s="394"/>
      <c r="AC1637" s="394"/>
      <c r="AD1637" s="394"/>
      <c r="AE1637" s="394"/>
      <c r="AF1637" s="394"/>
      <c r="AG1637" s="394"/>
      <c r="AH1637" s="394"/>
      <c r="AI1637" s="394"/>
      <c r="AJ1637" s="394"/>
      <c r="AK1637" s="395">
        <f>SUM(F1637:AJ1637)</f>
        <v>0</v>
      </c>
      <c r="AL1637" s="408">
        <f>AK1637</f>
        <v>0</v>
      </c>
      <c r="AM1637" s="409"/>
      <c r="AN1637" s="634">
        <f>SUM(AL1637:AM1638)</f>
        <v>0</v>
      </c>
    </row>
    <row r="1638" spans="3:40" ht="12.75" x14ac:dyDescent="0.2">
      <c r="C1638" s="580"/>
      <c r="D1638" s="577"/>
      <c r="E1638" s="404" t="s">
        <v>19</v>
      </c>
      <c r="F1638" s="396"/>
      <c r="G1638" s="396"/>
      <c r="H1638" s="396"/>
      <c r="I1638" s="396"/>
      <c r="J1638" s="396"/>
      <c r="K1638" s="396"/>
      <c r="L1638" s="396"/>
      <c r="M1638" s="396"/>
      <c r="N1638" s="396"/>
      <c r="O1638" s="396"/>
      <c r="P1638" s="396"/>
      <c r="Q1638" s="396"/>
      <c r="R1638" s="396"/>
      <c r="S1638" s="396"/>
      <c r="T1638" s="396"/>
      <c r="U1638" s="396"/>
      <c r="V1638" s="396"/>
      <c r="W1638" s="396"/>
      <c r="X1638" s="396"/>
      <c r="Y1638" s="396"/>
      <c r="Z1638" s="396"/>
      <c r="AA1638" s="396"/>
      <c r="AB1638" s="396"/>
      <c r="AC1638" s="396"/>
      <c r="AD1638" s="396"/>
      <c r="AE1638" s="396"/>
      <c r="AF1638" s="396"/>
      <c r="AG1638" s="396"/>
      <c r="AH1638" s="396"/>
      <c r="AI1638" s="396"/>
      <c r="AJ1638" s="396"/>
      <c r="AK1638" s="405">
        <f>SUM(F1638:AI1638)</f>
        <v>0</v>
      </c>
      <c r="AL1638" s="406"/>
      <c r="AM1638" s="407">
        <f>AK1638</f>
        <v>0</v>
      </c>
      <c r="AN1638" s="583"/>
    </row>
    <row r="1639" spans="3:40" ht="12.75" x14ac:dyDescent="0.2">
      <c r="C1639" s="580"/>
      <c r="D1639" s="643" t="s">
        <v>52</v>
      </c>
      <c r="E1639" s="393" t="s">
        <v>18</v>
      </c>
      <c r="F1639" s="394"/>
      <c r="G1639" s="394"/>
      <c r="H1639" s="394"/>
      <c r="I1639" s="394"/>
      <c r="J1639" s="394"/>
      <c r="K1639" s="394"/>
      <c r="L1639" s="394"/>
      <c r="M1639" s="394"/>
      <c r="N1639" s="394"/>
      <c r="O1639" s="394"/>
      <c r="P1639" s="394"/>
      <c r="Q1639" s="394"/>
      <c r="R1639" s="394"/>
      <c r="S1639" s="394"/>
      <c r="T1639" s="394"/>
      <c r="U1639" s="394"/>
      <c r="V1639" s="394"/>
      <c r="W1639" s="394"/>
      <c r="X1639" s="394"/>
      <c r="Y1639" s="393"/>
      <c r="Z1639" s="393"/>
      <c r="AA1639" s="394"/>
      <c r="AB1639" s="394"/>
      <c r="AC1639" s="394"/>
      <c r="AD1639" s="394"/>
      <c r="AE1639" s="394"/>
      <c r="AF1639" s="394"/>
      <c r="AG1639" s="394"/>
      <c r="AH1639" s="394"/>
      <c r="AI1639" s="394"/>
      <c r="AJ1639" s="414"/>
      <c r="AK1639" s="414">
        <f t="shared" ref="AK1639:AK1642" si="266">SUM(F1639:AJ1639)</f>
        <v>0</v>
      </c>
      <c r="AL1639" s="408">
        <f>AK1639</f>
        <v>0</v>
      </c>
      <c r="AM1639" s="409"/>
      <c r="AN1639" s="633">
        <f>SUM(AL1639:AM1640)</f>
        <v>11.49</v>
      </c>
    </row>
    <row r="1640" spans="3:40" ht="12.75" x14ac:dyDescent="0.2">
      <c r="C1640" s="581"/>
      <c r="D1640" s="585"/>
      <c r="E1640" s="404" t="s">
        <v>19</v>
      </c>
      <c r="F1640" s="396"/>
      <c r="G1640" s="396"/>
      <c r="H1640" s="396"/>
      <c r="I1640" s="396"/>
      <c r="J1640" s="396"/>
      <c r="K1640" s="396"/>
      <c r="L1640" s="396"/>
      <c r="M1640" s="396"/>
      <c r="N1640" s="396"/>
      <c r="O1640" s="396"/>
      <c r="P1640" s="396"/>
      <c r="Q1640" s="396"/>
      <c r="R1640" s="396"/>
      <c r="S1640" s="396"/>
      <c r="T1640" s="396"/>
      <c r="U1640" s="396"/>
      <c r="V1640" s="396"/>
      <c r="W1640" s="396"/>
      <c r="X1640" s="396"/>
      <c r="Y1640" s="404"/>
      <c r="Z1640" s="404">
        <v>11.49</v>
      </c>
      <c r="AA1640" s="396"/>
      <c r="AB1640" s="396"/>
      <c r="AC1640" s="396"/>
      <c r="AD1640" s="396"/>
      <c r="AE1640" s="396"/>
      <c r="AF1640" s="396"/>
      <c r="AG1640" s="396"/>
      <c r="AH1640" s="396"/>
      <c r="AI1640" s="396"/>
      <c r="AJ1640" s="415"/>
      <c r="AK1640" s="415">
        <f t="shared" si="266"/>
        <v>11.49</v>
      </c>
      <c r="AL1640" s="406"/>
      <c r="AM1640" s="407">
        <f>AK1640</f>
        <v>11.49</v>
      </c>
      <c r="AN1640" s="583"/>
    </row>
    <row r="1641" spans="3:40" ht="12.75" x14ac:dyDescent="0.2">
      <c r="C1641" s="629" t="s">
        <v>53</v>
      </c>
      <c r="D1641" s="416" t="s">
        <v>54</v>
      </c>
      <c r="E1641" s="411" t="s">
        <v>18</v>
      </c>
      <c r="F1641" s="412"/>
      <c r="G1641" s="412"/>
      <c r="H1641" s="412"/>
      <c r="I1641" s="412"/>
      <c r="J1641" s="412"/>
      <c r="K1641" s="412"/>
      <c r="L1641" s="412"/>
      <c r="M1641" s="412"/>
      <c r="N1641" s="412"/>
      <c r="O1641" s="412"/>
      <c r="P1641" s="412"/>
      <c r="Q1641" s="412"/>
      <c r="R1641" s="412"/>
      <c r="S1641" s="412"/>
      <c r="T1641" s="412"/>
      <c r="U1641" s="412"/>
      <c r="V1641" s="412"/>
      <c r="W1641" s="412"/>
      <c r="X1641" s="412"/>
      <c r="Y1641" s="412"/>
      <c r="Z1641" s="412"/>
      <c r="AA1641" s="412"/>
      <c r="AB1641" s="412"/>
      <c r="AC1641" s="412"/>
      <c r="AD1641" s="412"/>
      <c r="AE1641" s="412"/>
      <c r="AF1641" s="412"/>
      <c r="AG1641" s="412"/>
      <c r="AH1641" s="412"/>
      <c r="AI1641" s="412"/>
      <c r="AJ1641" s="417"/>
      <c r="AK1641" s="395">
        <f t="shared" si="266"/>
        <v>0</v>
      </c>
      <c r="AL1641" s="394">
        <f t="shared" ref="AL1641:AL1642" si="267">AK1641</f>
        <v>0</v>
      </c>
      <c r="AM1641" s="396"/>
      <c r="AN1641" s="374">
        <f>AL1641</f>
        <v>0</v>
      </c>
    </row>
    <row r="1642" spans="3:40" ht="12.75" x14ac:dyDescent="0.2">
      <c r="C1642" s="580"/>
      <c r="D1642" s="643" t="s">
        <v>56</v>
      </c>
      <c r="E1642" s="393" t="s">
        <v>18</v>
      </c>
      <c r="F1642" s="394"/>
      <c r="G1642" s="394"/>
      <c r="H1642" s="394"/>
      <c r="I1642" s="394"/>
      <c r="J1642" s="394"/>
      <c r="K1642" s="394"/>
      <c r="L1642" s="394"/>
      <c r="M1642" s="394"/>
      <c r="N1642" s="394"/>
      <c r="O1642" s="394"/>
      <c r="P1642" s="394"/>
      <c r="Q1642" s="394"/>
      <c r="R1642" s="394"/>
      <c r="S1642" s="394"/>
      <c r="T1642" s="394"/>
      <c r="U1642" s="394"/>
      <c r="V1642" s="394"/>
      <c r="W1642" s="394"/>
      <c r="X1642" s="394"/>
      <c r="Y1642" s="394"/>
      <c r="Z1642" s="394"/>
      <c r="AA1642" s="394"/>
      <c r="AB1642" s="394"/>
      <c r="AC1642" s="394"/>
      <c r="AD1642" s="394"/>
      <c r="AE1642" s="394"/>
      <c r="AF1642" s="394"/>
      <c r="AG1642" s="394"/>
      <c r="AH1642" s="394"/>
      <c r="AI1642" s="394"/>
      <c r="AJ1642" s="414"/>
      <c r="AK1642" s="395">
        <f t="shared" si="266"/>
        <v>0</v>
      </c>
      <c r="AL1642" s="408">
        <f t="shared" si="267"/>
        <v>0</v>
      </c>
      <c r="AM1642" s="409"/>
      <c r="AN1642" s="633">
        <f>SUM(AL1642:AM1643)</f>
        <v>0</v>
      </c>
    </row>
    <row r="1643" spans="3:40" ht="12.75" x14ac:dyDescent="0.2">
      <c r="C1643" s="580"/>
      <c r="D1643" s="577"/>
      <c r="E1643" s="404" t="s">
        <v>19</v>
      </c>
      <c r="F1643" s="396"/>
      <c r="G1643" s="396"/>
      <c r="H1643" s="396"/>
      <c r="I1643" s="396"/>
      <c r="J1643" s="396"/>
      <c r="K1643" s="396"/>
      <c r="L1643" s="396"/>
      <c r="M1643" s="396"/>
      <c r="N1643" s="396"/>
      <c r="O1643" s="396"/>
      <c r="P1643" s="396"/>
      <c r="Q1643" s="396"/>
      <c r="R1643" s="396"/>
      <c r="S1643" s="396"/>
      <c r="T1643" s="396"/>
      <c r="U1643" s="396"/>
      <c r="V1643" s="396"/>
      <c r="W1643" s="396"/>
      <c r="X1643" s="396"/>
      <c r="Y1643" s="396"/>
      <c r="Z1643" s="396"/>
      <c r="AA1643" s="396"/>
      <c r="AB1643" s="396"/>
      <c r="AC1643" s="396"/>
      <c r="AD1643" s="396"/>
      <c r="AE1643" s="396"/>
      <c r="AF1643" s="396"/>
      <c r="AG1643" s="396"/>
      <c r="AH1643" s="396"/>
      <c r="AI1643" s="396"/>
      <c r="AJ1643" s="415"/>
      <c r="AK1643" s="405">
        <f>SUM(F1643:AI1643)</f>
        <v>0</v>
      </c>
      <c r="AL1643" s="406"/>
      <c r="AM1643" s="407">
        <f>AK1643</f>
        <v>0</v>
      </c>
      <c r="AN1643" s="583"/>
    </row>
    <row r="1644" spans="3:40" ht="12.75" x14ac:dyDescent="0.2">
      <c r="C1644" s="580"/>
      <c r="D1644" s="643" t="s">
        <v>57</v>
      </c>
      <c r="E1644" s="393" t="s">
        <v>18</v>
      </c>
      <c r="F1644" s="394"/>
      <c r="G1644" s="394"/>
      <c r="H1644" s="394"/>
      <c r="I1644" s="394"/>
      <c r="J1644" s="394"/>
      <c r="K1644" s="394"/>
      <c r="L1644" s="394"/>
      <c r="M1644" s="394"/>
      <c r="N1644" s="394"/>
      <c r="O1644" s="394"/>
      <c r="P1644" s="394"/>
      <c r="Q1644" s="394"/>
      <c r="R1644" s="394"/>
      <c r="S1644" s="394"/>
      <c r="T1644" s="393"/>
      <c r="U1644" s="394"/>
      <c r="V1644" s="394"/>
      <c r="W1644" s="394"/>
      <c r="X1644" s="394"/>
      <c r="Y1644" s="394"/>
      <c r="Z1644" s="394"/>
      <c r="AA1644" s="394"/>
      <c r="AB1644" s="394"/>
      <c r="AC1644" s="394"/>
      <c r="AD1644" s="394"/>
      <c r="AE1644" s="394"/>
      <c r="AF1644" s="394"/>
      <c r="AG1644" s="394"/>
      <c r="AH1644" s="394"/>
      <c r="AI1644" s="394"/>
      <c r="AJ1644" s="414"/>
      <c r="AK1644" s="395">
        <f>SUM(F1644:AJ1644)</f>
        <v>0</v>
      </c>
      <c r="AL1644" s="408">
        <f>AK1644</f>
        <v>0</v>
      </c>
      <c r="AM1644" s="409"/>
      <c r="AN1644" s="633">
        <f>SUM(AL1644:AM1645)</f>
        <v>13</v>
      </c>
    </row>
    <row r="1645" spans="3:40" ht="12.75" x14ac:dyDescent="0.2">
      <c r="C1645" s="581"/>
      <c r="D1645" s="585"/>
      <c r="E1645" s="410" t="s">
        <v>19</v>
      </c>
      <c r="F1645" s="407"/>
      <c r="G1645" s="407"/>
      <c r="H1645" s="407"/>
      <c r="I1645" s="407"/>
      <c r="J1645" s="407"/>
      <c r="K1645" s="407"/>
      <c r="L1645" s="407"/>
      <c r="M1645" s="407"/>
      <c r="N1645" s="407"/>
      <c r="O1645" s="407"/>
      <c r="P1645" s="407"/>
      <c r="Q1645" s="407"/>
      <c r="R1645" s="407"/>
      <c r="S1645" s="407"/>
      <c r="T1645" s="410">
        <v>13</v>
      </c>
      <c r="U1645" s="407"/>
      <c r="V1645" s="407"/>
      <c r="W1645" s="407"/>
      <c r="X1645" s="407"/>
      <c r="Y1645" s="407"/>
      <c r="Z1645" s="407"/>
      <c r="AA1645" s="407"/>
      <c r="AB1645" s="407"/>
      <c r="AC1645" s="407"/>
      <c r="AD1645" s="407"/>
      <c r="AE1645" s="407"/>
      <c r="AF1645" s="407"/>
      <c r="AG1645" s="407"/>
      <c r="AH1645" s="407"/>
      <c r="AI1645" s="407"/>
      <c r="AJ1645" s="418"/>
      <c r="AK1645" s="405">
        <f>SUM(F1645:AI1645)</f>
        <v>13</v>
      </c>
      <c r="AL1645" s="406"/>
      <c r="AM1645" s="407">
        <f>AK1645</f>
        <v>13</v>
      </c>
      <c r="AN1645" s="583"/>
    </row>
    <row r="1646" spans="3:40" ht="12.75" x14ac:dyDescent="0.2">
      <c r="C1646" s="629" t="s">
        <v>58</v>
      </c>
      <c r="D1646" s="644" t="s">
        <v>59</v>
      </c>
      <c r="E1646" s="411" t="s">
        <v>18</v>
      </c>
      <c r="F1646" s="412"/>
      <c r="G1646" s="412"/>
      <c r="H1646" s="412"/>
      <c r="I1646" s="412"/>
      <c r="J1646" s="412"/>
      <c r="K1646" s="412"/>
      <c r="L1646" s="412"/>
      <c r="M1646" s="412"/>
      <c r="N1646" s="412"/>
      <c r="O1646" s="412"/>
      <c r="P1646" s="412"/>
      <c r="Q1646" s="412"/>
      <c r="R1646" s="412"/>
      <c r="S1646" s="412"/>
      <c r="T1646" s="412"/>
      <c r="U1646" s="412"/>
      <c r="V1646" s="412"/>
      <c r="W1646" s="412"/>
      <c r="X1646" s="412"/>
      <c r="Y1646" s="412"/>
      <c r="Z1646" s="412"/>
      <c r="AA1646" s="412"/>
      <c r="AB1646" s="412"/>
      <c r="AC1646" s="412"/>
      <c r="AD1646" s="412"/>
      <c r="AE1646" s="412"/>
      <c r="AF1646" s="412"/>
      <c r="AG1646" s="412"/>
      <c r="AH1646" s="412"/>
      <c r="AI1646" s="412"/>
      <c r="AJ1646" s="417"/>
      <c r="AK1646" s="395">
        <f>SUM(F1646:AJ1646)</f>
        <v>0</v>
      </c>
      <c r="AL1646" s="408">
        <f>AK1646</f>
        <v>0</v>
      </c>
      <c r="AM1646" s="409"/>
      <c r="AN1646" s="633">
        <f>SUM(AL1646:AM1647)</f>
        <v>0</v>
      </c>
    </row>
    <row r="1647" spans="3:40" ht="12.75" x14ac:dyDescent="0.2">
      <c r="C1647" s="580"/>
      <c r="D1647" s="577"/>
      <c r="E1647" s="404" t="s">
        <v>19</v>
      </c>
      <c r="F1647" s="396"/>
      <c r="G1647" s="396"/>
      <c r="H1647" s="396"/>
      <c r="I1647" s="396"/>
      <c r="J1647" s="396"/>
      <c r="K1647" s="396"/>
      <c r="L1647" s="396"/>
      <c r="M1647" s="396"/>
      <c r="N1647" s="396"/>
      <c r="O1647" s="396"/>
      <c r="P1647" s="396"/>
      <c r="Q1647" s="396"/>
      <c r="R1647" s="396"/>
      <c r="S1647" s="396"/>
      <c r="T1647" s="396"/>
      <c r="U1647" s="396"/>
      <c r="V1647" s="396"/>
      <c r="W1647" s="396"/>
      <c r="X1647" s="396"/>
      <c r="Y1647" s="396"/>
      <c r="Z1647" s="396"/>
      <c r="AA1647" s="396"/>
      <c r="AB1647" s="396"/>
      <c r="AC1647" s="396"/>
      <c r="AD1647" s="396"/>
      <c r="AE1647" s="396"/>
      <c r="AF1647" s="396"/>
      <c r="AG1647" s="396"/>
      <c r="AH1647" s="396"/>
      <c r="AI1647" s="396"/>
      <c r="AJ1647" s="415"/>
      <c r="AK1647" s="405">
        <f>SUM(F1647:AI1647)</f>
        <v>0</v>
      </c>
      <c r="AL1647" s="406"/>
      <c r="AM1647" s="407">
        <f>AK1647</f>
        <v>0</v>
      </c>
      <c r="AN1647" s="583"/>
    </row>
    <row r="1648" spans="3:40" ht="12.75" x14ac:dyDescent="0.2">
      <c r="C1648" s="580"/>
      <c r="D1648" s="643" t="s">
        <v>61</v>
      </c>
      <c r="E1648" s="393" t="s">
        <v>18</v>
      </c>
      <c r="F1648" s="394"/>
      <c r="G1648" s="394"/>
      <c r="H1648" s="394"/>
      <c r="I1648" s="394"/>
      <c r="J1648" s="394"/>
      <c r="K1648" s="394"/>
      <c r="L1648" s="394"/>
      <c r="M1648" s="394"/>
      <c r="N1648" s="394"/>
      <c r="O1648" s="394"/>
      <c r="P1648" s="394"/>
      <c r="Q1648" s="394"/>
      <c r="R1648" s="394"/>
      <c r="S1648" s="394"/>
      <c r="T1648" s="394"/>
      <c r="U1648" s="394"/>
      <c r="V1648" s="394"/>
      <c r="W1648" s="394"/>
      <c r="X1648" s="394"/>
      <c r="Y1648" s="394"/>
      <c r="Z1648" s="394"/>
      <c r="AA1648" s="394"/>
      <c r="AB1648" s="394"/>
      <c r="AC1648" s="394"/>
      <c r="AD1648" s="394"/>
      <c r="AE1648" s="394"/>
      <c r="AF1648" s="394"/>
      <c r="AG1648" s="394"/>
      <c r="AH1648" s="394"/>
      <c r="AI1648" s="394"/>
      <c r="AJ1648" s="414"/>
      <c r="AK1648" s="395">
        <f>SUM(F1648:AJ1648)</f>
        <v>0</v>
      </c>
      <c r="AL1648" s="408">
        <f>AK1648</f>
        <v>0</v>
      </c>
      <c r="AM1648" s="409"/>
      <c r="AN1648" s="633">
        <f>SUM(AL1648:AM1649)</f>
        <v>5</v>
      </c>
    </row>
    <row r="1649" spans="3:40" ht="12.75" x14ac:dyDescent="0.2">
      <c r="C1649" s="581"/>
      <c r="D1649" s="585"/>
      <c r="E1649" s="410" t="s">
        <v>19</v>
      </c>
      <c r="F1649" s="407"/>
      <c r="G1649" s="407"/>
      <c r="H1649" s="407"/>
      <c r="I1649" s="407"/>
      <c r="J1649" s="407"/>
      <c r="K1649" s="407"/>
      <c r="L1649" s="407"/>
      <c r="M1649" s="407"/>
      <c r="N1649" s="407"/>
      <c r="O1649" s="407"/>
      <c r="P1649" s="407"/>
      <c r="Q1649" s="407"/>
      <c r="R1649" s="407"/>
      <c r="S1649" s="407"/>
      <c r="T1649" s="407"/>
      <c r="U1649" s="407"/>
      <c r="V1649" s="407"/>
      <c r="W1649" s="407"/>
      <c r="X1649" s="407"/>
      <c r="Y1649" s="410">
        <v>5</v>
      </c>
      <c r="Z1649" s="407"/>
      <c r="AA1649" s="407"/>
      <c r="AB1649" s="407"/>
      <c r="AC1649" s="407"/>
      <c r="AD1649" s="407"/>
      <c r="AE1649" s="407"/>
      <c r="AF1649" s="407"/>
      <c r="AG1649" s="407"/>
      <c r="AH1649" s="407"/>
      <c r="AI1649" s="407"/>
      <c r="AJ1649" s="418"/>
      <c r="AK1649" s="419">
        <f>SUM(F1649:AI1649)</f>
        <v>5</v>
      </c>
      <c r="AL1649" s="406"/>
      <c r="AM1649" s="407">
        <f>AK1649</f>
        <v>5</v>
      </c>
      <c r="AN1649" s="583"/>
    </row>
    <row r="1650" spans="3:40" ht="12.75" x14ac:dyDescent="0.2">
      <c r="C1650" s="420" t="s">
        <v>32</v>
      </c>
      <c r="D1650" s="396"/>
      <c r="E1650" s="396"/>
      <c r="F1650" s="396">
        <f t="shared" ref="F1650:X1650" si="268">SUM(F1608:F1648)</f>
        <v>0</v>
      </c>
      <c r="G1650" s="396">
        <f t="shared" si="268"/>
        <v>0</v>
      </c>
      <c r="H1650" s="396">
        <f t="shared" si="268"/>
        <v>0</v>
      </c>
      <c r="I1650" s="396">
        <f t="shared" si="268"/>
        <v>0</v>
      </c>
      <c r="J1650" s="396">
        <f t="shared" si="268"/>
        <v>0</v>
      </c>
      <c r="K1650" s="396">
        <f t="shared" si="268"/>
        <v>0</v>
      </c>
      <c r="L1650" s="396">
        <f t="shared" si="268"/>
        <v>0</v>
      </c>
      <c r="M1650" s="396">
        <f t="shared" si="268"/>
        <v>0</v>
      </c>
      <c r="N1650" s="396">
        <f t="shared" si="268"/>
        <v>0</v>
      </c>
      <c r="O1650" s="396">
        <f t="shared" si="268"/>
        <v>0</v>
      </c>
      <c r="P1650" s="396">
        <f t="shared" si="268"/>
        <v>0</v>
      </c>
      <c r="Q1650" s="396">
        <f t="shared" si="268"/>
        <v>0</v>
      </c>
      <c r="R1650" s="396">
        <f t="shared" si="268"/>
        <v>22.09</v>
      </c>
      <c r="S1650" s="396">
        <f t="shared" si="268"/>
        <v>17.96</v>
      </c>
      <c r="T1650" s="396">
        <f t="shared" si="268"/>
        <v>45.489999999999995</v>
      </c>
      <c r="U1650" s="396">
        <f t="shared" si="268"/>
        <v>15.02</v>
      </c>
      <c r="V1650" s="396">
        <f t="shared" si="268"/>
        <v>37.909999999999997</v>
      </c>
      <c r="W1650" s="396">
        <f t="shared" si="268"/>
        <v>5.93</v>
      </c>
      <c r="X1650" s="396">
        <f t="shared" si="268"/>
        <v>34.119999999999997</v>
      </c>
      <c r="Y1650" s="396">
        <f>SUM(Y1608:Y1649)</f>
        <v>16.3</v>
      </c>
      <c r="Z1650" s="396">
        <f t="shared" ref="Z1650:AI1650" si="269">SUM(Z1608:Z1648)</f>
        <v>20.740000000000002</v>
      </c>
      <c r="AA1650" s="396">
        <f t="shared" si="269"/>
        <v>8.27</v>
      </c>
      <c r="AB1650" s="396">
        <f t="shared" si="269"/>
        <v>35.729999999999997</v>
      </c>
      <c r="AC1650" s="396">
        <f t="shared" si="269"/>
        <v>9.27</v>
      </c>
      <c r="AD1650" s="396">
        <f t="shared" si="269"/>
        <v>14.799999999999999</v>
      </c>
      <c r="AE1650" s="396">
        <f t="shared" si="269"/>
        <v>10.35</v>
      </c>
      <c r="AF1650" s="396">
        <f t="shared" si="269"/>
        <v>11.3</v>
      </c>
      <c r="AG1650" s="396">
        <f t="shared" si="269"/>
        <v>23.3</v>
      </c>
      <c r="AH1650" s="396">
        <f t="shared" si="269"/>
        <v>20.82</v>
      </c>
      <c r="AI1650" s="396">
        <f t="shared" si="269"/>
        <v>24.52</v>
      </c>
      <c r="AJ1650" s="396"/>
      <c r="AK1650" s="421">
        <f t="shared" ref="AK1650:AM1650" si="270">SUM(AK1608:AK1648)</f>
        <v>368.92</v>
      </c>
      <c r="AL1650" s="394">
        <f t="shared" si="270"/>
        <v>103.66</v>
      </c>
      <c r="AM1650" s="396">
        <f t="shared" si="270"/>
        <v>265.26</v>
      </c>
    </row>
  </sheetData>
  <mergeCells count="1463">
    <mergeCell ref="D977:D978"/>
    <mergeCell ref="D986:D987"/>
    <mergeCell ref="D989:D990"/>
    <mergeCell ref="D991:D992"/>
    <mergeCell ref="D993:D994"/>
    <mergeCell ref="D998:D999"/>
    <mergeCell ref="D1000:D1001"/>
    <mergeCell ref="D1004:D1005"/>
    <mergeCell ref="D1006:D1007"/>
    <mergeCell ref="D1010:D1011"/>
    <mergeCell ref="D1012:D1013"/>
    <mergeCell ref="D1014:D1015"/>
    <mergeCell ref="D1016:D1017"/>
    <mergeCell ref="D942:D943"/>
    <mergeCell ref="D944:D945"/>
    <mergeCell ref="D946:D947"/>
    <mergeCell ref="D948:D949"/>
    <mergeCell ref="D950:D951"/>
    <mergeCell ref="D952:D953"/>
    <mergeCell ref="D954:D955"/>
    <mergeCell ref="D956:D957"/>
    <mergeCell ref="D958:D959"/>
    <mergeCell ref="D961:D962"/>
    <mergeCell ref="D963:D964"/>
    <mergeCell ref="D965:D966"/>
    <mergeCell ref="D967:D968"/>
    <mergeCell ref="D969:D970"/>
    <mergeCell ref="D971:D972"/>
    <mergeCell ref="D973:D974"/>
    <mergeCell ref="D975:D976"/>
    <mergeCell ref="D893:D894"/>
    <mergeCell ref="D895:D896"/>
    <mergeCell ref="D897:D898"/>
    <mergeCell ref="D899:D900"/>
    <mergeCell ref="D901:D902"/>
    <mergeCell ref="D903:D904"/>
    <mergeCell ref="D905:D906"/>
    <mergeCell ref="D907:D908"/>
    <mergeCell ref="D909:D910"/>
    <mergeCell ref="D918:D919"/>
    <mergeCell ref="D921:D922"/>
    <mergeCell ref="D923:D924"/>
    <mergeCell ref="D925:D926"/>
    <mergeCell ref="D930:D931"/>
    <mergeCell ref="D932:D933"/>
    <mergeCell ref="D936:D937"/>
    <mergeCell ref="D938:D939"/>
    <mergeCell ref="D850:D851"/>
    <mergeCell ref="D853:D854"/>
    <mergeCell ref="D855:D856"/>
    <mergeCell ref="D857:D858"/>
    <mergeCell ref="D862:D863"/>
    <mergeCell ref="D864:D865"/>
    <mergeCell ref="D868:D869"/>
    <mergeCell ref="D870:D871"/>
    <mergeCell ref="D874:D875"/>
    <mergeCell ref="D876:D877"/>
    <mergeCell ref="D878:D879"/>
    <mergeCell ref="D880:D881"/>
    <mergeCell ref="D882:D883"/>
    <mergeCell ref="D884:D885"/>
    <mergeCell ref="D886:D887"/>
    <mergeCell ref="D888:D889"/>
    <mergeCell ref="D890:D891"/>
    <mergeCell ref="D809:D810"/>
    <mergeCell ref="D811:D812"/>
    <mergeCell ref="D813:D814"/>
    <mergeCell ref="D815:D816"/>
    <mergeCell ref="D817:D818"/>
    <mergeCell ref="D819:D820"/>
    <mergeCell ref="D821:D822"/>
    <mergeCell ref="D823:D824"/>
    <mergeCell ref="D826:D827"/>
    <mergeCell ref="D828:D829"/>
    <mergeCell ref="D830:D831"/>
    <mergeCell ref="D832:D833"/>
    <mergeCell ref="D834:D835"/>
    <mergeCell ref="D836:D837"/>
    <mergeCell ref="D838:D839"/>
    <mergeCell ref="D840:D841"/>
    <mergeCell ref="D842:D843"/>
    <mergeCell ref="D761:D762"/>
    <mergeCell ref="D763:D764"/>
    <mergeCell ref="D765:D766"/>
    <mergeCell ref="D767:D768"/>
    <mergeCell ref="D769:D770"/>
    <mergeCell ref="D771:D772"/>
    <mergeCell ref="D773:D774"/>
    <mergeCell ref="D775:D776"/>
    <mergeCell ref="D783:D784"/>
    <mergeCell ref="D786:D787"/>
    <mergeCell ref="D788:D789"/>
    <mergeCell ref="D790:D791"/>
    <mergeCell ref="D795:D796"/>
    <mergeCell ref="D797:D798"/>
    <mergeCell ref="D801:D802"/>
    <mergeCell ref="D803:D804"/>
    <mergeCell ref="D807:D808"/>
    <mergeCell ref="D719:D720"/>
    <mergeCell ref="D721:D722"/>
    <mergeCell ref="D723:D724"/>
    <mergeCell ref="D728:D729"/>
    <mergeCell ref="D730:D731"/>
    <mergeCell ref="D734:D735"/>
    <mergeCell ref="D736:D737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9:D760"/>
    <mergeCell ref="D677:D678"/>
    <mergeCell ref="D679:D680"/>
    <mergeCell ref="D681:D682"/>
    <mergeCell ref="D683:D684"/>
    <mergeCell ref="D685:D686"/>
    <mergeCell ref="D687:D688"/>
    <mergeCell ref="D689:D690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08:D709"/>
    <mergeCell ref="D716:D717"/>
    <mergeCell ref="D629:D630"/>
    <mergeCell ref="D631:D632"/>
    <mergeCell ref="D633:D634"/>
    <mergeCell ref="D635:D636"/>
    <mergeCell ref="D637:D638"/>
    <mergeCell ref="D639:D640"/>
    <mergeCell ref="D647:D648"/>
    <mergeCell ref="D650:D651"/>
    <mergeCell ref="D652:D653"/>
    <mergeCell ref="D654:D655"/>
    <mergeCell ref="D656:D657"/>
    <mergeCell ref="D661:D662"/>
    <mergeCell ref="D663:D664"/>
    <mergeCell ref="D667:D668"/>
    <mergeCell ref="D669:D670"/>
    <mergeCell ref="D673:D674"/>
    <mergeCell ref="D675:D676"/>
    <mergeCell ref="D587:D588"/>
    <mergeCell ref="D592:D593"/>
    <mergeCell ref="D594:D595"/>
    <mergeCell ref="D598:D599"/>
    <mergeCell ref="D600:D601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3:D624"/>
    <mergeCell ref="D625:D626"/>
    <mergeCell ref="D627:D628"/>
    <mergeCell ref="D544:D545"/>
    <mergeCell ref="D546:D547"/>
    <mergeCell ref="D548:D549"/>
    <mergeCell ref="D550:D551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8:D579"/>
    <mergeCell ref="D581:D582"/>
    <mergeCell ref="D583:D584"/>
    <mergeCell ref="D585:D586"/>
    <mergeCell ref="D494:D495"/>
    <mergeCell ref="D496:D497"/>
    <mergeCell ref="D498:D499"/>
    <mergeCell ref="D508:D509"/>
    <mergeCell ref="D511:D512"/>
    <mergeCell ref="D513:D514"/>
    <mergeCell ref="D515:D516"/>
    <mergeCell ref="D517:D518"/>
    <mergeCell ref="D522:D523"/>
    <mergeCell ref="D524:D525"/>
    <mergeCell ref="D528:D529"/>
    <mergeCell ref="D530:D531"/>
    <mergeCell ref="D534:D535"/>
    <mergeCell ref="D536:D537"/>
    <mergeCell ref="D538:D539"/>
    <mergeCell ref="D540:D541"/>
    <mergeCell ref="D542:D543"/>
    <mergeCell ref="D457:D458"/>
    <mergeCell ref="D459:D460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2:D483"/>
    <mergeCell ref="D484:D485"/>
    <mergeCell ref="D486:D487"/>
    <mergeCell ref="D488:D489"/>
    <mergeCell ref="D490:D491"/>
    <mergeCell ref="D492:D493"/>
    <mergeCell ref="D408:D409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37:D438"/>
    <mergeCell ref="D440:D441"/>
    <mergeCell ref="D442:D443"/>
    <mergeCell ref="D444:D445"/>
    <mergeCell ref="D446:D447"/>
    <mergeCell ref="D451:D452"/>
    <mergeCell ref="D453:D454"/>
    <mergeCell ref="D366:D367"/>
    <mergeCell ref="D369:D370"/>
    <mergeCell ref="D371:D372"/>
    <mergeCell ref="D373:D374"/>
    <mergeCell ref="D375:D376"/>
    <mergeCell ref="D380:D381"/>
    <mergeCell ref="D382:D383"/>
    <mergeCell ref="D386:D387"/>
    <mergeCell ref="D388:D389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246:D247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9:D270"/>
    <mergeCell ref="C275:C282"/>
    <mergeCell ref="D275:D276"/>
    <mergeCell ref="D277:D278"/>
    <mergeCell ref="D279:D280"/>
    <mergeCell ref="D285:D286"/>
    <mergeCell ref="D281:D282"/>
    <mergeCell ref="D283:D284"/>
    <mergeCell ref="D190:D191"/>
    <mergeCell ref="D192:D193"/>
    <mergeCell ref="D194:D195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31:D232"/>
    <mergeCell ref="D233:D234"/>
    <mergeCell ref="D238:D239"/>
    <mergeCell ref="D240:D241"/>
    <mergeCell ref="D244:D245"/>
    <mergeCell ref="D1522:D1523"/>
    <mergeCell ref="D1524:D1525"/>
    <mergeCell ref="D1526:D1527"/>
    <mergeCell ref="D1535:D1536"/>
    <mergeCell ref="D1538:D1539"/>
    <mergeCell ref="D1540:D1541"/>
    <mergeCell ref="D1542:D1543"/>
    <mergeCell ref="D1550:D1551"/>
    <mergeCell ref="D1554:D1555"/>
    <mergeCell ref="D1556:D1557"/>
    <mergeCell ref="D1560:D1561"/>
    <mergeCell ref="D1562:D1563"/>
    <mergeCell ref="D1564:D1565"/>
    <mergeCell ref="D1566:D1567"/>
    <mergeCell ref="D1568:D1569"/>
    <mergeCell ref="D1570:D1571"/>
    <mergeCell ref="D1572:D1573"/>
    <mergeCell ref="D1617:D1618"/>
    <mergeCell ref="D1635:D1636"/>
    <mergeCell ref="D1637:D1638"/>
    <mergeCell ref="D1639:D1640"/>
    <mergeCell ref="D1642:D1643"/>
    <mergeCell ref="D1644:D1645"/>
    <mergeCell ref="D1646:D1647"/>
    <mergeCell ref="D1648:D1649"/>
    <mergeCell ref="D1619:D1620"/>
    <mergeCell ref="D1623:D1624"/>
    <mergeCell ref="D1625:D1626"/>
    <mergeCell ref="D1627:D1628"/>
    <mergeCell ref="D1629:D1630"/>
    <mergeCell ref="D1631:D1632"/>
    <mergeCell ref="D1633:D1634"/>
    <mergeCell ref="D1436:D1437"/>
    <mergeCell ref="D1438:D1439"/>
    <mergeCell ref="D1440:D1441"/>
    <mergeCell ref="D1442:D1443"/>
    <mergeCell ref="D1444:D1445"/>
    <mergeCell ref="D1448:D1449"/>
    <mergeCell ref="D1450:D1451"/>
    <mergeCell ref="D1452:D1453"/>
    <mergeCell ref="D1454:D1455"/>
    <mergeCell ref="D1456:D1457"/>
    <mergeCell ref="D1458:D1459"/>
    <mergeCell ref="D1460:D1461"/>
    <mergeCell ref="D1469:D1470"/>
    <mergeCell ref="D1472:D1473"/>
    <mergeCell ref="D1474:D1475"/>
    <mergeCell ref="D1476:D1477"/>
    <mergeCell ref="D1484:D1485"/>
    <mergeCell ref="D1428:D1429"/>
    <mergeCell ref="D1430:D1431"/>
    <mergeCell ref="D1432:D1433"/>
    <mergeCell ref="D1434:D1435"/>
    <mergeCell ref="D1574:D1575"/>
    <mergeCell ref="D1576:D1577"/>
    <mergeCell ref="D1579:D1580"/>
    <mergeCell ref="D1581:D1582"/>
    <mergeCell ref="D1584:D1585"/>
    <mergeCell ref="D1586:D1587"/>
    <mergeCell ref="D1588:D1589"/>
    <mergeCell ref="D1590:D1591"/>
    <mergeCell ref="D1599:D1600"/>
    <mergeCell ref="D1602:D1603"/>
    <mergeCell ref="D1605:D1606"/>
    <mergeCell ref="D1611:D1612"/>
    <mergeCell ref="D1615:D1616"/>
    <mergeCell ref="D1488:D1489"/>
    <mergeCell ref="D1490:D1491"/>
    <mergeCell ref="D1494:D1495"/>
    <mergeCell ref="D1496:D1497"/>
    <mergeCell ref="D1498:D1499"/>
    <mergeCell ref="D1500:D1501"/>
    <mergeCell ref="D1502:D1503"/>
    <mergeCell ref="D1504:D1505"/>
    <mergeCell ref="D1506:D1507"/>
    <mergeCell ref="D1508:D1509"/>
    <mergeCell ref="D1510:D1511"/>
    <mergeCell ref="D1514:D1515"/>
    <mergeCell ref="D1516:D1517"/>
    <mergeCell ref="D1518:D1519"/>
    <mergeCell ref="D1520:D1521"/>
    <mergeCell ref="D1373:D1374"/>
    <mergeCell ref="D1375:D1376"/>
    <mergeCell ref="D1379:D1380"/>
    <mergeCell ref="D1381:D1382"/>
    <mergeCell ref="D1383:D1384"/>
    <mergeCell ref="D1385:D1386"/>
    <mergeCell ref="D1387:D1388"/>
    <mergeCell ref="D1389:D1390"/>
    <mergeCell ref="D1391:D1392"/>
    <mergeCell ref="D1400:D1401"/>
    <mergeCell ref="D1403:D1404"/>
    <mergeCell ref="D1405:D1406"/>
    <mergeCell ref="D1407:D1408"/>
    <mergeCell ref="D1413:D1414"/>
    <mergeCell ref="D1418:D1419"/>
    <mergeCell ref="D1422:D1423"/>
    <mergeCell ref="D1424:D1425"/>
    <mergeCell ref="D1320:D1321"/>
    <mergeCell ref="D1322:D1323"/>
    <mergeCell ref="D1331:D1332"/>
    <mergeCell ref="D1334:D1335"/>
    <mergeCell ref="D1336:D1337"/>
    <mergeCell ref="D1338:D1339"/>
    <mergeCell ref="D1344:D1345"/>
    <mergeCell ref="D1349:D1350"/>
    <mergeCell ref="D1353:D1354"/>
    <mergeCell ref="D1355:D1356"/>
    <mergeCell ref="D1359:D1360"/>
    <mergeCell ref="D1361:D1362"/>
    <mergeCell ref="D1363:D1364"/>
    <mergeCell ref="D1365:D1366"/>
    <mergeCell ref="D1367:D1368"/>
    <mergeCell ref="D1369:D1370"/>
    <mergeCell ref="D1371:D1372"/>
    <mergeCell ref="D1282:D1283"/>
    <mergeCell ref="D1284:D1285"/>
    <mergeCell ref="D1288:D1289"/>
    <mergeCell ref="D1290:D1291"/>
    <mergeCell ref="D1292:D1293"/>
    <mergeCell ref="D1294:D1295"/>
    <mergeCell ref="D1296:D1297"/>
    <mergeCell ref="D1298:D1299"/>
    <mergeCell ref="D1300:D1301"/>
    <mergeCell ref="D1302:D1303"/>
    <mergeCell ref="D1304:D1305"/>
    <mergeCell ref="D1308:D1309"/>
    <mergeCell ref="D1310:D1311"/>
    <mergeCell ref="D1312:D1313"/>
    <mergeCell ref="D1314:D1315"/>
    <mergeCell ref="D1316:D1317"/>
    <mergeCell ref="D1318:D1319"/>
    <mergeCell ref="D1229:D1230"/>
    <mergeCell ref="D1231:D1232"/>
    <mergeCell ref="D1233:D1234"/>
    <mergeCell ref="D1235:D1236"/>
    <mergeCell ref="D1239:D1240"/>
    <mergeCell ref="D1241:D1242"/>
    <mergeCell ref="D1243:D1244"/>
    <mergeCell ref="D1245:D1246"/>
    <mergeCell ref="D1247:D1248"/>
    <mergeCell ref="D1249:D1250"/>
    <mergeCell ref="D1251:D1252"/>
    <mergeCell ref="D1253:D1254"/>
    <mergeCell ref="D1262:D1263"/>
    <mergeCell ref="D1265:D1266"/>
    <mergeCell ref="D1267:D1268"/>
    <mergeCell ref="D1269:D1270"/>
    <mergeCell ref="D1278:D1279"/>
    <mergeCell ref="D1176:D1177"/>
    <mergeCell ref="D1178:D1179"/>
    <mergeCell ref="D1180:D1181"/>
    <mergeCell ref="D1182:D1183"/>
    <mergeCell ref="D1184:D1185"/>
    <mergeCell ref="D1193:D1194"/>
    <mergeCell ref="D1196:D1197"/>
    <mergeCell ref="D1198:D1199"/>
    <mergeCell ref="D1200:D1201"/>
    <mergeCell ref="D1209:D1210"/>
    <mergeCell ref="D1213:D1214"/>
    <mergeCell ref="D1215:D1216"/>
    <mergeCell ref="D1219:D1220"/>
    <mergeCell ref="D1221:D1222"/>
    <mergeCell ref="D1223:D1224"/>
    <mergeCell ref="D1225:D1226"/>
    <mergeCell ref="D1227:D1228"/>
    <mergeCell ref="D1129:D1130"/>
    <mergeCell ref="D1131:D1132"/>
    <mergeCell ref="D1140:D1141"/>
    <mergeCell ref="D1144:D1145"/>
    <mergeCell ref="D1146:D1147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66:D1167"/>
    <mergeCell ref="D1170:D1171"/>
    <mergeCell ref="D1172:D1173"/>
    <mergeCell ref="D1174:D1175"/>
    <mergeCell ref="D1086:D1087"/>
    <mergeCell ref="D1088:D1089"/>
    <mergeCell ref="D1090:D1091"/>
    <mergeCell ref="D1092:D1093"/>
    <mergeCell ref="D1094:D1095"/>
    <mergeCell ref="D1096:D1097"/>
    <mergeCell ref="D1099:D1100"/>
    <mergeCell ref="D1101:D1102"/>
    <mergeCell ref="D1103:D1104"/>
    <mergeCell ref="D1105:D1106"/>
    <mergeCell ref="D1107:D1108"/>
    <mergeCell ref="D1109:D1110"/>
    <mergeCell ref="D1111:D1112"/>
    <mergeCell ref="D1113:D1114"/>
    <mergeCell ref="D1115:D1116"/>
    <mergeCell ref="D1124:D1125"/>
    <mergeCell ref="D1127:D1128"/>
    <mergeCell ref="F1595:AI1595"/>
    <mergeCell ref="AN986:AN987"/>
    <mergeCell ref="AN989:AN990"/>
    <mergeCell ref="C1049:AN1049"/>
    <mergeCell ref="F1050:AJ1050"/>
    <mergeCell ref="F1120:AJ1120"/>
    <mergeCell ref="F1189:AJ1189"/>
    <mergeCell ref="F1258:AJ1258"/>
    <mergeCell ref="D1018:D1019"/>
    <mergeCell ref="D1020:D1021"/>
    <mergeCell ref="D1022:D1023"/>
    <mergeCell ref="D1024:D1025"/>
    <mergeCell ref="D1026:D1027"/>
    <mergeCell ref="D1029:D1030"/>
    <mergeCell ref="D1031:D1032"/>
    <mergeCell ref="D1033:D1034"/>
    <mergeCell ref="D1035:D1036"/>
    <mergeCell ref="D1037:D1038"/>
    <mergeCell ref="D1039:D1040"/>
    <mergeCell ref="D1041:D1042"/>
    <mergeCell ref="D1043:D1044"/>
    <mergeCell ref="D1045:D1046"/>
    <mergeCell ref="D1054:D1055"/>
    <mergeCell ref="D1057:D1058"/>
    <mergeCell ref="D1059:D1060"/>
    <mergeCell ref="D1061:D1062"/>
    <mergeCell ref="D1070:D1071"/>
    <mergeCell ref="D1074:D1075"/>
    <mergeCell ref="D1076:D1077"/>
    <mergeCell ref="D1080:D1081"/>
    <mergeCell ref="D1082:D1083"/>
    <mergeCell ref="D1084:D1085"/>
    <mergeCell ref="AN918:AN919"/>
    <mergeCell ref="AN921:AN922"/>
    <mergeCell ref="AN923:AN924"/>
    <mergeCell ref="AN925:AN926"/>
    <mergeCell ref="AN930:AN931"/>
    <mergeCell ref="AN932:AN933"/>
    <mergeCell ref="AN936:AN937"/>
    <mergeCell ref="AN969:AN970"/>
    <mergeCell ref="AN971:AN972"/>
    <mergeCell ref="AN973:AN974"/>
    <mergeCell ref="AN975:AN976"/>
    <mergeCell ref="AN977:AN978"/>
    <mergeCell ref="F982:AJ982"/>
    <mergeCell ref="F1327:AJ1327"/>
    <mergeCell ref="F1396:AJ1396"/>
    <mergeCell ref="F1465:AJ1465"/>
    <mergeCell ref="F1531:AJ1531"/>
    <mergeCell ref="AN870:AN871"/>
    <mergeCell ref="AN874:AN875"/>
    <mergeCell ref="AN876:AN877"/>
    <mergeCell ref="AN878:AN879"/>
    <mergeCell ref="AN880:AN881"/>
    <mergeCell ref="AN882:AN883"/>
    <mergeCell ref="AN884:AN885"/>
    <mergeCell ref="AN901:AN902"/>
    <mergeCell ref="AN903:AN904"/>
    <mergeCell ref="AN905:AN906"/>
    <mergeCell ref="AN907:AN908"/>
    <mergeCell ref="AN909:AN910"/>
    <mergeCell ref="F914:AJ914"/>
    <mergeCell ref="AN886:AN887"/>
    <mergeCell ref="AN888:AN889"/>
    <mergeCell ref="AN890:AN891"/>
    <mergeCell ref="AN893:AN894"/>
    <mergeCell ref="AN895:AN896"/>
    <mergeCell ref="AN897:AN898"/>
    <mergeCell ref="AN899:AN900"/>
    <mergeCell ref="AN840:AN841"/>
    <mergeCell ref="AN842:AN843"/>
    <mergeCell ref="F846:AJ846"/>
    <mergeCell ref="AN819:AN820"/>
    <mergeCell ref="AN821:AN822"/>
    <mergeCell ref="AN823:AN824"/>
    <mergeCell ref="AN826:AN827"/>
    <mergeCell ref="AN828:AN829"/>
    <mergeCell ref="AN830:AN831"/>
    <mergeCell ref="AN832:AN833"/>
    <mergeCell ref="AN850:AN851"/>
    <mergeCell ref="AN853:AN854"/>
    <mergeCell ref="AN855:AN856"/>
    <mergeCell ref="AN857:AN858"/>
    <mergeCell ref="AN862:AN863"/>
    <mergeCell ref="AN864:AN865"/>
    <mergeCell ref="AN868:AN869"/>
    <mergeCell ref="AN783:AN784"/>
    <mergeCell ref="AN786:AN787"/>
    <mergeCell ref="AN788:AN789"/>
    <mergeCell ref="AN790:AN791"/>
    <mergeCell ref="AN795:AN796"/>
    <mergeCell ref="AN797:AN798"/>
    <mergeCell ref="AN801:AN802"/>
    <mergeCell ref="AN803:AN804"/>
    <mergeCell ref="AN807:AN808"/>
    <mergeCell ref="AN809:AN810"/>
    <mergeCell ref="AN811:AN812"/>
    <mergeCell ref="AN813:AN814"/>
    <mergeCell ref="AN815:AN816"/>
    <mergeCell ref="AN817:AN818"/>
    <mergeCell ref="AN834:AN835"/>
    <mergeCell ref="AN836:AN837"/>
    <mergeCell ref="AN838:AN839"/>
    <mergeCell ref="AN734:AN735"/>
    <mergeCell ref="AN736:AN737"/>
    <mergeCell ref="AN740:AN741"/>
    <mergeCell ref="AN742:AN743"/>
    <mergeCell ref="AN744:AN745"/>
    <mergeCell ref="AN746:AN747"/>
    <mergeCell ref="AN748:AN749"/>
    <mergeCell ref="AN750:AN751"/>
    <mergeCell ref="AN767:AN768"/>
    <mergeCell ref="AN769:AN770"/>
    <mergeCell ref="AN771:AN772"/>
    <mergeCell ref="AN773:AN774"/>
    <mergeCell ref="AN775:AN776"/>
    <mergeCell ref="F779:AJ779"/>
    <mergeCell ref="AN752:AN753"/>
    <mergeCell ref="AN754:AN755"/>
    <mergeCell ref="AN756:AN757"/>
    <mergeCell ref="AN759:AN760"/>
    <mergeCell ref="AN761:AN762"/>
    <mergeCell ref="AN763:AN764"/>
    <mergeCell ref="AN765:AN766"/>
    <mergeCell ref="AN704:AN705"/>
    <mergeCell ref="AN706:AN707"/>
    <mergeCell ref="AN708:AN709"/>
    <mergeCell ref="F712:AJ712"/>
    <mergeCell ref="AN683:AN684"/>
    <mergeCell ref="AN685:AN686"/>
    <mergeCell ref="AN687:AN688"/>
    <mergeCell ref="AN689:AN690"/>
    <mergeCell ref="AN692:AN693"/>
    <mergeCell ref="AN694:AN695"/>
    <mergeCell ref="AN696:AN697"/>
    <mergeCell ref="AN716:AN717"/>
    <mergeCell ref="AN719:AN720"/>
    <mergeCell ref="AN721:AN722"/>
    <mergeCell ref="AN723:AN724"/>
    <mergeCell ref="AN728:AN729"/>
    <mergeCell ref="AN730:AN731"/>
    <mergeCell ref="AN647:AN648"/>
    <mergeCell ref="AN650:AN651"/>
    <mergeCell ref="AN652:AN653"/>
    <mergeCell ref="AN654:AN655"/>
    <mergeCell ref="AN656:AN657"/>
    <mergeCell ref="AN661:AN662"/>
    <mergeCell ref="AN663:AN664"/>
    <mergeCell ref="AN667:AN668"/>
    <mergeCell ref="AN669:AN670"/>
    <mergeCell ref="AN673:AN674"/>
    <mergeCell ref="AN675:AN676"/>
    <mergeCell ref="AN677:AN678"/>
    <mergeCell ref="AN679:AN680"/>
    <mergeCell ref="AN681:AN682"/>
    <mergeCell ref="AN698:AN699"/>
    <mergeCell ref="AN700:AN701"/>
    <mergeCell ref="AN702:AN703"/>
    <mergeCell ref="AN600:AN601"/>
    <mergeCell ref="AN604:AN605"/>
    <mergeCell ref="AN606:AN607"/>
    <mergeCell ref="AN608:AN609"/>
    <mergeCell ref="AN610:AN611"/>
    <mergeCell ref="AN612:AN613"/>
    <mergeCell ref="AN629:AN630"/>
    <mergeCell ref="AN631:AN632"/>
    <mergeCell ref="AN633:AN634"/>
    <mergeCell ref="AN635:AN636"/>
    <mergeCell ref="AN637:AN638"/>
    <mergeCell ref="AN639:AN640"/>
    <mergeCell ref="F643:AJ643"/>
    <mergeCell ref="AN614:AN615"/>
    <mergeCell ref="AN616:AN617"/>
    <mergeCell ref="AN618:AN619"/>
    <mergeCell ref="AN620:AN621"/>
    <mergeCell ref="AN623:AN624"/>
    <mergeCell ref="AN625:AN626"/>
    <mergeCell ref="AN627:AN628"/>
    <mergeCell ref="F572:H572"/>
    <mergeCell ref="F574:AJ574"/>
    <mergeCell ref="AN544:AN545"/>
    <mergeCell ref="AN546:AN547"/>
    <mergeCell ref="AN548:AN549"/>
    <mergeCell ref="AN550:AN551"/>
    <mergeCell ref="AN553:AN554"/>
    <mergeCell ref="AN555:AN556"/>
    <mergeCell ref="AN557:AN558"/>
    <mergeCell ref="AN578:AN579"/>
    <mergeCell ref="AN581:AN582"/>
    <mergeCell ref="AN583:AN584"/>
    <mergeCell ref="AN585:AN586"/>
    <mergeCell ref="AN587:AN588"/>
    <mergeCell ref="AN592:AN593"/>
    <mergeCell ref="AN594:AN595"/>
    <mergeCell ref="AN598:AN599"/>
    <mergeCell ref="AN508:AN509"/>
    <mergeCell ref="AN511:AN512"/>
    <mergeCell ref="AN513:AN514"/>
    <mergeCell ref="AN515:AN516"/>
    <mergeCell ref="AN517:AN518"/>
    <mergeCell ref="AN522:AN523"/>
    <mergeCell ref="AN524:AN525"/>
    <mergeCell ref="AN528:AN529"/>
    <mergeCell ref="AN530:AN531"/>
    <mergeCell ref="AN534:AN535"/>
    <mergeCell ref="AN536:AN537"/>
    <mergeCell ref="AN538:AN539"/>
    <mergeCell ref="AN540:AN541"/>
    <mergeCell ref="AN542:AN543"/>
    <mergeCell ref="I572:O572"/>
    <mergeCell ref="P572:V572"/>
    <mergeCell ref="W572:AC572"/>
    <mergeCell ref="AD572:AJ572"/>
    <mergeCell ref="AN559:AN560"/>
    <mergeCell ref="AN561:AN562"/>
    <mergeCell ref="AN563:AN564"/>
    <mergeCell ref="AN565:AN566"/>
    <mergeCell ref="AN567:AN568"/>
    <mergeCell ref="AN569:AN570"/>
    <mergeCell ref="AN471:AN472"/>
    <mergeCell ref="M502:S502"/>
    <mergeCell ref="T502:Z502"/>
    <mergeCell ref="AA502:AG502"/>
    <mergeCell ref="AH502:AJ502"/>
    <mergeCell ref="AN488:AN489"/>
    <mergeCell ref="AN490:AN491"/>
    <mergeCell ref="AN492:AN493"/>
    <mergeCell ref="AN494:AN495"/>
    <mergeCell ref="AN496:AN497"/>
    <mergeCell ref="AN498:AN499"/>
    <mergeCell ref="F502:L502"/>
    <mergeCell ref="F504:AJ504"/>
    <mergeCell ref="AN473:AN474"/>
    <mergeCell ref="AN475:AN476"/>
    <mergeCell ref="AN477:AN478"/>
    <mergeCell ref="AN479:AN480"/>
    <mergeCell ref="AN482:AN483"/>
    <mergeCell ref="AN484:AN485"/>
    <mergeCell ref="AN486:AN487"/>
    <mergeCell ref="AN340:AN341"/>
    <mergeCell ref="AN342:AN343"/>
    <mergeCell ref="AN344:AN345"/>
    <mergeCell ref="AN366:AN367"/>
    <mergeCell ref="AN369:AN370"/>
    <mergeCell ref="AN371:AN372"/>
    <mergeCell ref="AN373:AN374"/>
    <mergeCell ref="AN375:AN376"/>
    <mergeCell ref="AN380:AN381"/>
    <mergeCell ref="AN382:AN383"/>
    <mergeCell ref="AN386:AN387"/>
    <mergeCell ref="AN388:AN389"/>
    <mergeCell ref="AN392:AN393"/>
    <mergeCell ref="AN394:AN395"/>
    <mergeCell ref="AN396:AN397"/>
    <mergeCell ref="AN398:AN399"/>
    <mergeCell ref="AN400:AN401"/>
    <mergeCell ref="AN417:AN418"/>
    <mergeCell ref="AN419:AN420"/>
    <mergeCell ref="AN421:AN422"/>
    <mergeCell ref="AN423:AN424"/>
    <mergeCell ref="AN425:AN426"/>
    <mergeCell ref="AN427:AN428"/>
    <mergeCell ref="F431:J431"/>
    <mergeCell ref="V360:AB360"/>
    <mergeCell ref="AC360:AI360"/>
    <mergeCell ref="F362:AJ362"/>
    <mergeCell ref="AN346:AN347"/>
    <mergeCell ref="AN348:AN349"/>
    <mergeCell ref="AN350:AN351"/>
    <mergeCell ref="AN352:AN353"/>
    <mergeCell ref="AN354:AN355"/>
    <mergeCell ref="AN356:AN357"/>
    <mergeCell ref="O360:U360"/>
    <mergeCell ref="Y431:AE431"/>
    <mergeCell ref="AF431:AJ431"/>
    <mergeCell ref="AN402:AN403"/>
    <mergeCell ref="AN404:AN405"/>
    <mergeCell ref="AN406:AN407"/>
    <mergeCell ref="AN408:AN409"/>
    <mergeCell ref="AN411:AN412"/>
    <mergeCell ref="AN413:AN414"/>
    <mergeCell ref="AN415:AN416"/>
    <mergeCell ref="AN1581:AN1582"/>
    <mergeCell ref="AN1584:AN1585"/>
    <mergeCell ref="AN1586:AN1587"/>
    <mergeCell ref="AN1588:AN1589"/>
    <mergeCell ref="AN1590:AN1591"/>
    <mergeCell ref="AN1599:AN1600"/>
    <mergeCell ref="AN1602:AN1603"/>
    <mergeCell ref="AN1605:AN1606"/>
    <mergeCell ref="AN1611:AN1612"/>
    <mergeCell ref="AN1615:AN1616"/>
    <mergeCell ref="AN1617:AN1618"/>
    <mergeCell ref="AN1619:AN1620"/>
    <mergeCell ref="AN1623:AN1624"/>
    <mergeCell ref="AN1625:AN1626"/>
    <mergeCell ref="AN1627:AN1628"/>
    <mergeCell ref="AN1629:AN1630"/>
    <mergeCell ref="K431:Q431"/>
    <mergeCell ref="R431:X431"/>
    <mergeCell ref="F433:AJ433"/>
    <mergeCell ref="AN437:AN438"/>
    <mergeCell ref="AN440:AN441"/>
    <mergeCell ref="AN442:AN443"/>
    <mergeCell ref="AN444:AN445"/>
    <mergeCell ref="AN446:AN447"/>
    <mergeCell ref="AN451:AN452"/>
    <mergeCell ref="AN453:AN454"/>
    <mergeCell ref="AN457:AN458"/>
    <mergeCell ref="AN459:AN460"/>
    <mergeCell ref="AN463:AN464"/>
    <mergeCell ref="AN465:AN466"/>
    <mergeCell ref="AN467:AN468"/>
    <mergeCell ref="AN469:AN470"/>
    <mergeCell ref="AN1535:AN1536"/>
    <mergeCell ref="AN1538:AN1539"/>
    <mergeCell ref="AN1540:AN1541"/>
    <mergeCell ref="AN1542:AN1543"/>
    <mergeCell ref="AN1550:AN1551"/>
    <mergeCell ref="AN1554:AN1555"/>
    <mergeCell ref="AN1556:AN1557"/>
    <mergeCell ref="AN1560:AN1561"/>
    <mergeCell ref="AN1562:AN1563"/>
    <mergeCell ref="AN1564:AN1565"/>
    <mergeCell ref="AN1566:AN1567"/>
    <mergeCell ref="AN1568:AN1569"/>
    <mergeCell ref="AN1570:AN1571"/>
    <mergeCell ref="AN1572:AN1573"/>
    <mergeCell ref="AN1574:AN1575"/>
    <mergeCell ref="AN1576:AN1577"/>
    <mergeCell ref="AN1579:AN1580"/>
    <mergeCell ref="AN1469:AN1470"/>
    <mergeCell ref="AN1472:AN1473"/>
    <mergeCell ref="AN1474:AN1475"/>
    <mergeCell ref="AN1476:AN1477"/>
    <mergeCell ref="AN1484:AN1485"/>
    <mergeCell ref="AN1488:AN1489"/>
    <mergeCell ref="AN1490:AN1491"/>
    <mergeCell ref="AN1646:AN1647"/>
    <mergeCell ref="AN1648:AN1649"/>
    <mergeCell ref="AN1631:AN1632"/>
    <mergeCell ref="AN1633:AN1634"/>
    <mergeCell ref="AN1635:AN1636"/>
    <mergeCell ref="AN1637:AN1638"/>
    <mergeCell ref="AN1639:AN1640"/>
    <mergeCell ref="AN1642:AN1643"/>
    <mergeCell ref="AN1644:AN1645"/>
    <mergeCell ref="AN1494:AN1495"/>
    <mergeCell ref="AN1496:AN1497"/>
    <mergeCell ref="AN1498:AN1499"/>
    <mergeCell ref="AN1500:AN1501"/>
    <mergeCell ref="AN1502:AN1503"/>
    <mergeCell ref="AN1504:AN1505"/>
    <mergeCell ref="AN1506:AN1507"/>
    <mergeCell ref="AN1508:AN1509"/>
    <mergeCell ref="AN1510:AN1511"/>
    <mergeCell ref="AN1514:AN1515"/>
    <mergeCell ref="AN1516:AN1517"/>
    <mergeCell ref="AN1518:AN1519"/>
    <mergeCell ref="AN1520:AN1521"/>
    <mergeCell ref="AN1522:AN1523"/>
    <mergeCell ref="AN1524:AN1525"/>
    <mergeCell ref="AN1526:AN1527"/>
    <mergeCell ref="AN1430:AN1431"/>
    <mergeCell ref="AO1430:AO1431"/>
    <mergeCell ref="AO1432:AO1433"/>
    <mergeCell ref="AN1432:AN1433"/>
    <mergeCell ref="AN1434:AN1435"/>
    <mergeCell ref="AN1436:AN1437"/>
    <mergeCell ref="AN1438:AN1439"/>
    <mergeCell ref="AN1440:AN1441"/>
    <mergeCell ref="AN1442:AN1443"/>
    <mergeCell ref="AN1444:AN1445"/>
    <mergeCell ref="AO1434:AO1435"/>
    <mergeCell ref="AO1436:AO1437"/>
    <mergeCell ref="AO1438:AO1439"/>
    <mergeCell ref="AO1440:AO1441"/>
    <mergeCell ref="AO1442:AO1443"/>
    <mergeCell ref="AO1444:AO1445"/>
    <mergeCell ref="AO1448:AO1449"/>
    <mergeCell ref="AN1385:AN1386"/>
    <mergeCell ref="AN1387:AN1388"/>
    <mergeCell ref="AN1389:AN1390"/>
    <mergeCell ref="AN1391:AN1392"/>
    <mergeCell ref="AN1400:AN1401"/>
    <mergeCell ref="AN1403:AN1404"/>
    <mergeCell ref="AN1405:AN1406"/>
    <mergeCell ref="AN1407:AN1408"/>
    <mergeCell ref="AN1413:AN1414"/>
    <mergeCell ref="AN1418:AN1419"/>
    <mergeCell ref="AO1418:AO1419"/>
    <mergeCell ref="AN1422:AN1423"/>
    <mergeCell ref="AO1422:AO1423"/>
    <mergeCell ref="AN1424:AN1425"/>
    <mergeCell ref="AO1424:AO1425"/>
    <mergeCell ref="AN1428:AN1429"/>
    <mergeCell ref="AO1428:AO1429"/>
    <mergeCell ref="AN1334:AN1335"/>
    <mergeCell ref="AN1336:AN1337"/>
    <mergeCell ref="AN1338:AN1339"/>
    <mergeCell ref="AN1344:AN1345"/>
    <mergeCell ref="AN1349:AN1350"/>
    <mergeCell ref="AN1353:AN1354"/>
    <mergeCell ref="AN1355:AN1356"/>
    <mergeCell ref="AN1359:AN1360"/>
    <mergeCell ref="AN1361:AN1362"/>
    <mergeCell ref="AN1363:AN1364"/>
    <mergeCell ref="AN1365:AN1366"/>
    <mergeCell ref="AO1450:AO1451"/>
    <mergeCell ref="AO1452:AO1453"/>
    <mergeCell ref="AO1454:AO1455"/>
    <mergeCell ref="AO1456:AO1457"/>
    <mergeCell ref="AO1458:AO1459"/>
    <mergeCell ref="AO1460:AO1461"/>
    <mergeCell ref="AN1448:AN1449"/>
    <mergeCell ref="AN1450:AN1451"/>
    <mergeCell ref="AN1452:AN1453"/>
    <mergeCell ref="AN1454:AN1455"/>
    <mergeCell ref="AN1456:AN1457"/>
    <mergeCell ref="AN1458:AN1459"/>
    <mergeCell ref="AN1460:AN1461"/>
    <mergeCell ref="AN1367:AN1368"/>
    <mergeCell ref="AN1369:AN1370"/>
    <mergeCell ref="AN1371:AN1372"/>
    <mergeCell ref="AN1373:AN1374"/>
    <mergeCell ref="AN1375:AN1376"/>
    <mergeCell ref="AN1379:AN1380"/>
    <mergeCell ref="AN1381:AN1382"/>
    <mergeCell ref="AN1383:AN1384"/>
    <mergeCell ref="AN1290:AN1291"/>
    <mergeCell ref="AN1292:AN1293"/>
    <mergeCell ref="AN1294:AN1295"/>
    <mergeCell ref="AN1296:AN1297"/>
    <mergeCell ref="AN1298:AN1299"/>
    <mergeCell ref="AN1300:AN1301"/>
    <mergeCell ref="AN1302:AN1303"/>
    <mergeCell ref="AN1304:AN1305"/>
    <mergeCell ref="AN1308:AN1309"/>
    <mergeCell ref="AN1310:AN1311"/>
    <mergeCell ref="AN1312:AN1313"/>
    <mergeCell ref="AN1314:AN1315"/>
    <mergeCell ref="AN1316:AN1317"/>
    <mergeCell ref="AN1318:AN1319"/>
    <mergeCell ref="AN1320:AN1321"/>
    <mergeCell ref="AN1322:AN1323"/>
    <mergeCell ref="AN1331:AN1332"/>
    <mergeCell ref="AN1235:AN1236"/>
    <mergeCell ref="AN1239:AN1240"/>
    <mergeCell ref="AN1241:AN1242"/>
    <mergeCell ref="AN1243:AN1244"/>
    <mergeCell ref="AN1245:AN1246"/>
    <mergeCell ref="AN1247:AN1248"/>
    <mergeCell ref="AN1249:AN1250"/>
    <mergeCell ref="AN1251:AN1252"/>
    <mergeCell ref="AN1253:AN1254"/>
    <mergeCell ref="AN1262:AN1263"/>
    <mergeCell ref="AN1265:AN1266"/>
    <mergeCell ref="AN1267:AN1268"/>
    <mergeCell ref="AN1269:AN1270"/>
    <mergeCell ref="AN1278:AN1279"/>
    <mergeCell ref="AN1282:AN1283"/>
    <mergeCell ref="AN1284:AN1285"/>
    <mergeCell ref="AN1288:AN1289"/>
    <mergeCell ref="AN1182:AN1183"/>
    <mergeCell ref="AN1184:AN1185"/>
    <mergeCell ref="AN1193:AN1194"/>
    <mergeCell ref="AN1196:AN1197"/>
    <mergeCell ref="AN1198:AN1199"/>
    <mergeCell ref="AN1200:AN1201"/>
    <mergeCell ref="AN1209:AN1210"/>
    <mergeCell ref="AN1213:AN1214"/>
    <mergeCell ref="AN1215:AN1216"/>
    <mergeCell ref="AN1219:AN1220"/>
    <mergeCell ref="AN1221:AN1222"/>
    <mergeCell ref="AN1223:AN1224"/>
    <mergeCell ref="AN1225:AN1226"/>
    <mergeCell ref="AN1227:AN1228"/>
    <mergeCell ref="AN1229:AN1230"/>
    <mergeCell ref="AN1231:AN1232"/>
    <mergeCell ref="AN1233:AN1234"/>
    <mergeCell ref="AN1144:AN1145"/>
    <mergeCell ref="AN1146:AN1147"/>
    <mergeCell ref="AN1150:AN1151"/>
    <mergeCell ref="AN1152:AN1153"/>
    <mergeCell ref="AN1154:AN1155"/>
    <mergeCell ref="AN1156:AN1157"/>
    <mergeCell ref="AN1158:AN1159"/>
    <mergeCell ref="AN1160:AN1161"/>
    <mergeCell ref="AN1162:AN1163"/>
    <mergeCell ref="AN1164:AN1165"/>
    <mergeCell ref="AN1166:AN1167"/>
    <mergeCell ref="AN1170:AN1171"/>
    <mergeCell ref="AN1172:AN1173"/>
    <mergeCell ref="AN1174:AN1175"/>
    <mergeCell ref="AN1176:AN1177"/>
    <mergeCell ref="AN1178:AN1179"/>
    <mergeCell ref="AN1180:AN1181"/>
    <mergeCell ref="AN1092:AN1093"/>
    <mergeCell ref="AN1094:AN1095"/>
    <mergeCell ref="AN1096:AN1097"/>
    <mergeCell ref="AN1099:AN1100"/>
    <mergeCell ref="AN1101:AN1102"/>
    <mergeCell ref="AN1103:AN1104"/>
    <mergeCell ref="AN1105:AN1106"/>
    <mergeCell ref="AN1107:AN1108"/>
    <mergeCell ref="AN1109:AN1110"/>
    <mergeCell ref="AN1111:AN1112"/>
    <mergeCell ref="AN1113:AN1114"/>
    <mergeCell ref="AN1115:AN1116"/>
    <mergeCell ref="AN1124:AN1125"/>
    <mergeCell ref="AN1127:AN1128"/>
    <mergeCell ref="AN1129:AN1130"/>
    <mergeCell ref="AN1131:AN1132"/>
    <mergeCell ref="AN1140:AN1141"/>
    <mergeCell ref="AN1039:AN1040"/>
    <mergeCell ref="AN1041:AN1042"/>
    <mergeCell ref="AN1043:AN1044"/>
    <mergeCell ref="AN1045:AN1046"/>
    <mergeCell ref="AN1054:AN1055"/>
    <mergeCell ref="AN1057:AN1058"/>
    <mergeCell ref="AN1059:AN1060"/>
    <mergeCell ref="AN1061:AN1062"/>
    <mergeCell ref="AN1070:AN1071"/>
    <mergeCell ref="AN1074:AN1075"/>
    <mergeCell ref="AN1076:AN1077"/>
    <mergeCell ref="AN1080:AN1081"/>
    <mergeCell ref="AN1082:AN1083"/>
    <mergeCell ref="AN1084:AN1085"/>
    <mergeCell ref="AN1086:AN1087"/>
    <mergeCell ref="AN1088:AN1089"/>
    <mergeCell ref="AN1090:AN1091"/>
    <mergeCell ref="AN1000:AN1001"/>
    <mergeCell ref="AN1004:AN1005"/>
    <mergeCell ref="AN1006:AN1007"/>
    <mergeCell ref="AN1010:AN1011"/>
    <mergeCell ref="AN1012:AN1013"/>
    <mergeCell ref="AN1014:AN1015"/>
    <mergeCell ref="AN1016:AN1017"/>
    <mergeCell ref="AN1018:AN1019"/>
    <mergeCell ref="AN1020:AN1021"/>
    <mergeCell ref="AN1022:AN1023"/>
    <mergeCell ref="AN1024:AN1025"/>
    <mergeCell ref="AN1026:AN1027"/>
    <mergeCell ref="AN1029:AN1030"/>
    <mergeCell ref="AN1031:AN1032"/>
    <mergeCell ref="AN1033:AN1034"/>
    <mergeCell ref="AN1035:AN1036"/>
    <mergeCell ref="AN1037:AN1038"/>
    <mergeCell ref="AN938:AN939"/>
    <mergeCell ref="AN942:AN943"/>
    <mergeCell ref="AN944:AN945"/>
    <mergeCell ref="AN946:AN947"/>
    <mergeCell ref="AN948:AN949"/>
    <mergeCell ref="AN950:AN951"/>
    <mergeCell ref="AN952:AN953"/>
    <mergeCell ref="AN954:AN955"/>
    <mergeCell ref="AN956:AN957"/>
    <mergeCell ref="AN958:AN959"/>
    <mergeCell ref="AN961:AN962"/>
    <mergeCell ref="AN963:AN964"/>
    <mergeCell ref="AN965:AN966"/>
    <mergeCell ref="AN967:AN968"/>
    <mergeCell ref="AN991:AN992"/>
    <mergeCell ref="AN993:AN994"/>
    <mergeCell ref="AN998:AN999"/>
    <mergeCell ref="C1192:C1201"/>
    <mergeCell ref="C1203:C1205"/>
    <mergeCell ref="C1206:C1220"/>
    <mergeCell ref="C1221:C1236"/>
    <mergeCell ref="C1237:C1242"/>
    <mergeCell ref="C1243:C1250"/>
    <mergeCell ref="C1251:C1254"/>
    <mergeCell ref="C1261:C1270"/>
    <mergeCell ref="C1272:C1274"/>
    <mergeCell ref="C1275:C1289"/>
    <mergeCell ref="C1290:C1305"/>
    <mergeCell ref="C1306:C1311"/>
    <mergeCell ref="C1312:C1319"/>
    <mergeCell ref="C1320:C1323"/>
    <mergeCell ref="C1330:C1339"/>
    <mergeCell ref="C1341:C1343"/>
    <mergeCell ref="C1344:C1345"/>
    <mergeCell ref="C1028:C1034"/>
    <mergeCell ref="C1035:C1042"/>
    <mergeCell ref="C1043:C1046"/>
    <mergeCell ref="C1053:C1062"/>
    <mergeCell ref="C1064:C1066"/>
    <mergeCell ref="C1067:C1081"/>
    <mergeCell ref="C1082:C1097"/>
    <mergeCell ref="C1098:C1104"/>
    <mergeCell ref="C1105:C1112"/>
    <mergeCell ref="C1113:C1116"/>
    <mergeCell ref="C1123:C1132"/>
    <mergeCell ref="C1134:C1136"/>
    <mergeCell ref="C1137:C1151"/>
    <mergeCell ref="C1152:C1167"/>
    <mergeCell ref="C1168:C1173"/>
    <mergeCell ref="C1174:C1181"/>
    <mergeCell ref="C1182:C1185"/>
    <mergeCell ref="C1430:C1445"/>
    <mergeCell ref="C1446:C1451"/>
    <mergeCell ref="C1452:C1457"/>
    <mergeCell ref="C1458:C1461"/>
    <mergeCell ref="C1468:C1477"/>
    <mergeCell ref="C1479:C1480"/>
    <mergeCell ref="C1481:C1495"/>
    <mergeCell ref="C1496:C1511"/>
    <mergeCell ref="C1512:C1517"/>
    <mergeCell ref="C1518:C1523"/>
    <mergeCell ref="C1524:C1527"/>
    <mergeCell ref="C1534:C1543"/>
    <mergeCell ref="C1608:C1624"/>
    <mergeCell ref="C1625:C1640"/>
    <mergeCell ref="C1641:C1645"/>
    <mergeCell ref="C1646:C1649"/>
    <mergeCell ref="C1545:C1546"/>
    <mergeCell ref="C1547:C1561"/>
    <mergeCell ref="C1562:C1577"/>
    <mergeCell ref="C1578:C1583"/>
    <mergeCell ref="C1584:C1587"/>
    <mergeCell ref="C1588:C1591"/>
    <mergeCell ref="C1598:C1606"/>
    <mergeCell ref="C765:C772"/>
    <mergeCell ref="C773:C776"/>
    <mergeCell ref="C782:C791"/>
    <mergeCell ref="C793:C808"/>
    <mergeCell ref="C809:C824"/>
    <mergeCell ref="C825:C831"/>
    <mergeCell ref="C832:C839"/>
    <mergeCell ref="C840:C843"/>
    <mergeCell ref="C1346:C1360"/>
    <mergeCell ref="C1361:C1376"/>
    <mergeCell ref="C1377:C1382"/>
    <mergeCell ref="C1383:C1388"/>
    <mergeCell ref="C1389:C1392"/>
    <mergeCell ref="C1399:C1408"/>
    <mergeCell ref="C1410:C1412"/>
    <mergeCell ref="C1413:C1414"/>
    <mergeCell ref="C1415:C1429"/>
    <mergeCell ref="C849:C858"/>
    <mergeCell ref="C860:C875"/>
    <mergeCell ref="C876:C891"/>
    <mergeCell ref="C892:C898"/>
    <mergeCell ref="C899:C906"/>
    <mergeCell ref="C907:C910"/>
    <mergeCell ref="C917:C926"/>
    <mergeCell ref="C928:C943"/>
    <mergeCell ref="C944:C959"/>
    <mergeCell ref="C960:C966"/>
    <mergeCell ref="C967:C974"/>
    <mergeCell ref="C975:C978"/>
    <mergeCell ref="C985:C994"/>
    <mergeCell ref="C996:C1011"/>
    <mergeCell ref="C1012:C1027"/>
    <mergeCell ref="C567:C570"/>
    <mergeCell ref="C577:C588"/>
    <mergeCell ref="C590:C605"/>
    <mergeCell ref="C606:C621"/>
    <mergeCell ref="C622:C628"/>
    <mergeCell ref="C629:C636"/>
    <mergeCell ref="C637:C640"/>
    <mergeCell ref="C646:C657"/>
    <mergeCell ref="C659:C674"/>
    <mergeCell ref="C675:C690"/>
    <mergeCell ref="C691:C697"/>
    <mergeCell ref="C698:C705"/>
    <mergeCell ref="C706:C709"/>
    <mergeCell ref="C715:C724"/>
    <mergeCell ref="C726:C741"/>
    <mergeCell ref="C742:C757"/>
    <mergeCell ref="C758:C764"/>
    <mergeCell ref="C365:C376"/>
    <mergeCell ref="C378:C393"/>
    <mergeCell ref="C394:C409"/>
    <mergeCell ref="C410:C416"/>
    <mergeCell ref="C417:C424"/>
    <mergeCell ref="C425:C428"/>
    <mergeCell ref="C436:C447"/>
    <mergeCell ref="C449:C464"/>
    <mergeCell ref="C465:C480"/>
    <mergeCell ref="C481:C487"/>
    <mergeCell ref="C488:C495"/>
    <mergeCell ref="C496:C499"/>
    <mergeCell ref="C507:C518"/>
    <mergeCell ref="C520:C535"/>
    <mergeCell ref="C536:C551"/>
    <mergeCell ref="C552:C558"/>
    <mergeCell ref="C559:C566"/>
    <mergeCell ref="AN295:AN296"/>
    <mergeCell ref="AN298:AN299"/>
    <mergeCell ref="AN300:AN301"/>
    <mergeCell ref="AN302:AN303"/>
    <mergeCell ref="AN304:AN305"/>
    <mergeCell ref="AN309:AN310"/>
    <mergeCell ref="AN311:AN312"/>
    <mergeCell ref="AN315:AN316"/>
    <mergeCell ref="AN317:AN318"/>
    <mergeCell ref="AN321:AN322"/>
    <mergeCell ref="AN323:AN324"/>
    <mergeCell ref="AN325:AN326"/>
    <mergeCell ref="AN327:AN328"/>
    <mergeCell ref="AN329:AN330"/>
    <mergeCell ref="C283:C286"/>
    <mergeCell ref="C294:C305"/>
    <mergeCell ref="C307:C322"/>
    <mergeCell ref="C323:C338"/>
    <mergeCell ref="AN331:AN332"/>
    <mergeCell ref="AN333:AN334"/>
    <mergeCell ref="AN335:AN336"/>
    <mergeCell ref="AN337:AN338"/>
    <mergeCell ref="D295:D296"/>
    <mergeCell ref="D298:D299"/>
    <mergeCell ref="D300:D301"/>
    <mergeCell ref="D302:D303"/>
    <mergeCell ref="D304:D305"/>
    <mergeCell ref="D309:D310"/>
    <mergeCell ref="D311:D312"/>
    <mergeCell ref="D315:D316"/>
    <mergeCell ref="D317:D318"/>
    <mergeCell ref="D321:D322"/>
    <mergeCell ref="AN231:AN232"/>
    <mergeCell ref="AN233:AN234"/>
    <mergeCell ref="AN238:AN239"/>
    <mergeCell ref="AN240:AN241"/>
    <mergeCell ref="AN244:AN245"/>
    <mergeCell ref="AN246:AN247"/>
    <mergeCell ref="AN250:AN251"/>
    <mergeCell ref="AN252:AN253"/>
    <mergeCell ref="AN254:AN255"/>
    <mergeCell ref="AN256:AN257"/>
    <mergeCell ref="AN258:AN259"/>
    <mergeCell ref="AN260:AN261"/>
    <mergeCell ref="AA289:AG289"/>
    <mergeCell ref="AH289:AJ289"/>
    <mergeCell ref="F291:AJ291"/>
    <mergeCell ref="AN277:AN278"/>
    <mergeCell ref="AN279:AN280"/>
    <mergeCell ref="AN281:AN282"/>
    <mergeCell ref="AN283:AN284"/>
    <mergeCell ref="AN285:AN286"/>
    <mergeCell ref="M289:S289"/>
    <mergeCell ref="T289:Z289"/>
    <mergeCell ref="AN262:AN263"/>
    <mergeCell ref="AN264:AN265"/>
    <mergeCell ref="AN266:AN267"/>
    <mergeCell ref="AN269:AN270"/>
    <mergeCell ref="AN271:AN272"/>
    <mergeCell ref="AN273:AN274"/>
    <mergeCell ref="AN275:AN276"/>
    <mergeCell ref="AN129:AN130"/>
    <mergeCell ref="AN131:AN132"/>
    <mergeCell ref="AN133:AN134"/>
    <mergeCell ref="AN135:AN136"/>
    <mergeCell ref="AN137:AN138"/>
    <mergeCell ref="AN139:AN140"/>
    <mergeCell ref="AN141:AN142"/>
    <mergeCell ref="D224:D225"/>
    <mergeCell ref="D227:D228"/>
    <mergeCell ref="D229:D230"/>
    <mergeCell ref="F217:I217"/>
    <mergeCell ref="J217:P217"/>
    <mergeCell ref="Q217:W217"/>
    <mergeCell ref="X217:AD217"/>
    <mergeCell ref="C219:AN219"/>
    <mergeCell ref="F220:AJ220"/>
    <mergeCell ref="AN224:AN225"/>
    <mergeCell ref="AN227:AN228"/>
    <mergeCell ref="AN229:AN230"/>
    <mergeCell ref="D129:D130"/>
    <mergeCell ref="D131:D132"/>
    <mergeCell ref="D133:D134"/>
    <mergeCell ref="D135:D136"/>
    <mergeCell ref="D137:D138"/>
    <mergeCell ref="D139:D140"/>
    <mergeCell ref="D141:D142"/>
    <mergeCell ref="D151:D152"/>
    <mergeCell ref="D154:D155"/>
    <mergeCell ref="D156:D157"/>
    <mergeCell ref="D158:D159"/>
    <mergeCell ref="D160:D161"/>
    <mergeCell ref="D163:D164"/>
    <mergeCell ref="AN50:AN51"/>
    <mergeCell ref="AN53:AN54"/>
    <mergeCell ref="AN55:AN56"/>
    <mergeCell ref="AN57:AN58"/>
    <mergeCell ref="AN59:AN60"/>
    <mergeCell ref="AN61:AN62"/>
    <mergeCell ref="AN63:AN64"/>
    <mergeCell ref="AN79:AN80"/>
    <mergeCell ref="AN82:AN83"/>
    <mergeCell ref="AN84:AN85"/>
    <mergeCell ref="AN86:AN87"/>
    <mergeCell ref="AN88:AN89"/>
    <mergeCell ref="AN91:AN92"/>
    <mergeCell ref="AN94:AN95"/>
    <mergeCell ref="AN96:AN97"/>
    <mergeCell ref="AN100:AN101"/>
    <mergeCell ref="AN102:AN103"/>
    <mergeCell ref="AN205:AN206"/>
    <mergeCell ref="AN207:AN208"/>
    <mergeCell ref="AN209:AN210"/>
    <mergeCell ref="AN211:AN212"/>
    <mergeCell ref="AN213:AN214"/>
    <mergeCell ref="AE217:AJ217"/>
    <mergeCell ref="AN186:AN187"/>
    <mergeCell ref="AN188:AN189"/>
    <mergeCell ref="AN190:AN191"/>
    <mergeCell ref="AN192:AN193"/>
    <mergeCell ref="AN194:AN195"/>
    <mergeCell ref="AN197:AN198"/>
    <mergeCell ref="AN199:AN200"/>
    <mergeCell ref="AN65:AN66"/>
    <mergeCell ref="AN67:AN68"/>
    <mergeCell ref="AN69:AN70"/>
    <mergeCell ref="AB73:AH73"/>
    <mergeCell ref="AI73:AJ73"/>
    <mergeCell ref="F75:AJ75"/>
    <mergeCell ref="AN106:AN107"/>
    <mergeCell ref="AN108:AN109"/>
    <mergeCell ref="AN110:AN111"/>
    <mergeCell ref="AN112:AN113"/>
    <mergeCell ref="AN114:AN115"/>
    <mergeCell ref="AN116:AN117"/>
    <mergeCell ref="AN118:AN119"/>
    <mergeCell ref="AN120:AN121"/>
    <mergeCell ref="AN122:AN123"/>
    <mergeCell ref="AN125:AN126"/>
    <mergeCell ref="AN127:AN128"/>
    <mergeCell ref="AB145:AG145"/>
    <mergeCell ref="F147:AJ147"/>
    <mergeCell ref="U145:AA145"/>
    <mergeCell ref="AN151:AN152"/>
    <mergeCell ref="AN154:AN155"/>
    <mergeCell ref="AN156:AN157"/>
    <mergeCell ref="AN158:AN159"/>
    <mergeCell ref="AN160:AN161"/>
    <mergeCell ref="AN163:AN164"/>
    <mergeCell ref="AN166:AN167"/>
    <mergeCell ref="AN168:AN169"/>
    <mergeCell ref="AN172:AN173"/>
    <mergeCell ref="AN174:AN175"/>
    <mergeCell ref="AN178:AN179"/>
    <mergeCell ref="AN180:AN181"/>
    <mergeCell ref="AN182:AN183"/>
    <mergeCell ref="AN184:AN185"/>
    <mergeCell ref="AN201:AN202"/>
    <mergeCell ref="AN203:AN204"/>
    <mergeCell ref="D61:D62"/>
    <mergeCell ref="D79:D80"/>
    <mergeCell ref="D82:D83"/>
    <mergeCell ref="D84:D85"/>
    <mergeCell ref="D86:D87"/>
    <mergeCell ref="D88:D89"/>
    <mergeCell ref="D91:D92"/>
    <mergeCell ref="D94:D95"/>
    <mergeCell ref="D96:D97"/>
    <mergeCell ref="D100:D101"/>
    <mergeCell ref="D102:D103"/>
    <mergeCell ref="D106:D107"/>
    <mergeCell ref="D108:D109"/>
    <mergeCell ref="D110:D111"/>
    <mergeCell ref="D112:D113"/>
    <mergeCell ref="G145:M145"/>
    <mergeCell ref="N145:T145"/>
    <mergeCell ref="D114:D115"/>
    <mergeCell ref="D116:D117"/>
    <mergeCell ref="D118:D119"/>
    <mergeCell ref="D120:D121"/>
    <mergeCell ref="D122:D123"/>
    <mergeCell ref="D125:D126"/>
    <mergeCell ref="D127:D128"/>
    <mergeCell ref="C108:C123"/>
    <mergeCell ref="C124:C130"/>
    <mergeCell ref="C131:C138"/>
    <mergeCell ref="C139:C142"/>
    <mergeCell ref="C150:C161"/>
    <mergeCell ref="C163:C179"/>
    <mergeCell ref="C180:C195"/>
    <mergeCell ref="C196:C202"/>
    <mergeCell ref="D273:D274"/>
    <mergeCell ref="F289:L289"/>
    <mergeCell ref="F360:G360"/>
    <mergeCell ref="H360:N360"/>
    <mergeCell ref="C203:C210"/>
    <mergeCell ref="C211:C214"/>
    <mergeCell ref="C223:C234"/>
    <mergeCell ref="C236:C251"/>
    <mergeCell ref="C252:C267"/>
    <mergeCell ref="C268:C274"/>
    <mergeCell ref="D271:D272"/>
    <mergeCell ref="C339:C345"/>
    <mergeCell ref="C346:C353"/>
    <mergeCell ref="C354:C357"/>
    <mergeCell ref="D166:D167"/>
    <mergeCell ref="D168:D169"/>
    <mergeCell ref="D172:D173"/>
    <mergeCell ref="D174:D175"/>
    <mergeCell ref="D178:D179"/>
    <mergeCell ref="D180:D181"/>
    <mergeCell ref="D182:D183"/>
    <mergeCell ref="D184:D185"/>
    <mergeCell ref="D186:D187"/>
    <mergeCell ref="D188:D189"/>
    <mergeCell ref="D38:D39"/>
    <mergeCell ref="D40:D41"/>
    <mergeCell ref="D42:D43"/>
    <mergeCell ref="D44:D45"/>
    <mergeCell ref="AN36:AN37"/>
    <mergeCell ref="AN38:AN39"/>
    <mergeCell ref="AN40:AN41"/>
    <mergeCell ref="AN42:AN43"/>
    <mergeCell ref="AN44:AN45"/>
    <mergeCell ref="AN46:AN47"/>
    <mergeCell ref="AN48:AN49"/>
    <mergeCell ref="C36:C51"/>
    <mergeCell ref="C52:C58"/>
    <mergeCell ref="C59:C66"/>
    <mergeCell ref="C67:C70"/>
    <mergeCell ref="C78:C89"/>
    <mergeCell ref="C91:C107"/>
    <mergeCell ref="D36:D37"/>
    <mergeCell ref="D50:D51"/>
    <mergeCell ref="D63:D64"/>
    <mergeCell ref="D65:D66"/>
    <mergeCell ref="D67:D68"/>
    <mergeCell ref="D69:D70"/>
    <mergeCell ref="G73:M73"/>
    <mergeCell ref="N73:T73"/>
    <mergeCell ref="U73:AA73"/>
    <mergeCell ref="D46:D47"/>
    <mergeCell ref="D48:D49"/>
    <mergeCell ref="D53:D54"/>
    <mergeCell ref="D55:D56"/>
    <mergeCell ref="D57:D58"/>
    <mergeCell ref="D59:D60"/>
    <mergeCell ref="D12:D13"/>
    <mergeCell ref="D14:D15"/>
    <mergeCell ref="F3:AJ3"/>
    <mergeCell ref="C6:C17"/>
    <mergeCell ref="D7:D8"/>
    <mergeCell ref="AN7:AN8"/>
    <mergeCell ref="AN10:AN11"/>
    <mergeCell ref="AN12:AN13"/>
    <mergeCell ref="AN14:AN15"/>
    <mergeCell ref="D30:D31"/>
    <mergeCell ref="D34:D35"/>
    <mergeCell ref="AN16:AN17"/>
    <mergeCell ref="AN19:AN20"/>
    <mergeCell ref="AN22:AN23"/>
    <mergeCell ref="AN24:AN25"/>
    <mergeCell ref="AN28:AN29"/>
    <mergeCell ref="AN30:AN31"/>
    <mergeCell ref="AN34:AN35"/>
    <mergeCell ref="D28:D29"/>
    <mergeCell ref="D10:D11"/>
    <mergeCell ref="D16:D17"/>
    <mergeCell ref="C19:C35"/>
    <mergeCell ref="D19:D20"/>
    <mergeCell ref="D22:D23"/>
    <mergeCell ref="D24:D25"/>
  </mergeCells>
  <conditionalFormatting sqref="AR1579">
    <cfRule type="notContainsBlanks" dxfId="13" priority="1">
      <formula>LEN(TRIM(AR1579))&gt;0</formula>
    </cfRule>
  </conditionalFormatting>
  <conditionalFormatting sqref="AN809:AN810 AN876:AN877 AN944:AN945 AN1012:AN1013 AN1082:AN1083 AN1152:AN1153 AN1221:AN1222 AN1290:AN1291 AN1361:AN1362 AN1430:AN1431">
    <cfRule type="cellIs" dxfId="12" priority="2" operator="greaterThanOrEqual">
      <formula>200</formula>
    </cfRule>
  </conditionalFormatting>
  <conditionalFormatting sqref="AN811:AN812 AN878:AN879 AN946:AN947 AN1014:AN1015 AN1084:AN1085 AN1154:AN1155 AN1223:AN1224 AN1292:AN1293 AN1363:AN1364 AN1432:AN1433">
    <cfRule type="cellIs" dxfId="11" priority="3" operator="greaterThanOrEqual">
      <formula>100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229"/>
  <sheetViews>
    <sheetView workbookViewId="0">
      <pane ySplit="1" topLeftCell="A2" activePane="bottomLeft" state="frozen"/>
      <selection pane="bottomLeft" activeCell="B3" sqref="B3:H3"/>
    </sheetView>
  </sheetViews>
  <sheetFormatPr defaultColWidth="12.5703125" defaultRowHeight="15.75" customHeight="1" x14ac:dyDescent="0.2"/>
  <cols>
    <col min="1" max="1" width="4.28515625" customWidth="1"/>
    <col min="2" max="2" width="7.42578125" customWidth="1"/>
    <col min="3" max="3" width="8" customWidth="1"/>
    <col min="4" max="4" width="8.28515625" customWidth="1"/>
    <col min="5" max="5" width="8.42578125" customWidth="1"/>
    <col min="6" max="6" width="8" customWidth="1"/>
    <col min="7" max="7" width="7.42578125" customWidth="1"/>
    <col min="8" max="8" width="8" customWidth="1"/>
    <col min="9" max="9" width="14.28515625" customWidth="1"/>
    <col min="10" max="10" width="15.140625" customWidth="1"/>
    <col min="11" max="11" width="13.42578125" customWidth="1"/>
  </cols>
  <sheetData>
    <row r="1" spans="1:25" x14ac:dyDescent="0.2">
      <c r="A1" s="456"/>
      <c r="B1" s="457" t="s">
        <v>11</v>
      </c>
      <c r="C1" s="457" t="s">
        <v>12</v>
      </c>
      <c r="D1" s="457" t="s">
        <v>13</v>
      </c>
      <c r="E1" s="457" t="s">
        <v>14</v>
      </c>
      <c r="F1" s="457" t="s">
        <v>15</v>
      </c>
      <c r="G1" s="457" t="s">
        <v>16</v>
      </c>
      <c r="H1" s="457" t="s">
        <v>10</v>
      </c>
      <c r="I1" s="458" t="s">
        <v>101</v>
      </c>
      <c r="J1" s="459" t="s">
        <v>102</v>
      </c>
      <c r="K1" s="460" t="s">
        <v>23</v>
      </c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</row>
    <row r="2" spans="1:25" ht="15.75" customHeight="1" x14ac:dyDescent="0.4">
      <c r="A2" s="461"/>
      <c r="B2" s="462"/>
      <c r="C2" s="462"/>
      <c r="D2" s="462"/>
      <c r="E2" s="462"/>
      <c r="F2" s="462"/>
      <c r="G2" s="462"/>
      <c r="H2" s="462"/>
      <c r="I2" s="463"/>
      <c r="J2" s="463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</row>
    <row r="3" spans="1:25" ht="15.75" customHeight="1" x14ac:dyDescent="0.4">
      <c r="A3" s="461"/>
      <c r="B3" s="654" t="s">
        <v>103</v>
      </c>
      <c r="C3" s="655"/>
      <c r="D3" s="655"/>
      <c r="E3" s="655"/>
      <c r="F3" s="655"/>
      <c r="G3" s="655"/>
      <c r="H3" s="656"/>
      <c r="I3" s="3"/>
      <c r="J3" s="3"/>
      <c r="K3" s="3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</row>
    <row r="4" spans="1:25" ht="15.75" customHeight="1" x14ac:dyDescent="0.4">
      <c r="A4" s="461"/>
      <c r="B4" s="464">
        <v>23</v>
      </c>
      <c r="C4" s="465">
        <v>24</v>
      </c>
      <c r="D4" s="465">
        <v>25</v>
      </c>
      <c r="E4" s="465">
        <v>26</v>
      </c>
      <c r="F4" s="465">
        <v>27</v>
      </c>
      <c r="G4" s="465">
        <v>28</v>
      </c>
      <c r="H4" s="466">
        <v>1</v>
      </c>
      <c r="I4" s="3"/>
      <c r="J4" s="3"/>
      <c r="K4" s="3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</row>
    <row r="5" spans="1:25" ht="15.75" customHeight="1" x14ac:dyDescent="0.4">
      <c r="A5" s="461"/>
      <c r="B5" s="467">
        <v>69.5</v>
      </c>
      <c r="C5" s="468">
        <v>40</v>
      </c>
      <c r="D5" s="468">
        <v>0</v>
      </c>
      <c r="E5" s="468">
        <v>63.86</v>
      </c>
      <c r="F5" s="468">
        <v>0</v>
      </c>
      <c r="G5" s="468">
        <v>119.65</v>
      </c>
      <c r="H5" s="469">
        <v>44.36</v>
      </c>
      <c r="I5" s="470">
        <f>SUM(B5:H5)</f>
        <v>337.37</v>
      </c>
      <c r="J5" s="471">
        <f>150-I5</f>
        <v>-187.37</v>
      </c>
      <c r="K5" s="657">
        <f>1806-SUM(I5:I13)-97-64-15</f>
        <v>1292.6300000000001</v>
      </c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</row>
    <row r="6" spans="1:25" ht="15.75" customHeight="1" x14ac:dyDescent="0.4">
      <c r="A6" s="461"/>
      <c r="B6" s="472">
        <v>2</v>
      </c>
      <c r="C6" s="473">
        <v>3</v>
      </c>
      <c r="D6" s="473">
        <v>4</v>
      </c>
      <c r="E6" s="473">
        <v>5</v>
      </c>
      <c r="F6" s="473">
        <v>6</v>
      </c>
      <c r="G6" s="473">
        <v>7</v>
      </c>
      <c r="H6" s="474">
        <v>8</v>
      </c>
      <c r="I6" s="3"/>
      <c r="J6" s="3"/>
      <c r="K6" s="658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</row>
    <row r="7" spans="1:25" ht="15.75" customHeight="1" x14ac:dyDescent="0.4">
      <c r="A7" s="461"/>
      <c r="B7" s="475"/>
      <c r="C7" s="476"/>
      <c r="D7" s="476"/>
      <c r="E7" s="476"/>
      <c r="F7" s="476"/>
      <c r="G7" s="476"/>
      <c r="H7" s="477"/>
      <c r="I7" s="470">
        <f>SUM(B7:H7)</f>
        <v>0</v>
      </c>
      <c r="J7" s="471">
        <f>150-I7</f>
        <v>150</v>
      </c>
      <c r="K7" s="658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</row>
    <row r="8" spans="1:25" ht="15.75" customHeight="1" x14ac:dyDescent="0.4">
      <c r="A8" s="461"/>
      <c r="B8" s="472">
        <v>9</v>
      </c>
      <c r="C8" s="473">
        <v>10</v>
      </c>
      <c r="D8" s="473">
        <v>11</v>
      </c>
      <c r="E8" s="473">
        <v>12</v>
      </c>
      <c r="F8" s="473">
        <v>13</v>
      </c>
      <c r="G8" s="473">
        <v>14</v>
      </c>
      <c r="H8" s="474">
        <v>15</v>
      </c>
      <c r="I8" s="3"/>
      <c r="J8" s="3"/>
      <c r="K8" s="658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</row>
    <row r="9" spans="1:25" ht="15.75" customHeight="1" x14ac:dyDescent="0.4">
      <c r="A9" s="461"/>
      <c r="B9" s="475"/>
      <c r="C9" s="476"/>
      <c r="D9" s="476"/>
      <c r="E9" s="476"/>
      <c r="F9" s="476"/>
      <c r="G9" s="476"/>
      <c r="H9" s="477"/>
      <c r="I9" s="470">
        <f>SUM(B9:H9)</f>
        <v>0</v>
      </c>
      <c r="J9" s="471">
        <f>150-I9</f>
        <v>150</v>
      </c>
      <c r="K9" s="658"/>
      <c r="L9" s="461"/>
      <c r="M9" s="461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</row>
    <row r="10" spans="1:25" ht="15.75" customHeight="1" x14ac:dyDescent="0.4">
      <c r="A10" s="461"/>
      <c r="B10" s="472">
        <v>16</v>
      </c>
      <c r="C10" s="473">
        <v>17</v>
      </c>
      <c r="D10" s="473">
        <v>18</v>
      </c>
      <c r="E10" s="473">
        <v>19</v>
      </c>
      <c r="F10" s="473">
        <v>20</v>
      </c>
      <c r="G10" s="473">
        <v>21</v>
      </c>
      <c r="H10" s="474">
        <v>22</v>
      </c>
      <c r="I10" s="3"/>
      <c r="J10" s="3"/>
      <c r="K10" s="658"/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</row>
    <row r="11" spans="1:25" ht="15.75" customHeight="1" x14ac:dyDescent="0.4">
      <c r="A11" s="461"/>
      <c r="B11" s="475"/>
      <c r="C11" s="476"/>
      <c r="D11" s="476"/>
      <c r="E11" s="476"/>
      <c r="F11" s="476"/>
      <c r="G11" s="476"/>
      <c r="H11" s="477"/>
      <c r="I11" s="470">
        <f>SUM(B11:H11)</f>
        <v>0</v>
      </c>
      <c r="J11" s="471">
        <f>150-I11</f>
        <v>150</v>
      </c>
      <c r="K11" s="658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</row>
    <row r="12" spans="1:25" ht="15.75" customHeight="1" x14ac:dyDescent="0.4">
      <c r="A12" s="461"/>
      <c r="B12" s="472">
        <v>23</v>
      </c>
      <c r="C12" s="473">
        <v>24</v>
      </c>
      <c r="D12" s="473">
        <v>25</v>
      </c>
      <c r="E12" s="473">
        <v>26</v>
      </c>
      <c r="F12" s="473">
        <v>27</v>
      </c>
      <c r="G12" s="478">
        <v>28</v>
      </c>
      <c r="H12" s="466">
        <v>29</v>
      </c>
      <c r="I12" s="3"/>
      <c r="J12" s="3"/>
      <c r="K12" s="658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</row>
    <row r="13" spans="1:25" ht="15.75" customHeight="1" x14ac:dyDescent="0.4">
      <c r="A13" s="461"/>
      <c r="B13" s="475"/>
      <c r="C13" s="476"/>
      <c r="D13" s="476"/>
      <c r="E13" s="476"/>
      <c r="F13" s="476"/>
      <c r="G13" s="476"/>
      <c r="H13" s="479"/>
      <c r="I13" s="470">
        <f>SUM(B13:H13)</f>
        <v>0</v>
      </c>
      <c r="J13" s="471">
        <f>150-I13</f>
        <v>150</v>
      </c>
      <c r="K13" s="658"/>
      <c r="L13" s="461"/>
      <c r="M13" s="461"/>
      <c r="N13" s="461"/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1"/>
    </row>
    <row r="14" spans="1:25" ht="15.75" customHeight="1" x14ac:dyDescent="0.4">
      <c r="A14" s="461"/>
      <c r="B14" s="472">
        <v>30</v>
      </c>
      <c r="C14" s="473">
        <v>31</v>
      </c>
      <c r="D14" s="465">
        <v>1</v>
      </c>
      <c r="E14" s="465">
        <v>2</v>
      </c>
      <c r="F14" s="465">
        <v>3</v>
      </c>
      <c r="G14" s="465">
        <v>4</v>
      </c>
      <c r="H14" s="480">
        <v>5</v>
      </c>
      <c r="I14" s="3"/>
      <c r="J14" s="3"/>
      <c r="K14" s="658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V14" s="461"/>
      <c r="W14" s="461"/>
      <c r="X14" s="461"/>
      <c r="Y14" s="461"/>
    </row>
    <row r="15" spans="1:25" ht="15.75" customHeight="1" x14ac:dyDescent="0.4">
      <c r="A15" s="461"/>
      <c r="B15" s="481"/>
      <c r="C15" s="482"/>
      <c r="D15" s="483"/>
      <c r="E15" s="483"/>
      <c r="F15" s="483"/>
      <c r="G15" s="483"/>
      <c r="H15" s="484"/>
      <c r="I15" s="470">
        <f>SUM(B15:H15)</f>
        <v>0</v>
      </c>
      <c r="J15" s="471">
        <f>150-I15</f>
        <v>150</v>
      </c>
      <c r="K15" s="659"/>
      <c r="L15" s="461"/>
      <c r="M15" s="461"/>
      <c r="N15" s="461"/>
      <c r="O15" s="461"/>
      <c r="P15" s="461"/>
      <c r="Q15" s="461"/>
      <c r="R15" s="461"/>
      <c r="S15" s="461"/>
      <c r="T15" s="461"/>
      <c r="U15" s="461"/>
      <c r="V15" s="461"/>
      <c r="W15" s="461"/>
      <c r="X15" s="461"/>
      <c r="Y15" s="461"/>
    </row>
    <row r="16" spans="1:25" ht="15.75" customHeight="1" x14ac:dyDescent="0.4">
      <c r="A16" s="461"/>
      <c r="B16" s="462"/>
      <c r="C16" s="462"/>
      <c r="D16" s="462"/>
      <c r="E16" s="462"/>
      <c r="F16" s="462"/>
      <c r="G16" s="462"/>
      <c r="H16" s="462"/>
      <c r="I16" s="463"/>
      <c r="J16" s="463"/>
      <c r="K16" s="461"/>
      <c r="L16" s="461"/>
      <c r="M16" s="461"/>
      <c r="N16" s="461"/>
      <c r="O16" s="461"/>
      <c r="P16" s="461"/>
      <c r="Q16" s="461"/>
      <c r="R16" s="461"/>
      <c r="S16" s="461"/>
      <c r="T16" s="461"/>
      <c r="U16" s="461"/>
      <c r="V16" s="461"/>
      <c r="W16" s="461"/>
      <c r="X16" s="461"/>
      <c r="Y16" s="461"/>
    </row>
    <row r="17" spans="1:25" ht="15.75" customHeight="1" x14ac:dyDescent="0.4">
      <c r="A17" s="461"/>
      <c r="B17" s="654" t="s">
        <v>67</v>
      </c>
      <c r="C17" s="655"/>
      <c r="D17" s="655"/>
      <c r="E17" s="655"/>
      <c r="F17" s="655"/>
      <c r="G17" s="655"/>
      <c r="H17" s="656"/>
      <c r="I17" s="3"/>
      <c r="J17" s="3"/>
      <c r="K17" s="3"/>
      <c r="L17" s="461"/>
      <c r="M17" s="461"/>
      <c r="N17" s="461"/>
      <c r="O17" s="461"/>
      <c r="P17" s="461"/>
      <c r="Q17" s="461"/>
      <c r="R17" s="461"/>
      <c r="S17" s="461"/>
      <c r="T17" s="461"/>
      <c r="U17" s="461"/>
      <c r="V17" s="461"/>
      <c r="W17" s="461"/>
      <c r="X17" s="461"/>
      <c r="Y17" s="461"/>
    </row>
    <row r="18" spans="1:25" ht="15.75" customHeight="1" x14ac:dyDescent="0.4">
      <c r="A18" s="461"/>
      <c r="B18" s="464">
        <v>26</v>
      </c>
      <c r="C18" s="465">
        <v>27</v>
      </c>
      <c r="D18" s="465">
        <v>28</v>
      </c>
      <c r="E18" s="465">
        <v>29</v>
      </c>
      <c r="F18" s="465">
        <v>30</v>
      </c>
      <c r="G18" s="465">
        <v>31</v>
      </c>
      <c r="H18" s="466">
        <v>1</v>
      </c>
      <c r="I18" s="3"/>
      <c r="J18" s="3"/>
      <c r="K18" s="3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1"/>
      <c r="X18" s="461"/>
      <c r="Y18" s="461"/>
    </row>
    <row r="19" spans="1:25" ht="15.75" customHeight="1" x14ac:dyDescent="0.4">
      <c r="A19" s="461"/>
      <c r="B19" s="467">
        <v>17.53</v>
      </c>
      <c r="C19" s="468">
        <v>45.35</v>
      </c>
      <c r="D19" s="468">
        <v>42.41</v>
      </c>
      <c r="E19" s="468">
        <v>72.47</v>
      </c>
      <c r="F19" s="468">
        <v>37.74</v>
      </c>
      <c r="G19" s="468">
        <v>0</v>
      </c>
      <c r="H19" s="469">
        <v>0</v>
      </c>
      <c r="I19" s="470">
        <f>SUM(B19:H19)</f>
        <v>215.5</v>
      </c>
      <c r="J19" s="471">
        <f>150-I19</f>
        <v>-65.5</v>
      </c>
      <c r="K19" s="657">
        <f>1806-SUM(I19:I27)-97-64</f>
        <v>-191.73999999999978</v>
      </c>
      <c r="L19" s="461"/>
      <c r="M19" s="461"/>
      <c r="N19" s="461"/>
      <c r="O19" s="461"/>
      <c r="P19" s="461"/>
      <c r="Q19" s="461"/>
      <c r="R19" s="461"/>
      <c r="S19" s="461"/>
      <c r="T19" s="461"/>
      <c r="U19" s="461"/>
      <c r="V19" s="461"/>
      <c r="W19" s="461"/>
      <c r="X19" s="461"/>
      <c r="Y19" s="461"/>
    </row>
    <row r="20" spans="1:25" ht="15.75" customHeight="1" x14ac:dyDescent="0.4">
      <c r="A20" s="461"/>
      <c r="B20" s="472">
        <v>2</v>
      </c>
      <c r="C20" s="473">
        <v>3</v>
      </c>
      <c r="D20" s="473">
        <v>4</v>
      </c>
      <c r="E20" s="473">
        <v>5</v>
      </c>
      <c r="F20" s="473">
        <v>6</v>
      </c>
      <c r="G20" s="473">
        <v>7</v>
      </c>
      <c r="H20" s="466">
        <v>8</v>
      </c>
      <c r="I20" s="3"/>
      <c r="J20" s="3"/>
      <c r="K20" s="658"/>
      <c r="L20" s="461"/>
      <c r="M20" s="461"/>
      <c r="N20" s="461"/>
      <c r="O20" s="461"/>
      <c r="P20" s="461"/>
      <c r="Q20" s="461"/>
      <c r="R20" s="461"/>
      <c r="S20" s="461"/>
      <c r="T20" s="461"/>
      <c r="U20" s="461"/>
      <c r="V20" s="461"/>
      <c r="W20" s="461"/>
      <c r="X20" s="461"/>
      <c r="Y20" s="461"/>
    </row>
    <row r="21" spans="1:25" ht="15.75" customHeight="1" x14ac:dyDescent="0.4">
      <c r="A21" s="461"/>
      <c r="B21" s="485">
        <v>38.57</v>
      </c>
      <c r="C21" s="486">
        <v>0</v>
      </c>
      <c r="D21" s="486">
        <v>16.47</v>
      </c>
      <c r="E21" s="486">
        <v>714.28</v>
      </c>
      <c r="F21" s="486">
        <v>0</v>
      </c>
      <c r="G21" s="486">
        <v>27.8</v>
      </c>
      <c r="H21" s="469">
        <v>21.57</v>
      </c>
      <c r="I21" s="470">
        <f>SUM(B21:H21)</f>
        <v>818.68999999999994</v>
      </c>
      <c r="J21" s="471">
        <f>150-I21</f>
        <v>-668.68999999999994</v>
      </c>
      <c r="K21" s="658"/>
      <c r="L21" s="461"/>
      <c r="M21" s="461"/>
      <c r="N21" s="461"/>
      <c r="O21" s="461"/>
      <c r="P21" s="461"/>
      <c r="Q21" s="461"/>
      <c r="R21" s="461"/>
      <c r="S21" s="461"/>
      <c r="T21" s="461"/>
      <c r="U21" s="461"/>
      <c r="V21" s="461"/>
      <c r="W21" s="461"/>
      <c r="X21" s="461"/>
      <c r="Y21" s="461"/>
    </row>
    <row r="22" spans="1:25" ht="15.75" customHeight="1" x14ac:dyDescent="0.4">
      <c r="A22" s="461"/>
      <c r="B22" s="472">
        <v>9</v>
      </c>
      <c r="C22" s="473">
        <v>10</v>
      </c>
      <c r="D22" s="473">
        <v>11</v>
      </c>
      <c r="E22" s="473">
        <v>12</v>
      </c>
      <c r="F22" s="473">
        <v>13</v>
      </c>
      <c r="G22" s="473">
        <v>14</v>
      </c>
      <c r="H22" s="474">
        <v>15</v>
      </c>
      <c r="I22" s="3"/>
      <c r="J22" s="3"/>
      <c r="K22" s="658"/>
      <c r="L22" s="461"/>
      <c r="M22" s="461"/>
      <c r="N22" s="461"/>
      <c r="O22" s="461"/>
      <c r="P22" s="461"/>
      <c r="Q22" s="461"/>
      <c r="R22" s="461"/>
      <c r="S22" s="461"/>
      <c r="T22" s="461"/>
      <c r="U22" s="461"/>
      <c r="V22" s="461"/>
      <c r="W22" s="461"/>
      <c r="X22" s="461"/>
      <c r="Y22" s="461"/>
    </row>
    <row r="23" spans="1:25" ht="15.75" customHeight="1" x14ac:dyDescent="0.4">
      <c r="A23" s="461"/>
      <c r="B23" s="485">
        <v>29.72</v>
      </c>
      <c r="C23" s="486">
        <v>23.74</v>
      </c>
      <c r="D23" s="486">
        <v>0</v>
      </c>
      <c r="E23" s="486">
        <v>0</v>
      </c>
      <c r="F23" s="486">
        <v>31.98</v>
      </c>
      <c r="G23" s="486">
        <v>38.61</v>
      </c>
      <c r="H23" s="487">
        <v>80.55</v>
      </c>
      <c r="I23" s="470">
        <f>SUM(B23:H23)</f>
        <v>204.6</v>
      </c>
      <c r="J23" s="471">
        <f>150-I23</f>
        <v>-54.599999999999994</v>
      </c>
      <c r="K23" s="658"/>
      <c r="L23" s="461"/>
      <c r="M23" s="461"/>
      <c r="N23" s="461"/>
      <c r="O23" s="461"/>
      <c r="P23" s="461"/>
      <c r="Q23" s="461"/>
      <c r="R23" s="461"/>
      <c r="S23" s="461"/>
      <c r="T23" s="461"/>
      <c r="U23" s="461"/>
      <c r="V23" s="461"/>
      <c r="W23" s="461"/>
      <c r="X23" s="461"/>
      <c r="Y23" s="461"/>
    </row>
    <row r="24" spans="1:25" ht="15.75" customHeight="1" x14ac:dyDescent="0.4">
      <c r="A24" s="461"/>
      <c r="B24" s="472">
        <v>16</v>
      </c>
      <c r="C24" s="473">
        <v>17</v>
      </c>
      <c r="D24" s="473">
        <v>18</v>
      </c>
      <c r="E24" s="473">
        <v>19</v>
      </c>
      <c r="F24" s="473">
        <v>20</v>
      </c>
      <c r="G24" s="473">
        <v>21</v>
      </c>
      <c r="H24" s="474">
        <v>22</v>
      </c>
      <c r="I24" s="3"/>
      <c r="J24" s="3"/>
      <c r="K24" s="658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X24" s="461"/>
      <c r="Y24" s="461"/>
    </row>
    <row r="25" spans="1:25" ht="15.75" customHeight="1" x14ac:dyDescent="0.4">
      <c r="A25" s="461"/>
      <c r="B25" s="485">
        <v>7.97</v>
      </c>
      <c r="C25" s="486">
        <v>31.02</v>
      </c>
      <c r="D25" s="486">
        <v>0</v>
      </c>
      <c r="E25" s="486">
        <v>0</v>
      </c>
      <c r="F25" s="486">
        <v>87.26</v>
      </c>
      <c r="G25" s="486">
        <v>122</v>
      </c>
      <c r="H25" s="487">
        <v>12.33</v>
      </c>
      <c r="I25" s="470">
        <f>SUM(B25:H25)</f>
        <v>260.58</v>
      </c>
      <c r="J25" s="471">
        <f>150-I25</f>
        <v>-110.57999999999998</v>
      </c>
      <c r="K25" s="658"/>
      <c r="L25" s="461"/>
      <c r="M25" s="461"/>
      <c r="N25" s="461"/>
      <c r="O25" s="461"/>
      <c r="P25" s="461"/>
      <c r="Q25" s="461"/>
      <c r="R25" s="461"/>
      <c r="S25" s="461"/>
      <c r="T25" s="461"/>
      <c r="U25" s="461"/>
      <c r="V25" s="461"/>
      <c r="W25" s="461"/>
      <c r="X25" s="461"/>
      <c r="Y25" s="461"/>
    </row>
    <row r="26" spans="1:25" ht="15.75" customHeight="1" x14ac:dyDescent="0.4">
      <c r="A26" s="461"/>
      <c r="B26" s="472">
        <v>23</v>
      </c>
      <c r="C26" s="473">
        <v>24</v>
      </c>
      <c r="D26" s="473">
        <v>25</v>
      </c>
      <c r="E26" s="473">
        <v>26</v>
      </c>
      <c r="F26" s="473">
        <v>27</v>
      </c>
      <c r="G26" s="473">
        <v>28</v>
      </c>
      <c r="H26" s="480">
        <v>1</v>
      </c>
      <c r="I26" s="3"/>
      <c r="J26" s="3"/>
      <c r="K26" s="658"/>
      <c r="L26" s="461"/>
      <c r="M26" s="461"/>
      <c r="N26" s="461"/>
      <c r="O26" s="461"/>
      <c r="P26" s="461"/>
      <c r="Q26" s="461"/>
      <c r="R26" s="461"/>
      <c r="S26" s="461"/>
      <c r="T26" s="461"/>
      <c r="U26" s="461"/>
      <c r="V26" s="461"/>
      <c r="W26" s="461"/>
      <c r="X26" s="461"/>
      <c r="Y26" s="461"/>
    </row>
    <row r="27" spans="1:25" ht="15.75" customHeight="1" x14ac:dyDescent="0.4">
      <c r="A27" s="461"/>
      <c r="B27" s="488">
        <v>69.5</v>
      </c>
      <c r="C27" s="489">
        <v>40</v>
      </c>
      <c r="D27" s="489">
        <v>0</v>
      </c>
      <c r="E27" s="489">
        <v>63.86</v>
      </c>
      <c r="F27" s="489">
        <v>0</v>
      </c>
      <c r="G27" s="489">
        <v>119.65</v>
      </c>
      <c r="H27" s="490">
        <v>44.36</v>
      </c>
      <c r="I27" s="491">
        <f>SUM(B27:H27)</f>
        <v>337.37</v>
      </c>
      <c r="J27" s="492">
        <f>150-I27</f>
        <v>-187.37</v>
      </c>
      <c r="K27" s="659"/>
      <c r="L27" s="461"/>
      <c r="M27" s="461"/>
      <c r="N27" s="461"/>
      <c r="O27" s="461"/>
      <c r="P27" s="461"/>
      <c r="Q27" s="461"/>
      <c r="R27" s="461"/>
      <c r="S27" s="461"/>
      <c r="T27" s="461"/>
      <c r="U27" s="461"/>
      <c r="V27" s="461"/>
      <c r="W27" s="461"/>
      <c r="X27" s="461"/>
      <c r="Y27" s="461"/>
    </row>
    <row r="28" spans="1:25" ht="15.75" customHeight="1" x14ac:dyDescent="0.4">
      <c r="A28" s="461"/>
      <c r="B28" s="462"/>
      <c r="C28" s="462"/>
      <c r="D28" s="462"/>
      <c r="E28" s="462"/>
      <c r="F28" s="462"/>
      <c r="G28" s="462"/>
      <c r="H28" s="462"/>
      <c r="I28" s="463"/>
      <c r="J28" s="463"/>
      <c r="K28" s="461"/>
      <c r="L28" s="461"/>
      <c r="M28" s="461"/>
      <c r="N28" s="461"/>
      <c r="O28" s="461"/>
      <c r="P28" s="461"/>
      <c r="Q28" s="461"/>
      <c r="R28" s="461"/>
      <c r="S28" s="461"/>
      <c r="T28" s="461"/>
      <c r="U28" s="461"/>
      <c r="V28" s="461"/>
      <c r="W28" s="461"/>
      <c r="X28" s="461"/>
      <c r="Y28" s="461"/>
    </row>
    <row r="29" spans="1:25" ht="15.75" customHeight="1" x14ac:dyDescent="0.4">
      <c r="A29" s="461"/>
      <c r="B29" s="654" t="s">
        <v>8</v>
      </c>
      <c r="C29" s="655"/>
      <c r="D29" s="655"/>
      <c r="E29" s="655"/>
      <c r="F29" s="655"/>
      <c r="G29" s="655"/>
      <c r="H29" s="656"/>
      <c r="I29" s="3"/>
      <c r="J29" s="3"/>
      <c r="K29" s="3"/>
      <c r="L29" s="461"/>
      <c r="M29" s="461"/>
      <c r="N29" s="461"/>
      <c r="O29" s="461"/>
      <c r="P29" s="461"/>
      <c r="Q29" s="461"/>
      <c r="R29" s="461"/>
      <c r="S29" s="461"/>
      <c r="T29" s="461"/>
      <c r="U29" s="461"/>
      <c r="V29" s="461"/>
      <c r="W29" s="461"/>
      <c r="X29" s="461"/>
      <c r="Y29" s="461"/>
    </row>
    <row r="30" spans="1:25" ht="15.75" customHeight="1" x14ac:dyDescent="0.4">
      <c r="A30" s="461"/>
      <c r="B30" s="464">
        <v>29</v>
      </c>
      <c r="C30" s="465">
        <v>30</v>
      </c>
      <c r="D30" s="465">
        <v>31</v>
      </c>
      <c r="E30" s="473">
        <v>1</v>
      </c>
      <c r="F30" s="473">
        <v>2</v>
      </c>
      <c r="G30" s="473">
        <v>3</v>
      </c>
      <c r="H30" s="474">
        <v>4</v>
      </c>
      <c r="I30" s="3"/>
      <c r="J30" s="3"/>
      <c r="K30" s="3"/>
      <c r="L30" s="461"/>
      <c r="M30" s="461"/>
      <c r="N30" s="461"/>
      <c r="O30" s="461"/>
      <c r="P30" s="461"/>
      <c r="Q30" s="461"/>
      <c r="R30" s="461"/>
      <c r="S30" s="461"/>
      <c r="T30" s="461"/>
      <c r="U30" s="461"/>
      <c r="V30" s="461"/>
      <c r="W30" s="461"/>
      <c r="X30" s="461"/>
      <c r="Y30" s="461"/>
    </row>
    <row r="31" spans="1:25" ht="15.75" customHeight="1" x14ac:dyDescent="0.4">
      <c r="A31" s="461"/>
      <c r="B31" s="467">
        <v>178.59</v>
      </c>
      <c r="C31" s="468">
        <v>55.09</v>
      </c>
      <c r="D31" s="468">
        <v>53.51</v>
      </c>
      <c r="E31" s="486">
        <v>0</v>
      </c>
      <c r="F31" s="486">
        <v>0</v>
      </c>
      <c r="G31" s="486">
        <v>147.25</v>
      </c>
      <c r="H31" s="487">
        <v>57.84</v>
      </c>
      <c r="I31" s="470">
        <f>SUM(B31:H31)</f>
        <v>492.28</v>
      </c>
      <c r="J31" s="471">
        <f>150-I31</f>
        <v>-342.28</v>
      </c>
      <c r="K31" s="657">
        <f>1800-SUM(I31:I39)-97</f>
        <v>-1827.2800000000002</v>
      </c>
      <c r="L31" s="461"/>
      <c r="M31" s="461"/>
      <c r="N31" s="461"/>
      <c r="O31" s="461"/>
      <c r="P31" s="461"/>
      <c r="Q31" s="461"/>
      <c r="R31" s="461"/>
      <c r="S31" s="461"/>
      <c r="T31" s="461"/>
      <c r="U31" s="461"/>
      <c r="V31" s="461"/>
      <c r="W31" s="461"/>
      <c r="X31" s="461"/>
      <c r="Y31" s="461"/>
    </row>
    <row r="32" spans="1:25" ht="15.75" customHeight="1" x14ac:dyDescent="0.4">
      <c r="A32" s="461"/>
      <c r="B32" s="472">
        <v>5</v>
      </c>
      <c r="C32" s="473">
        <v>6</v>
      </c>
      <c r="D32" s="473">
        <v>7</v>
      </c>
      <c r="E32" s="473">
        <v>8</v>
      </c>
      <c r="F32" s="473">
        <v>9</v>
      </c>
      <c r="G32" s="473">
        <v>10</v>
      </c>
      <c r="H32" s="474">
        <v>11</v>
      </c>
      <c r="I32" s="3"/>
      <c r="J32" s="3"/>
      <c r="K32" s="658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V32" s="461"/>
      <c r="W32" s="461"/>
      <c r="X32" s="461"/>
      <c r="Y32" s="461"/>
    </row>
    <row r="33" spans="1:25" ht="15.75" customHeight="1" x14ac:dyDescent="0.4">
      <c r="A33" s="461"/>
      <c r="B33" s="485">
        <v>0</v>
      </c>
      <c r="C33" s="493">
        <v>1612.3500000000001</v>
      </c>
      <c r="D33" s="486">
        <v>101.13</v>
      </c>
      <c r="E33" s="486">
        <v>82.9</v>
      </c>
      <c r="F33" s="486">
        <v>97.51</v>
      </c>
      <c r="G33" s="486">
        <v>0</v>
      </c>
      <c r="H33" s="487">
        <v>52.59</v>
      </c>
      <c r="I33" s="470">
        <f>SUM(B33:H33)</f>
        <v>1946.48</v>
      </c>
      <c r="J33" s="471">
        <f>150-I33</f>
        <v>-1796.48</v>
      </c>
      <c r="K33" s="658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V33" s="461"/>
      <c r="W33" s="461"/>
      <c r="X33" s="461"/>
      <c r="Y33" s="461"/>
    </row>
    <row r="34" spans="1:25" ht="15.75" customHeight="1" x14ac:dyDescent="0.4">
      <c r="A34" s="461"/>
      <c r="B34" s="472">
        <v>12</v>
      </c>
      <c r="C34" s="473">
        <v>13</v>
      </c>
      <c r="D34" s="473">
        <v>14</v>
      </c>
      <c r="E34" s="473">
        <v>15</v>
      </c>
      <c r="F34" s="473">
        <v>16</v>
      </c>
      <c r="G34" s="473">
        <v>17</v>
      </c>
      <c r="H34" s="474">
        <v>18</v>
      </c>
      <c r="I34" s="3"/>
      <c r="J34" s="3"/>
      <c r="K34" s="658"/>
      <c r="L34" s="461"/>
      <c r="M34" s="461"/>
      <c r="N34" s="461"/>
      <c r="O34" s="461"/>
      <c r="P34" s="461"/>
      <c r="Q34" s="461"/>
      <c r="R34" s="461"/>
      <c r="S34" s="461"/>
      <c r="T34" s="461"/>
      <c r="U34" s="461"/>
      <c r="V34" s="461"/>
      <c r="W34" s="461"/>
      <c r="X34" s="461"/>
      <c r="Y34" s="461"/>
    </row>
    <row r="35" spans="1:25" ht="15.75" customHeight="1" x14ac:dyDescent="0.4">
      <c r="A35" s="461"/>
      <c r="B35" s="485">
        <v>16.79</v>
      </c>
      <c r="C35" s="486">
        <v>39.5</v>
      </c>
      <c r="D35" s="486">
        <v>139.97999999999999</v>
      </c>
      <c r="E35" s="486">
        <v>37.130000000000003</v>
      </c>
      <c r="F35" s="486">
        <v>50.79</v>
      </c>
      <c r="G35" s="486">
        <v>0</v>
      </c>
      <c r="H35" s="487">
        <v>47</v>
      </c>
      <c r="I35" s="470">
        <f>SUM(B35:H35)</f>
        <v>331.19</v>
      </c>
      <c r="J35" s="471">
        <f>150-I35</f>
        <v>-181.19</v>
      </c>
      <c r="K35" s="658"/>
      <c r="L35" s="461"/>
      <c r="M35" s="461"/>
      <c r="N35" s="461"/>
      <c r="O35" s="461"/>
      <c r="P35" s="461"/>
      <c r="Q35" s="461"/>
      <c r="R35" s="461"/>
      <c r="S35" s="461"/>
      <c r="T35" s="461"/>
      <c r="U35" s="461"/>
      <c r="V35" s="461"/>
      <c r="W35" s="461"/>
      <c r="X35" s="461"/>
      <c r="Y35" s="461"/>
    </row>
    <row r="36" spans="1:25" ht="15.75" customHeight="1" x14ac:dyDescent="0.4">
      <c r="A36" s="461"/>
      <c r="B36" s="472">
        <v>19</v>
      </c>
      <c r="C36" s="473">
        <v>20</v>
      </c>
      <c r="D36" s="473">
        <v>21</v>
      </c>
      <c r="E36" s="473">
        <v>22</v>
      </c>
      <c r="F36" s="473">
        <v>23</v>
      </c>
      <c r="G36" s="473">
        <v>24</v>
      </c>
      <c r="H36" s="474">
        <v>25</v>
      </c>
      <c r="I36" s="3"/>
      <c r="J36" s="3"/>
      <c r="K36" s="658"/>
      <c r="L36" s="461"/>
      <c r="M36" s="461"/>
      <c r="N36" s="461"/>
      <c r="O36" s="461"/>
      <c r="P36" s="461"/>
      <c r="Q36" s="461"/>
      <c r="R36" s="461"/>
      <c r="S36" s="461"/>
      <c r="T36" s="461"/>
      <c r="U36" s="461"/>
      <c r="V36" s="461"/>
      <c r="W36" s="461"/>
      <c r="X36" s="461"/>
      <c r="Y36" s="461"/>
    </row>
    <row r="37" spans="1:25" ht="15.75" customHeight="1" x14ac:dyDescent="0.4">
      <c r="A37" s="461"/>
      <c r="B37" s="485">
        <v>25.77</v>
      </c>
      <c r="C37" s="486">
        <v>175.99</v>
      </c>
      <c r="D37" s="486">
        <v>0</v>
      </c>
      <c r="E37" s="486">
        <v>0</v>
      </c>
      <c r="F37" s="486">
        <v>63.08</v>
      </c>
      <c r="G37" s="486">
        <v>156.5</v>
      </c>
      <c r="H37" s="487">
        <v>123.49</v>
      </c>
      <c r="I37" s="470">
        <f>SUM(B37:H37)</f>
        <v>544.83000000000004</v>
      </c>
      <c r="J37" s="471">
        <f>150-I37</f>
        <v>-394.83000000000004</v>
      </c>
      <c r="K37" s="658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1"/>
      <c r="W37" s="461"/>
      <c r="X37" s="461"/>
      <c r="Y37" s="461"/>
    </row>
    <row r="38" spans="1:25" ht="15.75" customHeight="1" x14ac:dyDescent="0.4">
      <c r="A38" s="461"/>
      <c r="B38" s="472">
        <v>26</v>
      </c>
      <c r="C38" s="473">
        <v>27</v>
      </c>
      <c r="D38" s="478">
        <v>28</v>
      </c>
      <c r="E38" s="478">
        <v>29</v>
      </c>
      <c r="F38" s="478">
        <v>30</v>
      </c>
      <c r="G38" s="478">
        <v>31</v>
      </c>
      <c r="H38" s="480">
        <v>1</v>
      </c>
      <c r="I38" s="3"/>
      <c r="J38" s="3"/>
      <c r="K38" s="658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</row>
    <row r="39" spans="1:25" ht="15.75" customHeight="1" x14ac:dyDescent="0.4">
      <c r="A39" s="461"/>
      <c r="B39" s="488">
        <v>17.53</v>
      </c>
      <c r="C39" s="489">
        <v>45.35</v>
      </c>
      <c r="D39" s="489">
        <v>42.41</v>
      </c>
      <c r="E39" s="494">
        <v>72.47</v>
      </c>
      <c r="F39" s="495">
        <v>37.74</v>
      </c>
      <c r="G39" s="495">
        <v>0</v>
      </c>
      <c r="H39" s="496">
        <v>0</v>
      </c>
      <c r="I39" s="470">
        <f>SUM(B39:H39)</f>
        <v>215.5</v>
      </c>
      <c r="J39" s="471">
        <f>150-I39</f>
        <v>-65.5</v>
      </c>
      <c r="K39" s="659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V39" s="461"/>
      <c r="W39" s="461"/>
      <c r="X39" s="461"/>
      <c r="Y39" s="461"/>
    </row>
    <row r="40" spans="1:25" ht="20.25" x14ac:dyDescent="0.4">
      <c r="A40" s="461"/>
      <c r="B40" s="462"/>
      <c r="C40" s="462"/>
      <c r="D40" s="462"/>
      <c r="E40" s="462"/>
      <c r="F40" s="462"/>
      <c r="G40" s="462"/>
      <c r="H40" s="462"/>
      <c r="I40" s="463"/>
      <c r="J40" s="463"/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</row>
    <row r="41" spans="1:25" ht="21.75" x14ac:dyDescent="0.4">
      <c r="A41" s="461"/>
      <c r="B41" s="654" t="s">
        <v>68</v>
      </c>
      <c r="C41" s="655"/>
      <c r="D41" s="655"/>
      <c r="E41" s="655"/>
      <c r="F41" s="655"/>
      <c r="G41" s="655"/>
      <c r="H41" s="656"/>
      <c r="I41" s="3"/>
      <c r="J41" s="3"/>
      <c r="K41" s="3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</row>
    <row r="42" spans="1:25" ht="20.25" x14ac:dyDescent="0.4">
      <c r="A42" s="461"/>
      <c r="B42" s="497">
        <v>1</v>
      </c>
      <c r="C42" s="478">
        <v>2</v>
      </c>
      <c r="D42" s="478">
        <v>3</v>
      </c>
      <c r="E42" s="478">
        <v>4</v>
      </c>
      <c r="F42" s="478">
        <v>5</v>
      </c>
      <c r="G42" s="478">
        <v>6</v>
      </c>
      <c r="H42" s="474">
        <v>7</v>
      </c>
      <c r="I42" s="3"/>
      <c r="J42" s="3"/>
      <c r="K42" s="3"/>
      <c r="L42" s="461"/>
      <c r="M42" s="461"/>
      <c r="N42" s="461"/>
      <c r="O42" s="461"/>
      <c r="P42" s="461"/>
      <c r="Q42" s="461"/>
      <c r="R42" s="461"/>
      <c r="S42" s="461"/>
      <c r="T42" s="461"/>
      <c r="U42" s="461"/>
      <c r="V42" s="461"/>
      <c r="W42" s="461"/>
      <c r="X42" s="461"/>
      <c r="Y42" s="461"/>
    </row>
    <row r="43" spans="1:25" ht="20.25" x14ac:dyDescent="0.4">
      <c r="A43" s="461"/>
      <c r="B43" s="498">
        <v>73.28</v>
      </c>
      <c r="C43" s="499">
        <v>50</v>
      </c>
      <c r="D43" s="499">
        <v>24.91</v>
      </c>
      <c r="E43" s="499">
        <v>0</v>
      </c>
      <c r="F43" s="499">
        <v>276.87</v>
      </c>
      <c r="G43" s="486">
        <v>150</v>
      </c>
      <c r="H43" s="487">
        <v>120.53</v>
      </c>
      <c r="I43" s="470">
        <f>SUM(B43:H43)</f>
        <v>695.58999999999992</v>
      </c>
      <c r="J43" s="471">
        <f>150-I43</f>
        <v>-545.58999999999992</v>
      </c>
      <c r="K43" s="657">
        <f>1800-SUM(I43:I51)-97</f>
        <v>-933.71999999999935</v>
      </c>
      <c r="L43" s="461"/>
      <c r="M43" s="461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</row>
    <row r="44" spans="1:25" ht="20.25" x14ac:dyDescent="0.4">
      <c r="A44" s="461"/>
      <c r="B44" s="472">
        <v>8</v>
      </c>
      <c r="C44" s="473">
        <v>9</v>
      </c>
      <c r="D44" s="473">
        <v>10</v>
      </c>
      <c r="E44" s="473">
        <v>11</v>
      </c>
      <c r="F44" s="473">
        <v>12</v>
      </c>
      <c r="G44" s="473">
        <v>13</v>
      </c>
      <c r="H44" s="474">
        <v>14</v>
      </c>
      <c r="I44" s="3"/>
      <c r="J44" s="3"/>
      <c r="K44" s="658"/>
      <c r="L44" s="461"/>
      <c r="M44" s="461"/>
      <c r="N44" s="461"/>
      <c r="O44" s="461"/>
      <c r="P44" s="461"/>
      <c r="Q44" s="461"/>
      <c r="R44" s="461"/>
      <c r="S44" s="461"/>
      <c r="T44" s="461"/>
      <c r="U44" s="461"/>
      <c r="V44" s="461"/>
      <c r="W44" s="461"/>
      <c r="X44" s="461"/>
      <c r="Y44" s="461"/>
    </row>
    <row r="45" spans="1:25" ht="20.25" x14ac:dyDescent="0.4">
      <c r="A45" s="461"/>
      <c r="B45" s="485">
        <v>87</v>
      </c>
      <c r="C45" s="486">
        <v>20</v>
      </c>
      <c r="D45" s="486">
        <v>30</v>
      </c>
      <c r="E45" s="486">
        <v>20.28</v>
      </c>
      <c r="F45" s="486">
        <v>4.84</v>
      </c>
      <c r="G45" s="486">
        <v>108.78</v>
      </c>
      <c r="H45" s="487">
        <v>163.38999999999999</v>
      </c>
      <c r="I45" s="470">
        <f>SUM(B45:H45)</f>
        <v>434.28999999999996</v>
      </c>
      <c r="J45" s="471">
        <f>150-I45</f>
        <v>-284.28999999999996</v>
      </c>
      <c r="K45" s="658"/>
      <c r="L45" s="461"/>
      <c r="M45" s="461"/>
      <c r="N45" s="461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1"/>
    </row>
    <row r="46" spans="1:25" ht="20.25" x14ac:dyDescent="0.4">
      <c r="A46" s="461"/>
      <c r="B46" s="472">
        <v>15</v>
      </c>
      <c r="C46" s="473">
        <v>16</v>
      </c>
      <c r="D46" s="473">
        <v>17</v>
      </c>
      <c r="E46" s="473">
        <v>18</v>
      </c>
      <c r="F46" s="473">
        <v>19</v>
      </c>
      <c r="G46" s="473">
        <v>20</v>
      </c>
      <c r="H46" s="474">
        <v>21</v>
      </c>
      <c r="I46" s="3"/>
      <c r="J46" s="3"/>
      <c r="K46" s="658"/>
      <c r="L46" s="461"/>
      <c r="M46" s="461"/>
      <c r="N46" s="461"/>
      <c r="O46" s="461"/>
      <c r="P46" s="461"/>
      <c r="Q46" s="461"/>
      <c r="R46" s="461"/>
      <c r="S46" s="461"/>
      <c r="T46" s="461"/>
      <c r="U46" s="461"/>
      <c r="V46" s="461"/>
      <c r="W46" s="461"/>
      <c r="X46" s="461"/>
      <c r="Y46" s="461"/>
    </row>
    <row r="47" spans="1:25" ht="20.25" x14ac:dyDescent="0.4">
      <c r="A47" s="461"/>
      <c r="B47" s="485">
        <v>102.19</v>
      </c>
      <c r="C47" s="486">
        <v>0</v>
      </c>
      <c r="D47" s="486">
        <v>20</v>
      </c>
      <c r="E47" s="486">
        <v>20</v>
      </c>
      <c r="F47" s="486">
        <v>118.78</v>
      </c>
      <c r="G47" s="486">
        <v>20.100000000000001</v>
      </c>
      <c r="H47" s="487">
        <v>135.94</v>
      </c>
      <c r="I47" s="470">
        <f>SUM(B47:H47)</f>
        <v>417.01000000000005</v>
      </c>
      <c r="J47" s="471">
        <f>150-I47</f>
        <v>-267.01000000000005</v>
      </c>
      <c r="K47" s="658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</row>
    <row r="48" spans="1:25" ht="20.25" x14ac:dyDescent="0.4">
      <c r="A48" s="461"/>
      <c r="B48" s="472">
        <v>22</v>
      </c>
      <c r="C48" s="473">
        <v>23</v>
      </c>
      <c r="D48" s="473">
        <v>24</v>
      </c>
      <c r="E48" s="473">
        <v>25</v>
      </c>
      <c r="F48" s="473">
        <v>26</v>
      </c>
      <c r="G48" s="473">
        <v>27</v>
      </c>
      <c r="H48" s="474">
        <v>28</v>
      </c>
      <c r="I48" s="3"/>
      <c r="J48" s="3"/>
      <c r="K48" s="658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61"/>
      <c r="W48" s="461"/>
      <c r="X48" s="461"/>
      <c r="Y48" s="461"/>
    </row>
    <row r="49" spans="1:25" ht="20.25" x14ac:dyDescent="0.4">
      <c r="A49" s="461"/>
      <c r="B49" s="485">
        <v>89.74</v>
      </c>
      <c r="C49" s="486">
        <v>0</v>
      </c>
      <c r="D49" s="486">
        <v>112.5</v>
      </c>
      <c r="E49" s="486">
        <v>33.28</v>
      </c>
      <c r="F49" s="486">
        <v>32.32</v>
      </c>
      <c r="G49" s="486">
        <v>57.7</v>
      </c>
      <c r="H49" s="487">
        <v>272.01</v>
      </c>
      <c r="I49" s="470">
        <f>SUM(B49:H49)</f>
        <v>597.54999999999995</v>
      </c>
      <c r="J49" s="471">
        <f>150-I49</f>
        <v>-447.54999999999995</v>
      </c>
      <c r="K49" s="658"/>
      <c r="L49" s="461"/>
      <c r="M49" s="461"/>
      <c r="N49" s="461"/>
      <c r="O49" s="461"/>
      <c r="P49" s="461"/>
      <c r="Q49" s="461"/>
      <c r="R49" s="461"/>
      <c r="S49" s="461"/>
      <c r="T49" s="461"/>
      <c r="U49" s="461"/>
      <c r="V49" s="461"/>
      <c r="W49" s="461"/>
      <c r="X49" s="461"/>
      <c r="Y49" s="461"/>
    </row>
    <row r="50" spans="1:25" ht="20.25" x14ac:dyDescent="0.4">
      <c r="A50" s="461"/>
      <c r="B50" s="472">
        <v>29</v>
      </c>
      <c r="C50" s="473">
        <v>30</v>
      </c>
      <c r="D50" s="473">
        <v>31</v>
      </c>
      <c r="E50" s="465">
        <v>1</v>
      </c>
      <c r="F50" s="465">
        <v>2</v>
      </c>
      <c r="G50" s="465">
        <v>3</v>
      </c>
      <c r="H50" s="480">
        <v>4</v>
      </c>
      <c r="I50" s="3"/>
      <c r="J50" s="3"/>
      <c r="K50" s="658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</row>
    <row r="51" spans="1:25" ht="20.25" x14ac:dyDescent="0.4">
      <c r="A51" s="461"/>
      <c r="B51" s="488">
        <v>178.59</v>
      </c>
      <c r="C51" s="489">
        <v>55.09</v>
      </c>
      <c r="D51" s="489">
        <v>53.51</v>
      </c>
      <c r="E51" s="490">
        <v>0</v>
      </c>
      <c r="F51" s="490">
        <v>0</v>
      </c>
      <c r="G51" s="490">
        <v>147.25</v>
      </c>
      <c r="H51" s="490">
        <v>57.84</v>
      </c>
      <c r="I51" s="470">
        <f>SUM(B51:H51)</f>
        <v>492.28</v>
      </c>
      <c r="J51" s="471">
        <f>150-I51</f>
        <v>-342.28</v>
      </c>
      <c r="K51" s="659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</row>
    <row r="52" spans="1:25" ht="20.25" x14ac:dyDescent="0.4">
      <c r="A52" s="461"/>
      <c r="B52" s="462"/>
      <c r="C52" s="462"/>
      <c r="D52" s="462"/>
      <c r="E52" s="462"/>
      <c r="F52" s="462"/>
      <c r="G52" s="462"/>
      <c r="H52" s="462"/>
      <c r="I52" s="463"/>
      <c r="J52" s="463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</row>
    <row r="53" spans="1:25" ht="21.75" x14ac:dyDescent="0.4">
      <c r="A53" s="461"/>
      <c r="B53" s="654" t="s">
        <v>69</v>
      </c>
      <c r="C53" s="655"/>
      <c r="D53" s="655"/>
      <c r="E53" s="655"/>
      <c r="F53" s="655"/>
      <c r="G53" s="655"/>
      <c r="H53" s="656"/>
      <c r="I53" s="3"/>
      <c r="J53" s="3"/>
      <c r="K53" s="3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</row>
    <row r="54" spans="1:25" ht="20.25" x14ac:dyDescent="0.4">
      <c r="A54" s="461"/>
      <c r="B54" s="464">
        <v>27</v>
      </c>
      <c r="C54" s="465">
        <v>28</v>
      </c>
      <c r="D54" s="465">
        <v>29</v>
      </c>
      <c r="E54" s="465">
        <v>30</v>
      </c>
      <c r="F54" s="465">
        <v>31</v>
      </c>
      <c r="G54" s="473">
        <v>1</v>
      </c>
      <c r="H54" s="474">
        <v>2</v>
      </c>
      <c r="I54" s="3"/>
      <c r="J54" s="3"/>
      <c r="K54" s="3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</row>
    <row r="55" spans="1:25" ht="20.25" x14ac:dyDescent="0.4">
      <c r="A55" s="461"/>
      <c r="B55" s="467">
        <v>26.71</v>
      </c>
      <c r="C55" s="468">
        <v>22.98</v>
      </c>
      <c r="D55" s="468">
        <v>41.03</v>
      </c>
      <c r="E55" s="468">
        <v>22.74</v>
      </c>
      <c r="F55" s="468">
        <v>150</v>
      </c>
      <c r="G55" s="486">
        <v>41.97</v>
      </c>
      <c r="H55" s="487">
        <v>158.30000000000001</v>
      </c>
      <c r="I55" s="470">
        <f>SUM(B55:H55)</f>
        <v>463.72999999999996</v>
      </c>
      <c r="J55" s="471">
        <f>150-I55</f>
        <v>-313.72999999999996</v>
      </c>
      <c r="K55" s="657">
        <f>1800-SUM(I55:I63)-97</f>
        <v>-1668.1799999999998</v>
      </c>
      <c r="L55" s="461"/>
      <c r="M55" s="461"/>
      <c r="N55" s="461"/>
      <c r="O55" s="461"/>
      <c r="P55" s="461"/>
      <c r="Q55" s="461"/>
      <c r="R55" s="461"/>
      <c r="S55" s="461"/>
      <c r="T55" s="461"/>
      <c r="U55" s="461"/>
      <c r="V55" s="461"/>
      <c r="W55" s="461"/>
      <c r="X55" s="461"/>
      <c r="Y55" s="461"/>
    </row>
    <row r="56" spans="1:25" ht="20.25" x14ac:dyDescent="0.4">
      <c r="A56" s="461"/>
      <c r="B56" s="472">
        <v>3</v>
      </c>
      <c r="C56" s="473">
        <v>4</v>
      </c>
      <c r="D56" s="473">
        <v>5</v>
      </c>
      <c r="E56" s="473">
        <v>6</v>
      </c>
      <c r="F56" s="473">
        <v>7</v>
      </c>
      <c r="G56" s="473">
        <v>8</v>
      </c>
      <c r="H56" s="474">
        <v>9</v>
      </c>
      <c r="I56" s="3"/>
      <c r="J56" s="3"/>
      <c r="K56" s="658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/>
      <c r="Y56" s="461"/>
    </row>
    <row r="57" spans="1:25" ht="20.25" x14ac:dyDescent="0.4">
      <c r="A57" s="461"/>
      <c r="B57" s="485">
        <v>13.52</v>
      </c>
      <c r="C57" s="486">
        <v>0</v>
      </c>
      <c r="D57" s="486">
        <v>179.3</v>
      </c>
      <c r="E57" s="486">
        <v>203.74</v>
      </c>
      <c r="F57" s="486">
        <v>308.22000000000003</v>
      </c>
      <c r="G57" s="486">
        <v>83.83</v>
      </c>
      <c r="H57" s="487">
        <v>21.43</v>
      </c>
      <c r="I57" s="470">
        <f>SUM(B57:H57)</f>
        <v>810.04000000000008</v>
      </c>
      <c r="J57" s="471">
        <f>150-I57</f>
        <v>-660.04000000000008</v>
      </c>
      <c r="K57" s="658"/>
      <c r="L57" s="461"/>
      <c r="M57" s="461"/>
      <c r="N57" s="461"/>
      <c r="O57" s="461"/>
      <c r="P57" s="461"/>
      <c r="Q57" s="461"/>
      <c r="R57" s="461"/>
      <c r="S57" s="461"/>
      <c r="T57" s="461"/>
      <c r="U57" s="461"/>
      <c r="V57" s="461"/>
      <c r="W57" s="461"/>
      <c r="X57" s="461"/>
      <c r="Y57" s="461"/>
    </row>
    <row r="58" spans="1:25" ht="20.25" x14ac:dyDescent="0.4">
      <c r="A58" s="461"/>
      <c r="B58" s="472">
        <v>10</v>
      </c>
      <c r="C58" s="473">
        <v>11</v>
      </c>
      <c r="D58" s="473">
        <v>12</v>
      </c>
      <c r="E58" s="473">
        <v>13</v>
      </c>
      <c r="F58" s="473">
        <v>14</v>
      </c>
      <c r="G58" s="473">
        <v>15</v>
      </c>
      <c r="H58" s="474">
        <v>16</v>
      </c>
      <c r="I58" s="3"/>
      <c r="J58" s="3"/>
      <c r="K58" s="658"/>
      <c r="L58" s="461"/>
      <c r="M58" s="461"/>
      <c r="N58" s="461"/>
      <c r="O58" s="461"/>
      <c r="P58" s="461"/>
      <c r="Q58" s="461"/>
      <c r="R58" s="461"/>
      <c r="S58" s="461"/>
      <c r="T58" s="461"/>
      <c r="U58" s="461"/>
      <c r="V58" s="461"/>
      <c r="W58" s="461"/>
      <c r="X58" s="461"/>
      <c r="Y58" s="461"/>
    </row>
    <row r="59" spans="1:25" ht="20.25" x14ac:dyDescent="0.4">
      <c r="A59" s="461"/>
      <c r="B59" s="485">
        <v>68.819999999999993</v>
      </c>
      <c r="C59" s="486">
        <v>26.12</v>
      </c>
      <c r="D59" s="486">
        <v>44.78</v>
      </c>
      <c r="E59" s="486">
        <v>55.77</v>
      </c>
      <c r="F59" s="486">
        <v>181.81</v>
      </c>
      <c r="G59" s="493">
        <v>293.90999999999997</v>
      </c>
      <c r="H59" s="500">
        <v>8.7800000000000011</v>
      </c>
      <c r="I59" s="470">
        <f>SUM(B59:H59)</f>
        <v>679.99</v>
      </c>
      <c r="J59" s="471">
        <f>150-I59</f>
        <v>-529.99</v>
      </c>
      <c r="K59" s="658"/>
      <c r="L59" s="461"/>
      <c r="M59" s="461"/>
      <c r="N59" s="461"/>
      <c r="O59" s="461"/>
      <c r="P59" s="461"/>
      <c r="Q59" s="461"/>
      <c r="R59" s="461"/>
      <c r="S59" s="461"/>
      <c r="T59" s="461"/>
      <c r="U59" s="461"/>
      <c r="V59" s="461"/>
      <c r="W59" s="461"/>
      <c r="X59" s="461"/>
      <c r="Y59" s="461"/>
    </row>
    <row r="60" spans="1:25" ht="20.25" x14ac:dyDescent="0.4">
      <c r="A60" s="461"/>
      <c r="B60" s="472">
        <v>17</v>
      </c>
      <c r="C60" s="473">
        <v>18</v>
      </c>
      <c r="D60" s="473">
        <v>19</v>
      </c>
      <c r="E60" s="473">
        <v>20</v>
      </c>
      <c r="F60" s="473">
        <v>21</v>
      </c>
      <c r="G60" s="473">
        <v>22</v>
      </c>
      <c r="H60" s="474">
        <v>23</v>
      </c>
      <c r="I60" s="3"/>
      <c r="J60" s="3"/>
      <c r="K60" s="658"/>
      <c r="L60" s="461"/>
      <c r="M60" s="46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</row>
    <row r="61" spans="1:25" ht="20.25" x14ac:dyDescent="0.4">
      <c r="A61" s="461"/>
      <c r="B61" s="485">
        <v>39.29</v>
      </c>
      <c r="C61" s="501">
        <v>0</v>
      </c>
      <c r="D61" s="501">
        <v>12.91</v>
      </c>
      <c r="E61" s="501">
        <v>285.10000000000002</v>
      </c>
      <c r="F61" s="501">
        <v>465.48</v>
      </c>
      <c r="G61" s="501">
        <v>142.41</v>
      </c>
      <c r="H61" s="502">
        <v>4.38</v>
      </c>
      <c r="I61" s="503">
        <f>SUM(B61:H61)</f>
        <v>949.56999999999994</v>
      </c>
      <c r="J61" s="492">
        <f>150-I61</f>
        <v>-799.56999999999994</v>
      </c>
      <c r="K61" s="658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/>
      <c r="Y61" s="461"/>
    </row>
    <row r="62" spans="1:25" ht="20.25" x14ac:dyDescent="0.4">
      <c r="A62" s="461"/>
      <c r="B62" s="472">
        <v>24</v>
      </c>
      <c r="C62" s="473">
        <v>25</v>
      </c>
      <c r="D62" s="473">
        <v>26</v>
      </c>
      <c r="E62" s="473">
        <v>27</v>
      </c>
      <c r="F62" s="478">
        <v>28</v>
      </c>
      <c r="G62" s="478">
        <v>29</v>
      </c>
      <c r="H62" s="466">
        <v>30</v>
      </c>
      <c r="I62" s="3"/>
      <c r="J62" s="3"/>
      <c r="K62" s="658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461"/>
      <c r="X62" s="461"/>
      <c r="Y62" s="461"/>
    </row>
    <row r="63" spans="1:25" ht="20.25" x14ac:dyDescent="0.4">
      <c r="A63" s="461"/>
      <c r="B63" s="504">
        <v>157.38999999999999</v>
      </c>
      <c r="C63" s="505">
        <v>171.01</v>
      </c>
      <c r="D63" s="505">
        <v>0</v>
      </c>
      <c r="E63" s="505">
        <v>63.05</v>
      </c>
      <c r="F63" s="495">
        <v>46.88</v>
      </c>
      <c r="G63" s="495">
        <v>24</v>
      </c>
      <c r="H63" s="495">
        <v>5.52</v>
      </c>
      <c r="I63" s="491">
        <f>SUM(B63:H63)</f>
        <v>467.84999999999997</v>
      </c>
      <c r="J63" s="492">
        <f>150-I63</f>
        <v>-317.84999999999997</v>
      </c>
      <c r="K63" s="659"/>
      <c r="L63" s="461"/>
      <c r="M63" s="461"/>
      <c r="N63" s="461"/>
      <c r="O63" s="461"/>
      <c r="P63" s="461"/>
      <c r="Q63" s="461"/>
      <c r="R63" s="461"/>
      <c r="S63" s="461"/>
      <c r="T63" s="461"/>
      <c r="U63" s="461"/>
      <c r="V63" s="461"/>
      <c r="W63" s="461"/>
      <c r="X63" s="461"/>
      <c r="Y63" s="461"/>
    </row>
    <row r="64" spans="1:25" ht="20.25" x14ac:dyDescent="0.4">
      <c r="A64" s="461"/>
      <c r="B64" s="462"/>
      <c r="C64" s="462"/>
      <c r="D64" s="462"/>
      <c r="E64" s="462"/>
      <c r="F64" s="462"/>
      <c r="G64" s="462"/>
      <c r="H64" s="462"/>
      <c r="I64" s="463"/>
      <c r="J64" s="463"/>
      <c r="K64" s="461"/>
      <c r="L64" s="461"/>
      <c r="M64" s="461"/>
      <c r="N64" s="461"/>
      <c r="O64" s="461"/>
      <c r="P64" s="461"/>
      <c r="Q64" s="461"/>
      <c r="R64" s="461"/>
      <c r="S64" s="461"/>
      <c r="T64" s="461"/>
      <c r="U64" s="461"/>
      <c r="V64" s="461"/>
      <c r="W64" s="461"/>
      <c r="X64" s="461"/>
      <c r="Y64" s="461"/>
    </row>
    <row r="65" spans="1:25" ht="21.75" x14ac:dyDescent="0.4">
      <c r="A65" s="461"/>
      <c r="B65" s="654" t="s">
        <v>70</v>
      </c>
      <c r="C65" s="655"/>
      <c r="D65" s="655"/>
      <c r="E65" s="655"/>
      <c r="F65" s="655"/>
      <c r="G65" s="655"/>
      <c r="H65" s="656"/>
      <c r="I65" s="3"/>
      <c r="J65" s="3"/>
      <c r="K65" s="3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Y65" s="461"/>
    </row>
    <row r="66" spans="1:25" ht="20.25" x14ac:dyDescent="0.4">
      <c r="A66" s="461"/>
      <c r="B66" s="464">
        <v>29</v>
      </c>
      <c r="C66" s="465">
        <v>30</v>
      </c>
      <c r="D66" s="478">
        <v>1</v>
      </c>
      <c r="E66" s="478">
        <v>2</v>
      </c>
      <c r="F66" s="478">
        <v>3</v>
      </c>
      <c r="G66" s="473">
        <v>4</v>
      </c>
      <c r="H66" s="474">
        <v>5</v>
      </c>
      <c r="I66" s="3"/>
      <c r="J66" s="3"/>
      <c r="K66" s="3"/>
      <c r="L66" s="461"/>
      <c r="M66" s="461"/>
      <c r="N66" s="461"/>
      <c r="O66" s="461"/>
      <c r="P66" s="461"/>
      <c r="Q66" s="461"/>
      <c r="R66" s="461"/>
      <c r="S66" s="461"/>
      <c r="T66" s="461"/>
      <c r="U66" s="461"/>
      <c r="V66" s="461"/>
      <c r="W66" s="461"/>
      <c r="X66" s="461"/>
      <c r="Y66" s="461"/>
    </row>
    <row r="67" spans="1:25" ht="20.25" x14ac:dyDescent="0.4">
      <c r="A67" s="461"/>
      <c r="B67" s="467">
        <v>70.680000000000007</v>
      </c>
      <c r="C67" s="468">
        <v>33.82</v>
      </c>
      <c r="D67" s="499">
        <v>20.93</v>
      </c>
      <c r="E67" s="499">
        <v>32.53</v>
      </c>
      <c r="F67" s="499">
        <v>0</v>
      </c>
      <c r="G67" s="499">
        <v>150.16999999999999</v>
      </c>
      <c r="H67" s="487">
        <v>0</v>
      </c>
      <c r="I67" s="470">
        <f>SUM(B67:H67)</f>
        <v>308.13</v>
      </c>
      <c r="J67" s="471">
        <f>150-I67</f>
        <v>-158.13</v>
      </c>
      <c r="K67" s="657">
        <f>1800-SUM(I67:I75)-97</f>
        <v>-886.82000000000016</v>
      </c>
      <c r="L67" s="461"/>
      <c r="M67" s="461"/>
      <c r="N67" s="461"/>
      <c r="O67" s="461"/>
      <c r="P67" s="461"/>
      <c r="Q67" s="461"/>
      <c r="R67" s="461"/>
      <c r="S67" s="461"/>
      <c r="T67" s="461"/>
      <c r="U67" s="461"/>
      <c r="V67" s="461"/>
      <c r="W67" s="461"/>
      <c r="X67" s="461"/>
      <c r="Y67" s="461"/>
    </row>
    <row r="68" spans="1:25" ht="20.25" x14ac:dyDescent="0.4">
      <c r="A68" s="461"/>
      <c r="B68" s="472">
        <v>6</v>
      </c>
      <c r="C68" s="473">
        <v>7</v>
      </c>
      <c r="D68" s="473">
        <v>8</v>
      </c>
      <c r="E68" s="473">
        <v>9</v>
      </c>
      <c r="F68" s="473">
        <v>10</v>
      </c>
      <c r="G68" s="473">
        <v>11</v>
      </c>
      <c r="H68" s="474">
        <v>12</v>
      </c>
      <c r="I68" s="3"/>
      <c r="J68" s="3"/>
      <c r="K68" s="658"/>
      <c r="L68" s="461"/>
      <c r="M68" s="461"/>
      <c r="N68" s="461"/>
      <c r="O68" s="461"/>
      <c r="P68" s="461"/>
      <c r="Q68" s="461"/>
      <c r="R68" s="461"/>
      <c r="S68" s="461"/>
      <c r="T68" s="461"/>
      <c r="U68" s="461"/>
      <c r="V68" s="461"/>
      <c r="W68" s="461"/>
      <c r="X68" s="461"/>
      <c r="Y68" s="461"/>
    </row>
    <row r="69" spans="1:25" ht="20.25" x14ac:dyDescent="0.4">
      <c r="A69" s="461"/>
      <c r="B69" s="485">
        <v>110.33</v>
      </c>
      <c r="C69" s="486">
        <v>179.83</v>
      </c>
      <c r="D69" s="486">
        <v>36.770000000000003</v>
      </c>
      <c r="E69" s="486">
        <v>122.49</v>
      </c>
      <c r="F69" s="486">
        <v>118.38</v>
      </c>
      <c r="G69" s="486">
        <v>143.13</v>
      </c>
      <c r="H69" s="487">
        <v>179</v>
      </c>
      <c r="I69" s="470">
        <f>SUM(B69:H69)</f>
        <v>889.93</v>
      </c>
      <c r="J69" s="471">
        <f>150-I69</f>
        <v>-739.93</v>
      </c>
      <c r="K69" s="658"/>
      <c r="L69" s="461"/>
      <c r="M69" s="461"/>
      <c r="N69" s="461"/>
      <c r="O69" s="461"/>
      <c r="P69" s="461"/>
      <c r="Q69" s="461"/>
      <c r="R69" s="461"/>
      <c r="S69" s="461"/>
      <c r="T69" s="461"/>
      <c r="U69" s="461"/>
      <c r="V69" s="461"/>
      <c r="W69" s="461"/>
      <c r="X69" s="461"/>
      <c r="Y69" s="461"/>
    </row>
    <row r="70" spans="1:25" ht="20.25" x14ac:dyDescent="0.4">
      <c r="A70" s="461"/>
      <c r="B70" s="472">
        <v>13</v>
      </c>
      <c r="C70" s="473">
        <v>14</v>
      </c>
      <c r="D70" s="473">
        <v>15</v>
      </c>
      <c r="E70" s="473">
        <v>16</v>
      </c>
      <c r="F70" s="473">
        <v>17</v>
      </c>
      <c r="G70" s="473">
        <v>18</v>
      </c>
      <c r="H70" s="474">
        <v>19</v>
      </c>
      <c r="I70" s="3"/>
      <c r="J70" s="3"/>
      <c r="K70" s="658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/>
      <c r="Y70" s="461"/>
    </row>
    <row r="71" spans="1:25" ht="20.25" x14ac:dyDescent="0.4">
      <c r="A71" s="461"/>
      <c r="B71" s="485">
        <v>0</v>
      </c>
      <c r="C71" s="486">
        <v>31.36</v>
      </c>
      <c r="D71" s="486">
        <v>33.590000000000003</v>
      </c>
      <c r="E71" s="486">
        <v>28.8</v>
      </c>
      <c r="F71" s="486">
        <v>47.05</v>
      </c>
      <c r="G71" s="486">
        <v>113.28</v>
      </c>
      <c r="H71" s="487">
        <v>103.14</v>
      </c>
      <c r="I71" s="470">
        <f>SUM(B71:H71)</f>
        <v>357.22</v>
      </c>
      <c r="J71" s="471">
        <f>150-I71</f>
        <v>-207.22000000000003</v>
      </c>
      <c r="K71" s="658"/>
      <c r="L71" s="461"/>
      <c r="M71" s="461"/>
      <c r="N71" s="461"/>
      <c r="O71" s="461"/>
      <c r="P71" s="461"/>
      <c r="Q71" s="461"/>
      <c r="R71" s="461"/>
      <c r="S71" s="461"/>
      <c r="T71" s="461"/>
      <c r="U71" s="461"/>
      <c r="V71" s="461"/>
      <c r="W71" s="461"/>
      <c r="X71" s="461"/>
      <c r="Y71" s="461"/>
    </row>
    <row r="72" spans="1:25" ht="20.25" x14ac:dyDescent="0.4">
      <c r="A72" s="461"/>
      <c r="B72" s="472">
        <v>20</v>
      </c>
      <c r="C72" s="473">
        <v>21</v>
      </c>
      <c r="D72" s="473">
        <v>22</v>
      </c>
      <c r="E72" s="473">
        <v>23</v>
      </c>
      <c r="F72" s="473">
        <v>24</v>
      </c>
      <c r="G72" s="473">
        <v>25</v>
      </c>
      <c r="H72" s="474">
        <v>26</v>
      </c>
      <c r="I72" s="3"/>
      <c r="J72" s="3"/>
      <c r="K72" s="658"/>
      <c r="L72" s="461"/>
      <c r="M72" s="461"/>
      <c r="N72" s="461"/>
      <c r="O72" s="461"/>
      <c r="P72" s="461"/>
      <c r="Q72" s="461"/>
      <c r="R72" s="461"/>
      <c r="S72" s="461"/>
      <c r="T72" s="461"/>
      <c r="U72" s="461"/>
      <c r="V72" s="461"/>
      <c r="W72" s="461"/>
      <c r="X72" s="461"/>
      <c r="Y72" s="461"/>
    </row>
    <row r="73" spans="1:25" ht="20.25" x14ac:dyDescent="0.4">
      <c r="A73" s="461"/>
      <c r="B73" s="485">
        <v>133.31</v>
      </c>
      <c r="C73" s="486">
        <v>0</v>
      </c>
      <c r="D73" s="486">
        <v>121.05</v>
      </c>
      <c r="E73" s="486">
        <v>120</v>
      </c>
      <c r="F73" s="486">
        <v>110</v>
      </c>
      <c r="G73" s="486">
        <v>63.76</v>
      </c>
      <c r="H73" s="487">
        <v>22.69</v>
      </c>
      <c r="I73" s="470">
        <f>SUM(B73:H73)</f>
        <v>570.81000000000006</v>
      </c>
      <c r="J73" s="471">
        <f>150-I73</f>
        <v>-420.81000000000006</v>
      </c>
      <c r="K73" s="658"/>
      <c r="L73" s="461"/>
      <c r="M73" s="461"/>
      <c r="N73" s="461"/>
      <c r="O73" s="461"/>
      <c r="P73" s="461"/>
      <c r="Q73" s="461"/>
      <c r="R73" s="461"/>
      <c r="S73" s="461"/>
      <c r="T73" s="461"/>
      <c r="U73" s="461"/>
      <c r="V73" s="461"/>
      <c r="W73" s="461"/>
      <c r="X73" s="461"/>
      <c r="Y73" s="461"/>
    </row>
    <row r="74" spans="1:25" ht="20.25" x14ac:dyDescent="0.4">
      <c r="A74" s="461"/>
      <c r="B74" s="472">
        <v>27</v>
      </c>
      <c r="C74" s="473">
        <v>28</v>
      </c>
      <c r="D74" s="478">
        <v>29</v>
      </c>
      <c r="E74" s="478">
        <v>30</v>
      </c>
      <c r="F74" s="478">
        <v>31</v>
      </c>
      <c r="G74" s="465">
        <v>1</v>
      </c>
      <c r="H74" s="480">
        <v>2</v>
      </c>
      <c r="I74" s="3"/>
      <c r="J74" s="3"/>
      <c r="K74" s="658"/>
      <c r="L74" s="461"/>
      <c r="M74" s="461"/>
      <c r="N74" s="461"/>
      <c r="O74" s="461"/>
      <c r="P74" s="461"/>
      <c r="Q74" s="461"/>
      <c r="R74" s="461"/>
      <c r="S74" s="461"/>
      <c r="T74" s="461"/>
      <c r="U74" s="461"/>
      <c r="V74" s="461"/>
      <c r="W74" s="461"/>
      <c r="X74" s="461"/>
      <c r="Y74" s="461"/>
    </row>
    <row r="75" spans="1:25" ht="20.25" x14ac:dyDescent="0.4">
      <c r="A75" s="461"/>
      <c r="B75" s="504">
        <v>26.71</v>
      </c>
      <c r="C75" s="495">
        <v>22.98</v>
      </c>
      <c r="D75" s="495">
        <v>41.03</v>
      </c>
      <c r="E75" s="495">
        <v>22.74</v>
      </c>
      <c r="F75" s="495">
        <v>150</v>
      </c>
      <c r="G75" s="496">
        <v>41.97</v>
      </c>
      <c r="H75" s="496">
        <v>158.30000000000001</v>
      </c>
      <c r="I75" s="491">
        <f>SUM(B75:H75)</f>
        <v>463.72999999999996</v>
      </c>
      <c r="J75" s="492">
        <f>150-I75</f>
        <v>-313.72999999999996</v>
      </c>
      <c r="K75" s="659"/>
      <c r="L75" s="461"/>
      <c r="M75" s="461"/>
      <c r="N75" s="461"/>
      <c r="O75" s="461"/>
      <c r="P75" s="461"/>
      <c r="Q75" s="461"/>
      <c r="R75" s="461"/>
      <c r="S75" s="461"/>
      <c r="T75" s="461"/>
      <c r="U75" s="461"/>
      <c r="V75" s="461"/>
      <c r="W75" s="461"/>
      <c r="X75" s="461"/>
      <c r="Y75" s="461"/>
    </row>
    <row r="76" spans="1:25" ht="20.25" x14ac:dyDescent="0.4">
      <c r="A76" s="461"/>
      <c r="B76" s="462"/>
      <c r="C76" s="462"/>
      <c r="D76" s="462"/>
      <c r="E76" s="462"/>
      <c r="F76" s="462"/>
      <c r="G76" s="462"/>
      <c r="H76" s="462"/>
      <c r="I76" s="463"/>
      <c r="J76" s="463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</row>
    <row r="77" spans="1:25" ht="21.75" x14ac:dyDescent="0.4">
      <c r="A77" s="461"/>
      <c r="B77" s="654" t="s">
        <v>71</v>
      </c>
      <c r="C77" s="655"/>
      <c r="D77" s="655"/>
      <c r="E77" s="655"/>
      <c r="F77" s="655"/>
      <c r="G77" s="655"/>
      <c r="H77" s="656"/>
      <c r="I77" s="3"/>
      <c r="J77" s="3"/>
      <c r="K77" s="3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</row>
    <row r="78" spans="1:25" ht="20.25" x14ac:dyDescent="0.4">
      <c r="A78" s="461"/>
      <c r="B78" s="497">
        <v>1</v>
      </c>
      <c r="C78" s="478">
        <v>2</v>
      </c>
      <c r="D78" s="478">
        <v>3</v>
      </c>
      <c r="E78" s="478">
        <v>4</v>
      </c>
      <c r="F78" s="478">
        <v>5</v>
      </c>
      <c r="G78" s="473">
        <v>6</v>
      </c>
      <c r="H78" s="474">
        <v>7</v>
      </c>
      <c r="I78" s="3"/>
      <c r="J78" s="3"/>
      <c r="K78" s="3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/>
      <c r="Y78" s="461"/>
    </row>
    <row r="79" spans="1:25" ht="20.25" x14ac:dyDescent="0.4">
      <c r="A79" s="461"/>
      <c r="B79" s="498">
        <v>42.88</v>
      </c>
      <c r="C79" s="499">
        <v>163.13</v>
      </c>
      <c r="D79" s="499">
        <v>49.02</v>
      </c>
      <c r="E79" s="499">
        <v>52.2</v>
      </c>
      <c r="F79" s="499">
        <v>150.19</v>
      </c>
      <c r="G79" s="499">
        <v>150.36000000000001</v>
      </c>
      <c r="H79" s="487">
        <v>13</v>
      </c>
      <c r="I79" s="470">
        <f>SUM(B79:H79)</f>
        <v>620.78</v>
      </c>
      <c r="J79" s="471">
        <f>125-I79</f>
        <v>-495.78</v>
      </c>
      <c r="K79" s="657">
        <f>1800-SUM(I79:I87)-97</f>
        <v>-705.40000000000009</v>
      </c>
      <c r="L79" s="461"/>
      <c r="M79" s="461"/>
      <c r="N79" s="461"/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</row>
    <row r="80" spans="1:25" ht="20.25" x14ac:dyDescent="0.4">
      <c r="A80" s="461"/>
      <c r="B80" s="472">
        <v>8</v>
      </c>
      <c r="C80" s="473">
        <v>9</v>
      </c>
      <c r="D80" s="473">
        <v>10</v>
      </c>
      <c r="E80" s="473">
        <v>11</v>
      </c>
      <c r="F80" s="473">
        <v>12</v>
      </c>
      <c r="G80" s="473">
        <v>13</v>
      </c>
      <c r="H80" s="474">
        <v>14</v>
      </c>
      <c r="I80" s="3"/>
      <c r="J80" s="3"/>
      <c r="K80" s="658"/>
      <c r="L80" s="461"/>
      <c r="M80" s="461"/>
      <c r="N80" s="461"/>
      <c r="O80" s="461"/>
      <c r="P80" s="461"/>
      <c r="Q80" s="461"/>
      <c r="R80" s="461"/>
      <c r="S80" s="461"/>
      <c r="T80" s="461"/>
      <c r="U80" s="461"/>
      <c r="V80" s="461"/>
      <c r="W80" s="461"/>
      <c r="X80" s="461"/>
      <c r="Y80" s="461"/>
    </row>
    <row r="81" spans="1:25" ht="20.25" x14ac:dyDescent="0.4">
      <c r="A81" s="461"/>
      <c r="B81" s="485">
        <v>15.49</v>
      </c>
      <c r="C81" s="486">
        <v>48.4</v>
      </c>
      <c r="D81" s="486">
        <v>26.39</v>
      </c>
      <c r="E81" s="486">
        <v>109.99</v>
      </c>
      <c r="F81" s="486">
        <v>438.57</v>
      </c>
      <c r="G81" s="486">
        <v>59.78</v>
      </c>
      <c r="H81" s="487">
        <v>20.6</v>
      </c>
      <c r="I81" s="470">
        <f>SUM(B81:H81)</f>
        <v>719.21999999999991</v>
      </c>
      <c r="J81" s="471">
        <f>125-I81</f>
        <v>-594.21999999999991</v>
      </c>
      <c r="K81" s="658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</row>
    <row r="82" spans="1:25" ht="20.25" x14ac:dyDescent="0.4">
      <c r="A82" s="461"/>
      <c r="B82" s="472">
        <v>15</v>
      </c>
      <c r="C82" s="473">
        <v>16</v>
      </c>
      <c r="D82" s="473">
        <v>17</v>
      </c>
      <c r="E82" s="473">
        <v>18</v>
      </c>
      <c r="F82" s="473">
        <v>19</v>
      </c>
      <c r="G82" s="473">
        <v>20</v>
      </c>
      <c r="H82" s="474">
        <v>21</v>
      </c>
      <c r="I82" s="3"/>
      <c r="J82" s="3"/>
      <c r="K82" s="658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/>
      <c r="Y82" s="461"/>
    </row>
    <row r="83" spans="1:25" ht="20.25" x14ac:dyDescent="0.4">
      <c r="A83" s="461"/>
      <c r="B83" s="485">
        <v>53.59</v>
      </c>
      <c r="C83" s="486">
        <v>22.42</v>
      </c>
      <c r="D83" s="486">
        <v>47.34</v>
      </c>
      <c r="E83" s="486">
        <v>50.32</v>
      </c>
      <c r="F83" s="486">
        <v>92.7</v>
      </c>
      <c r="G83" s="486">
        <v>36.54</v>
      </c>
      <c r="H83" s="487">
        <v>69.5</v>
      </c>
      <c r="I83" s="470">
        <f>SUM(B83:H83)</f>
        <v>372.41</v>
      </c>
      <c r="J83" s="471">
        <f>125-I83</f>
        <v>-247.41000000000003</v>
      </c>
      <c r="K83" s="658"/>
      <c r="L83" s="461"/>
      <c r="M83" s="461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</row>
    <row r="84" spans="1:25" ht="20.25" x14ac:dyDescent="0.4">
      <c r="A84" s="461"/>
      <c r="B84" s="472">
        <v>22</v>
      </c>
      <c r="C84" s="473">
        <v>23</v>
      </c>
      <c r="D84" s="473">
        <v>24</v>
      </c>
      <c r="E84" s="473">
        <v>25</v>
      </c>
      <c r="F84" s="473">
        <v>26</v>
      </c>
      <c r="G84" s="473">
        <v>27</v>
      </c>
      <c r="H84" s="474">
        <v>28</v>
      </c>
      <c r="I84" s="3"/>
      <c r="J84" s="3"/>
      <c r="K84" s="658"/>
      <c r="L84" s="461"/>
      <c r="M84" s="461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</row>
    <row r="85" spans="1:25" ht="20.25" x14ac:dyDescent="0.4">
      <c r="A85" s="461"/>
      <c r="B85" s="485">
        <v>111.56</v>
      </c>
      <c r="C85" s="486">
        <v>43.19</v>
      </c>
      <c r="D85" s="486">
        <v>57.51</v>
      </c>
      <c r="E85" s="486">
        <v>31.57</v>
      </c>
      <c r="F85" s="486">
        <v>25.78</v>
      </c>
      <c r="G85" s="486">
        <v>118.25</v>
      </c>
      <c r="H85" s="487">
        <v>0</v>
      </c>
      <c r="I85" s="470">
        <f>SUM(B85:H85)</f>
        <v>387.86</v>
      </c>
      <c r="J85" s="471">
        <f>125-I85</f>
        <v>-262.86</v>
      </c>
      <c r="K85" s="658"/>
      <c r="L85" s="461"/>
      <c r="M85" s="461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</row>
    <row r="86" spans="1:25" ht="20.25" x14ac:dyDescent="0.4">
      <c r="A86" s="461"/>
      <c r="B86" s="472">
        <v>29</v>
      </c>
      <c r="C86" s="473">
        <v>30</v>
      </c>
      <c r="D86" s="465">
        <v>1</v>
      </c>
      <c r="E86" s="465">
        <v>2</v>
      </c>
      <c r="F86" s="465">
        <v>3</v>
      </c>
      <c r="G86" s="465">
        <v>4</v>
      </c>
      <c r="H86" s="480">
        <v>5</v>
      </c>
      <c r="I86" s="3"/>
      <c r="J86" s="3"/>
      <c r="K86" s="658"/>
      <c r="L86" s="461"/>
      <c r="M86" s="461"/>
      <c r="N86" s="461"/>
      <c r="O86" s="461"/>
      <c r="P86" s="461"/>
      <c r="Q86" s="461"/>
      <c r="R86" s="461"/>
      <c r="S86" s="461"/>
      <c r="T86" s="461"/>
      <c r="U86" s="461"/>
      <c r="V86" s="461"/>
      <c r="W86" s="461"/>
      <c r="X86" s="461"/>
      <c r="Y86" s="461"/>
    </row>
    <row r="87" spans="1:25" ht="20.25" x14ac:dyDescent="0.4">
      <c r="A87" s="461"/>
      <c r="B87" s="504">
        <v>70.680000000000007</v>
      </c>
      <c r="C87" s="505">
        <v>33.82</v>
      </c>
      <c r="D87" s="496">
        <v>20.93</v>
      </c>
      <c r="E87" s="496">
        <v>32.53</v>
      </c>
      <c r="F87" s="496">
        <v>0</v>
      </c>
      <c r="G87" s="496">
        <v>150.16999999999999</v>
      </c>
      <c r="H87" s="496">
        <v>0</v>
      </c>
      <c r="I87" s="491">
        <f>SUM(B87:H87)</f>
        <v>308.13</v>
      </c>
      <c r="J87" s="492">
        <f>125-I87</f>
        <v>-183.13</v>
      </c>
      <c r="K87" s="659"/>
      <c r="L87" s="461"/>
      <c r="M87" s="461"/>
      <c r="N87" s="461"/>
      <c r="O87" s="461"/>
      <c r="P87" s="461"/>
      <c r="Q87" s="461"/>
      <c r="R87" s="461"/>
      <c r="S87" s="461"/>
      <c r="T87" s="461"/>
      <c r="U87" s="461"/>
      <c r="V87" s="461"/>
      <c r="W87" s="461"/>
      <c r="X87" s="461"/>
      <c r="Y87" s="461"/>
    </row>
    <row r="88" spans="1:25" ht="20.25" x14ac:dyDescent="0.4">
      <c r="A88" s="461"/>
      <c r="B88" s="462"/>
      <c r="C88" s="462"/>
      <c r="D88" s="462"/>
      <c r="E88" s="462"/>
      <c r="F88" s="462"/>
      <c r="G88" s="462"/>
      <c r="H88" s="462"/>
      <c r="I88" s="463"/>
      <c r="J88" s="463"/>
      <c r="K88" s="461"/>
      <c r="L88" s="461"/>
      <c r="M88" s="461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</row>
    <row r="89" spans="1:25" ht="21.75" x14ac:dyDescent="0.4">
      <c r="A89" s="461"/>
      <c r="B89" s="654" t="s">
        <v>72</v>
      </c>
      <c r="C89" s="655"/>
      <c r="D89" s="655"/>
      <c r="E89" s="655"/>
      <c r="F89" s="655"/>
      <c r="G89" s="655"/>
      <c r="H89" s="656"/>
      <c r="I89" s="3"/>
      <c r="J89" s="3"/>
      <c r="K89" s="3"/>
      <c r="L89" s="461"/>
      <c r="M89" s="461"/>
      <c r="N89" s="461"/>
      <c r="O89" s="461"/>
      <c r="P89" s="461"/>
      <c r="Q89" s="461"/>
      <c r="R89" s="461"/>
      <c r="S89" s="461"/>
      <c r="T89" s="461"/>
      <c r="U89" s="461"/>
      <c r="V89" s="461"/>
      <c r="W89" s="461"/>
      <c r="X89" s="461"/>
      <c r="Y89" s="461"/>
    </row>
    <row r="90" spans="1:25" ht="20.25" x14ac:dyDescent="0.4">
      <c r="A90" s="461"/>
      <c r="B90" s="506">
        <v>28</v>
      </c>
      <c r="C90" s="507">
        <v>29</v>
      </c>
      <c r="D90" s="507">
        <v>30</v>
      </c>
      <c r="E90" s="507">
        <v>31</v>
      </c>
      <c r="F90" s="508">
        <v>1</v>
      </c>
      <c r="G90" s="508">
        <v>2</v>
      </c>
      <c r="H90" s="509">
        <v>3</v>
      </c>
      <c r="I90" s="3"/>
      <c r="J90" s="3"/>
      <c r="K90" s="3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</row>
    <row r="91" spans="1:25" ht="20.25" x14ac:dyDescent="0.4">
      <c r="A91" s="461"/>
      <c r="B91" s="467">
        <v>171.57</v>
      </c>
      <c r="C91" s="468">
        <v>84.23</v>
      </c>
      <c r="D91" s="468">
        <v>92.99</v>
      </c>
      <c r="E91" s="468">
        <v>37.17</v>
      </c>
      <c r="F91" s="486">
        <v>61.88</v>
      </c>
      <c r="G91" s="486">
        <v>48.99</v>
      </c>
      <c r="H91" s="487">
        <v>16.75</v>
      </c>
      <c r="I91" s="470">
        <f>SUM(B91:H91)</f>
        <v>513.58000000000004</v>
      </c>
      <c r="J91" s="471">
        <f>125-I91</f>
        <v>-388.58000000000004</v>
      </c>
      <c r="K91" s="657">
        <f>1800-SUM(I91:I99)-97</f>
        <v>-1468.75</v>
      </c>
      <c r="L91" s="461"/>
      <c r="M91" s="461"/>
      <c r="N91" s="461"/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</row>
    <row r="92" spans="1:25" ht="20.25" x14ac:dyDescent="0.4">
      <c r="A92" s="461"/>
      <c r="B92" s="472">
        <v>4</v>
      </c>
      <c r="C92" s="473">
        <v>5</v>
      </c>
      <c r="D92" s="473">
        <v>6</v>
      </c>
      <c r="E92" s="473">
        <v>7</v>
      </c>
      <c r="F92" s="478">
        <v>8</v>
      </c>
      <c r="G92" s="473">
        <v>9</v>
      </c>
      <c r="H92" s="474">
        <v>10</v>
      </c>
      <c r="I92" s="3"/>
      <c r="J92" s="3"/>
      <c r="K92" s="658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/>
      <c r="Y92" s="461"/>
    </row>
    <row r="93" spans="1:25" ht="20.25" x14ac:dyDescent="0.4">
      <c r="A93" s="461"/>
      <c r="B93" s="485">
        <v>70.540000000000006</v>
      </c>
      <c r="C93" s="486">
        <v>23.27</v>
      </c>
      <c r="D93" s="486">
        <v>7.92</v>
      </c>
      <c r="E93" s="486">
        <v>72.33</v>
      </c>
      <c r="F93" s="486">
        <v>48.21</v>
      </c>
      <c r="G93" s="486">
        <v>0</v>
      </c>
      <c r="H93" s="487">
        <v>78.63</v>
      </c>
      <c r="I93" s="470">
        <f>SUM(B93:H93)</f>
        <v>300.89999999999998</v>
      </c>
      <c r="J93" s="471">
        <f>125-I93</f>
        <v>-175.89999999999998</v>
      </c>
      <c r="K93" s="658"/>
      <c r="L93" s="461"/>
      <c r="M93" s="461"/>
      <c r="N93" s="461"/>
      <c r="O93" s="461"/>
      <c r="P93" s="461"/>
      <c r="Q93" s="461"/>
      <c r="R93" s="461"/>
      <c r="S93" s="461"/>
      <c r="T93" s="461"/>
      <c r="U93" s="461"/>
      <c r="V93" s="461"/>
      <c r="W93" s="461"/>
      <c r="X93" s="461"/>
      <c r="Y93" s="461"/>
    </row>
    <row r="94" spans="1:25" ht="20.25" x14ac:dyDescent="0.4">
      <c r="A94" s="461"/>
      <c r="B94" s="472">
        <v>11</v>
      </c>
      <c r="C94" s="473">
        <v>12</v>
      </c>
      <c r="D94" s="473">
        <v>13</v>
      </c>
      <c r="E94" s="473">
        <v>14</v>
      </c>
      <c r="F94" s="473">
        <v>15</v>
      </c>
      <c r="G94" s="473">
        <v>16</v>
      </c>
      <c r="H94" s="474">
        <v>17</v>
      </c>
      <c r="I94" s="3"/>
      <c r="J94" s="3"/>
      <c r="K94" s="658"/>
      <c r="L94" s="461"/>
      <c r="M94" s="461"/>
      <c r="N94" s="461"/>
      <c r="O94" s="461"/>
      <c r="P94" s="461"/>
      <c r="Q94" s="461"/>
      <c r="R94" s="461"/>
      <c r="S94" s="461"/>
      <c r="T94" s="461"/>
      <c r="U94" s="461"/>
      <c r="V94" s="461"/>
      <c r="W94" s="461"/>
      <c r="X94" s="461"/>
      <c r="Y94" s="461"/>
    </row>
    <row r="95" spans="1:25" ht="20.25" x14ac:dyDescent="0.4">
      <c r="A95" s="461"/>
      <c r="B95" s="485">
        <v>1180.9000000000001</v>
      </c>
      <c r="C95" s="486">
        <v>22.6</v>
      </c>
      <c r="D95" s="486">
        <v>13.43</v>
      </c>
      <c r="E95" s="486">
        <v>120.38</v>
      </c>
      <c r="F95" s="486">
        <v>81.63</v>
      </c>
      <c r="G95" s="486">
        <v>74.59</v>
      </c>
      <c r="H95" s="487">
        <v>77.73</v>
      </c>
      <c r="I95" s="470">
        <f>SUM(B95:H95)</f>
        <v>1571.26</v>
      </c>
      <c r="J95" s="471">
        <f>125-I95</f>
        <v>-1446.26</v>
      </c>
      <c r="K95" s="658"/>
      <c r="L95" s="461"/>
      <c r="M95" s="461"/>
      <c r="N95" s="461"/>
      <c r="O95" s="461"/>
      <c r="P95" s="461"/>
      <c r="Q95" s="461"/>
      <c r="R95" s="461"/>
      <c r="S95" s="461"/>
      <c r="T95" s="461"/>
      <c r="U95" s="461"/>
      <c r="V95" s="461"/>
      <c r="W95" s="461"/>
      <c r="X95" s="461"/>
      <c r="Y95" s="461"/>
    </row>
    <row r="96" spans="1:25" ht="20.25" x14ac:dyDescent="0.4">
      <c r="A96" s="461"/>
      <c r="B96" s="472">
        <v>18</v>
      </c>
      <c r="C96" s="473">
        <v>19</v>
      </c>
      <c r="D96" s="473">
        <v>20</v>
      </c>
      <c r="E96" s="473">
        <v>21</v>
      </c>
      <c r="F96" s="473">
        <v>22</v>
      </c>
      <c r="G96" s="473">
        <v>23</v>
      </c>
      <c r="H96" s="474">
        <v>24</v>
      </c>
      <c r="I96" s="3"/>
      <c r="J96" s="3"/>
      <c r="K96" s="658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/>
      <c r="Y96" s="461"/>
    </row>
    <row r="97" spans="1:25" ht="20.25" x14ac:dyDescent="0.4">
      <c r="A97" s="461"/>
      <c r="B97" s="485">
        <v>19.03</v>
      </c>
      <c r="C97" s="486">
        <v>39.590000000000003</v>
      </c>
      <c r="D97" s="486">
        <v>78.040000000000006</v>
      </c>
      <c r="E97" s="486">
        <v>71.23</v>
      </c>
      <c r="F97" s="486">
        <v>167.01</v>
      </c>
      <c r="G97" s="486">
        <v>76.010000000000005</v>
      </c>
      <c r="H97" s="487">
        <v>9.3000000000000007</v>
      </c>
      <c r="I97" s="470">
        <f>SUM(B97:H97)</f>
        <v>460.21000000000004</v>
      </c>
      <c r="J97" s="471">
        <f>125-I97</f>
        <v>-335.21000000000004</v>
      </c>
      <c r="K97" s="658"/>
      <c r="L97" s="461"/>
      <c r="M97" s="461"/>
      <c r="N97" s="461"/>
      <c r="O97" s="461"/>
      <c r="P97" s="461"/>
      <c r="Q97" s="461"/>
      <c r="R97" s="461"/>
      <c r="S97" s="461"/>
      <c r="T97" s="461"/>
      <c r="U97" s="461"/>
      <c r="V97" s="461"/>
      <c r="W97" s="461"/>
      <c r="X97" s="461"/>
      <c r="Y97" s="461"/>
    </row>
    <row r="98" spans="1:25" ht="20.25" x14ac:dyDescent="0.4">
      <c r="A98" s="461"/>
      <c r="B98" s="472">
        <v>25</v>
      </c>
      <c r="C98" s="473">
        <v>26</v>
      </c>
      <c r="D98" s="473">
        <v>27</v>
      </c>
      <c r="E98" s="478">
        <v>28</v>
      </c>
      <c r="F98" s="478">
        <v>29</v>
      </c>
      <c r="G98" s="478">
        <v>30</v>
      </c>
      <c r="H98" s="466">
        <v>31</v>
      </c>
      <c r="I98" s="3"/>
      <c r="J98" s="3"/>
      <c r="K98" s="658"/>
      <c r="L98" s="461"/>
      <c r="M98" s="461"/>
      <c r="N98" s="461"/>
      <c r="O98" s="461"/>
      <c r="P98" s="461"/>
      <c r="Q98" s="461"/>
      <c r="R98" s="461"/>
      <c r="S98" s="461"/>
      <c r="T98" s="461"/>
      <c r="U98" s="461"/>
      <c r="V98" s="461"/>
      <c r="W98" s="461"/>
      <c r="X98" s="461"/>
      <c r="Y98" s="461"/>
    </row>
    <row r="99" spans="1:25" ht="20.25" x14ac:dyDescent="0.4">
      <c r="A99" s="461"/>
      <c r="B99" s="488">
        <v>104.81</v>
      </c>
      <c r="C99" s="489">
        <v>43.64</v>
      </c>
      <c r="D99" s="489">
        <v>93.64</v>
      </c>
      <c r="E99" s="505">
        <v>31.71</v>
      </c>
      <c r="F99" s="505">
        <v>3</v>
      </c>
      <c r="G99" s="505">
        <v>34.549999999999997</v>
      </c>
      <c r="H99" s="505">
        <v>14.45</v>
      </c>
      <c r="I99" s="470">
        <f>SUM(B99:H99)</f>
        <v>325.79999999999995</v>
      </c>
      <c r="J99" s="471">
        <f>125-I99</f>
        <v>-200.79999999999995</v>
      </c>
      <c r="K99" s="659"/>
      <c r="L99" s="461"/>
      <c r="M99" s="461"/>
      <c r="N99" s="461"/>
      <c r="O99" s="461"/>
      <c r="P99" s="461"/>
      <c r="Q99" s="461"/>
      <c r="R99" s="461"/>
      <c r="S99" s="461"/>
      <c r="T99" s="461"/>
      <c r="U99" s="461"/>
      <c r="V99" s="461"/>
      <c r="W99" s="461"/>
      <c r="X99" s="461"/>
      <c r="Y99" s="461"/>
    </row>
    <row r="100" spans="1:25" ht="20.25" x14ac:dyDescent="0.4">
      <c r="A100" s="461"/>
      <c r="B100" s="462"/>
      <c r="C100" s="462"/>
      <c r="D100" s="462"/>
      <c r="E100" s="462"/>
      <c r="F100" s="462"/>
      <c r="G100" s="462"/>
      <c r="H100" s="462"/>
      <c r="I100" s="463"/>
      <c r="J100" s="463"/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</row>
    <row r="101" spans="1:25" ht="21.75" x14ac:dyDescent="0.4">
      <c r="A101" s="461"/>
      <c r="B101" s="654" t="s">
        <v>73</v>
      </c>
      <c r="C101" s="655"/>
      <c r="D101" s="655"/>
      <c r="E101" s="655"/>
      <c r="F101" s="655"/>
      <c r="G101" s="655"/>
      <c r="H101" s="656"/>
      <c r="I101" s="3"/>
      <c r="J101" s="3"/>
      <c r="K101" s="3"/>
      <c r="L101" s="461"/>
      <c r="M101" s="461"/>
      <c r="N101" s="461"/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</row>
    <row r="102" spans="1:25" ht="20.25" x14ac:dyDescent="0.4">
      <c r="A102" s="461"/>
      <c r="B102" s="464">
        <v>30</v>
      </c>
      <c r="C102" s="478">
        <v>1</v>
      </c>
      <c r="D102" s="478">
        <v>2</v>
      </c>
      <c r="E102" s="478">
        <v>3</v>
      </c>
      <c r="F102" s="478">
        <v>4</v>
      </c>
      <c r="G102" s="478">
        <v>5</v>
      </c>
      <c r="H102" s="466">
        <v>6</v>
      </c>
      <c r="I102" s="3"/>
      <c r="J102" s="3"/>
      <c r="K102" s="3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</row>
    <row r="103" spans="1:25" ht="20.25" x14ac:dyDescent="0.4">
      <c r="A103" s="461"/>
      <c r="B103" s="467">
        <v>98.58</v>
      </c>
      <c r="C103" s="499">
        <v>34.409999999999997</v>
      </c>
      <c r="D103" s="499">
        <v>184.12</v>
      </c>
      <c r="E103" s="499">
        <v>156.49</v>
      </c>
      <c r="F103" s="499">
        <v>114.61</v>
      </c>
      <c r="G103" s="499">
        <v>21.6</v>
      </c>
      <c r="H103" s="469">
        <v>107.64</v>
      </c>
      <c r="I103" s="470">
        <f>SUM(B103:H103)</f>
        <v>717.45</v>
      </c>
      <c r="J103" s="471">
        <f>125-I103</f>
        <v>-592.45000000000005</v>
      </c>
      <c r="K103" s="657">
        <f>1800-SUM(I103:I111)-97</f>
        <v>-1498.1100000000001</v>
      </c>
      <c r="L103" s="461"/>
      <c r="M103" s="461"/>
      <c r="N103" s="461"/>
      <c r="O103" s="461"/>
      <c r="P103" s="461"/>
      <c r="Q103" s="461"/>
      <c r="R103" s="461"/>
      <c r="S103" s="461"/>
      <c r="T103" s="461"/>
      <c r="U103" s="461"/>
      <c r="V103" s="461"/>
      <c r="W103" s="461"/>
      <c r="X103" s="461"/>
      <c r="Y103" s="461"/>
    </row>
    <row r="104" spans="1:25" ht="20.25" x14ac:dyDescent="0.4">
      <c r="A104" s="461"/>
      <c r="B104" s="472">
        <v>7</v>
      </c>
      <c r="C104" s="473">
        <v>8</v>
      </c>
      <c r="D104" s="473">
        <v>9</v>
      </c>
      <c r="E104" s="473">
        <v>10</v>
      </c>
      <c r="F104" s="473">
        <v>11</v>
      </c>
      <c r="G104" s="473">
        <v>12</v>
      </c>
      <c r="H104" s="474">
        <v>13</v>
      </c>
      <c r="I104" s="3"/>
      <c r="J104" s="3"/>
      <c r="K104" s="658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</row>
    <row r="105" spans="1:25" ht="20.25" x14ac:dyDescent="0.4">
      <c r="A105" s="461"/>
      <c r="B105" s="485">
        <v>46.67</v>
      </c>
      <c r="C105" s="486">
        <v>100.82</v>
      </c>
      <c r="D105" s="486">
        <v>38.229999999999997</v>
      </c>
      <c r="E105" s="486">
        <v>174.28</v>
      </c>
      <c r="F105" s="486">
        <v>45.77</v>
      </c>
      <c r="G105" s="486">
        <v>130.47999999999999</v>
      </c>
      <c r="H105" s="487">
        <v>36.659999999999997</v>
      </c>
      <c r="I105" s="470">
        <f>SUM(B105:H105)</f>
        <v>572.91</v>
      </c>
      <c r="J105" s="471">
        <f>125-I105</f>
        <v>-447.90999999999997</v>
      </c>
      <c r="K105" s="658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</row>
    <row r="106" spans="1:25" ht="20.25" x14ac:dyDescent="0.4">
      <c r="A106" s="461"/>
      <c r="B106" s="472">
        <v>14</v>
      </c>
      <c r="C106" s="473">
        <v>15</v>
      </c>
      <c r="D106" s="473">
        <v>16</v>
      </c>
      <c r="E106" s="473">
        <v>17</v>
      </c>
      <c r="F106" s="473">
        <v>18</v>
      </c>
      <c r="G106" s="473">
        <v>19</v>
      </c>
      <c r="H106" s="474">
        <v>20</v>
      </c>
      <c r="I106" s="3"/>
      <c r="J106" s="3"/>
      <c r="K106" s="658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/>
      <c r="Y106" s="461"/>
    </row>
    <row r="107" spans="1:25" ht="20.25" x14ac:dyDescent="0.4">
      <c r="A107" s="461"/>
      <c r="B107" s="485">
        <v>33.020000000000003</v>
      </c>
      <c r="C107" s="486">
        <v>128.72999999999999</v>
      </c>
      <c r="D107" s="486">
        <v>78.22</v>
      </c>
      <c r="E107" s="486">
        <v>95.42</v>
      </c>
      <c r="F107" s="486">
        <v>49</v>
      </c>
      <c r="G107" s="486">
        <v>0</v>
      </c>
      <c r="H107" s="487">
        <v>30.16</v>
      </c>
      <c r="I107" s="470">
        <f>SUM(B107:H107)</f>
        <v>414.55</v>
      </c>
      <c r="J107" s="471">
        <f>125-I107</f>
        <v>-289.55</v>
      </c>
      <c r="K107" s="658"/>
      <c r="L107" s="461"/>
      <c r="M107" s="461"/>
      <c r="N107" s="461"/>
      <c r="O107" s="461"/>
      <c r="P107" s="461"/>
      <c r="Q107" s="461"/>
      <c r="R107" s="461"/>
      <c r="S107" s="461"/>
      <c r="T107" s="461"/>
      <c r="U107" s="461"/>
      <c r="V107" s="461"/>
      <c r="W107" s="461"/>
      <c r="X107" s="461"/>
      <c r="Y107" s="461"/>
    </row>
    <row r="108" spans="1:25" ht="20.25" x14ac:dyDescent="0.4">
      <c r="A108" s="461"/>
      <c r="B108" s="472">
        <v>21</v>
      </c>
      <c r="C108" s="473">
        <v>22</v>
      </c>
      <c r="D108" s="473">
        <v>23</v>
      </c>
      <c r="E108" s="473">
        <v>24</v>
      </c>
      <c r="F108" s="473">
        <v>25</v>
      </c>
      <c r="G108" s="473">
        <v>26</v>
      </c>
      <c r="H108" s="474">
        <v>27</v>
      </c>
      <c r="I108" s="3"/>
      <c r="J108" s="3"/>
      <c r="K108" s="658"/>
      <c r="L108" s="461"/>
      <c r="M108" s="461"/>
      <c r="N108" s="461"/>
      <c r="O108" s="461"/>
      <c r="P108" s="461"/>
      <c r="Q108" s="461"/>
      <c r="R108" s="461"/>
      <c r="S108" s="461"/>
      <c r="T108" s="461"/>
      <c r="U108" s="461"/>
      <c r="V108" s="461"/>
      <c r="W108" s="461"/>
      <c r="X108" s="461"/>
      <c r="Y108" s="461"/>
    </row>
    <row r="109" spans="1:25" ht="20.25" x14ac:dyDescent="0.4">
      <c r="A109" s="461"/>
      <c r="B109" s="485">
        <v>68.66</v>
      </c>
      <c r="C109" s="486">
        <v>121.18</v>
      </c>
      <c r="D109" s="486">
        <v>40.700000000000003</v>
      </c>
      <c r="E109" s="486">
        <v>5</v>
      </c>
      <c r="F109" s="486">
        <v>32.380000000000003</v>
      </c>
      <c r="G109" s="486">
        <v>273.17</v>
      </c>
      <c r="H109" s="487">
        <v>441.53</v>
      </c>
      <c r="I109" s="470">
        <f>SUM(B109:H109)</f>
        <v>982.62</v>
      </c>
      <c r="J109" s="471">
        <f>125-I109</f>
        <v>-857.62</v>
      </c>
      <c r="K109" s="658"/>
      <c r="L109" s="461"/>
      <c r="M109" s="461"/>
      <c r="N109" s="461"/>
      <c r="O109" s="461"/>
      <c r="P109" s="461"/>
      <c r="Q109" s="461"/>
      <c r="R109" s="461"/>
      <c r="S109" s="461"/>
      <c r="T109" s="461"/>
      <c r="U109" s="461"/>
      <c r="V109" s="461"/>
      <c r="W109" s="461"/>
      <c r="X109" s="461"/>
      <c r="Y109" s="461"/>
    </row>
    <row r="110" spans="1:25" ht="20.25" x14ac:dyDescent="0.4">
      <c r="A110" s="461"/>
      <c r="B110" s="497">
        <v>28</v>
      </c>
      <c r="C110" s="478">
        <v>29</v>
      </c>
      <c r="D110" s="478">
        <v>30</v>
      </c>
      <c r="E110" s="478">
        <v>31</v>
      </c>
      <c r="F110" s="465">
        <v>1</v>
      </c>
      <c r="G110" s="465">
        <v>2</v>
      </c>
      <c r="H110" s="480">
        <v>3</v>
      </c>
      <c r="I110" s="3"/>
      <c r="J110" s="3"/>
      <c r="K110" s="658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</row>
    <row r="111" spans="1:25" ht="20.25" x14ac:dyDescent="0.4">
      <c r="A111" s="461"/>
      <c r="B111" s="510">
        <v>171.57</v>
      </c>
      <c r="C111" s="495">
        <v>84.23</v>
      </c>
      <c r="D111" s="495">
        <v>92.99</v>
      </c>
      <c r="E111" s="495">
        <v>37.17</v>
      </c>
      <c r="F111" s="496">
        <v>61.88</v>
      </c>
      <c r="G111" s="496">
        <v>48.99</v>
      </c>
      <c r="H111" s="496">
        <v>16.75</v>
      </c>
      <c r="I111" s="491">
        <f>SUM(B111:H111)</f>
        <v>513.58000000000004</v>
      </c>
      <c r="J111" s="492">
        <f>125-I111</f>
        <v>-388.58000000000004</v>
      </c>
      <c r="K111" s="659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</row>
    <row r="112" spans="1:25" ht="20.25" x14ac:dyDescent="0.4">
      <c r="A112" s="461"/>
      <c r="B112" s="462"/>
      <c r="C112" s="462"/>
      <c r="D112" s="462"/>
      <c r="E112" s="462"/>
      <c r="F112" s="462"/>
      <c r="G112" s="462"/>
      <c r="H112" s="462"/>
      <c r="I112" s="463"/>
      <c r="J112" s="463"/>
      <c r="K112" s="461"/>
      <c r="L112" s="461"/>
      <c r="M112" s="461"/>
      <c r="N112" s="461"/>
      <c r="O112" s="461"/>
      <c r="P112" s="461"/>
      <c r="Q112" s="461"/>
      <c r="R112" s="461"/>
      <c r="S112" s="461"/>
      <c r="T112" s="461"/>
      <c r="U112" s="461"/>
      <c r="V112" s="461"/>
      <c r="W112" s="461"/>
      <c r="X112" s="461"/>
      <c r="Y112" s="461"/>
    </row>
    <row r="113" spans="1:25" ht="21.75" x14ac:dyDescent="0.4">
      <c r="A113" s="461"/>
      <c r="B113" s="654" t="s">
        <v>74</v>
      </c>
      <c r="C113" s="655"/>
      <c r="D113" s="655"/>
      <c r="E113" s="655"/>
      <c r="F113" s="655"/>
      <c r="G113" s="655"/>
      <c r="H113" s="656"/>
      <c r="I113" s="3"/>
      <c r="J113" s="3"/>
      <c r="K113" s="3"/>
      <c r="L113" s="461"/>
      <c r="M113" s="461"/>
      <c r="N113" s="461"/>
      <c r="O113" s="461"/>
      <c r="P113" s="461"/>
      <c r="Q113" s="461"/>
      <c r="R113" s="461"/>
      <c r="S113" s="461"/>
      <c r="T113" s="461"/>
      <c r="U113" s="461"/>
      <c r="V113" s="461"/>
      <c r="W113" s="461"/>
      <c r="X113" s="461"/>
      <c r="Y113" s="461"/>
    </row>
    <row r="114" spans="1:25" ht="20.25" x14ac:dyDescent="0.4">
      <c r="A114" s="461"/>
      <c r="B114" s="464">
        <v>26</v>
      </c>
      <c r="C114" s="465">
        <v>27</v>
      </c>
      <c r="D114" s="465">
        <v>28</v>
      </c>
      <c r="E114" s="465">
        <v>29</v>
      </c>
      <c r="F114" s="465">
        <v>30</v>
      </c>
      <c r="G114" s="465">
        <v>31</v>
      </c>
      <c r="H114" s="474">
        <v>1</v>
      </c>
      <c r="I114" s="3"/>
      <c r="J114" s="3"/>
      <c r="K114" s="3"/>
      <c r="L114" s="461"/>
      <c r="M114" s="461"/>
      <c r="N114" s="461"/>
      <c r="O114" s="461"/>
      <c r="P114" s="461"/>
      <c r="Q114" s="461"/>
      <c r="R114" s="461"/>
      <c r="S114" s="461"/>
      <c r="T114" s="461"/>
      <c r="U114" s="461"/>
      <c r="V114" s="461"/>
      <c r="W114" s="461"/>
      <c r="X114" s="461"/>
      <c r="Y114" s="461"/>
    </row>
    <row r="115" spans="1:25" ht="20.25" x14ac:dyDescent="0.4">
      <c r="A115" s="461"/>
      <c r="B115" s="467">
        <v>40.75</v>
      </c>
      <c r="C115" s="468">
        <v>23.25</v>
      </c>
      <c r="D115" s="468">
        <v>32.130000000000003</v>
      </c>
      <c r="E115" s="468">
        <v>124.89</v>
      </c>
      <c r="F115" s="468">
        <v>25.33</v>
      </c>
      <c r="G115" s="468">
        <v>121.1</v>
      </c>
      <c r="H115" s="487">
        <v>32.96</v>
      </c>
      <c r="I115" s="470">
        <f>SUM(B115:H115)</f>
        <v>400.40999999999991</v>
      </c>
      <c r="J115" s="471">
        <f>125-I115</f>
        <v>-275.40999999999991</v>
      </c>
      <c r="K115" s="657">
        <f>1800-SUM(I115:I125)-97</f>
        <v>-1790.5499999999993</v>
      </c>
      <c r="L115" s="461"/>
      <c r="M115" s="461"/>
      <c r="N115" s="461"/>
      <c r="O115" s="461"/>
      <c r="P115" s="461"/>
      <c r="Q115" s="461"/>
      <c r="R115" s="461"/>
      <c r="S115" s="461"/>
      <c r="T115" s="461"/>
      <c r="U115" s="461"/>
      <c r="V115" s="461"/>
      <c r="W115" s="461"/>
      <c r="X115" s="461"/>
      <c r="Y115" s="461"/>
    </row>
    <row r="116" spans="1:25" ht="20.25" x14ac:dyDescent="0.4">
      <c r="A116" s="461"/>
      <c r="B116" s="472">
        <v>2</v>
      </c>
      <c r="C116" s="473">
        <v>3</v>
      </c>
      <c r="D116" s="473">
        <v>4</v>
      </c>
      <c r="E116" s="473">
        <v>5</v>
      </c>
      <c r="F116" s="473">
        <v>6</v>
      </c>
      <c r="G116" s="473">
        <v>7</v>
      </c>
      <c r="H116" s="474">
        <v>8</v>
      </c>
      <c r="I116" s="3"/>
      <c r="J116" s="3"/>
      <c r="K116" s="658"/>
      <c r="L116" s="461"/>
      <c r="M116" s="461"/>
      <c r="N116" s="461"/>
      <c r="O116" s="461"/>
      <c r="P116" s="461"/>
      <c r="Q116" s="461"/>
      <c r="R116" s="461"/>
      <c r="S116" s="461"/>
      <c r="T116" s="461"/>
      <c r="U116" s="461"/>
      <c r="V116" s="461"/>
      <c r="W116" s="461"/>
      <c r="X116" s="461"/>
      <c r="Y116" s="461"/>
    </row>
    <row r="117" spans="1:25" ht="20.25" x14ac:dyDescent="0.4">
      <c r="A117" s="461"/>
      <c r="B117" s="485">
        <v>37.07</v>
      </c>
      <c r="C117" s="486">
        <v>156.87</v>
      </c>
      <c r="D117" s="486">
        <v>60.45</v>
      </c>
      <c r="E117" s="486">
        <v>93.76</v>
      </c>
      <c r="F117" s="486">
        <v>642.79999999999995</v>
      </c>
      <c r="G117" s="486">
        <v>17.16</v>
      </c>
      <c r="H117" s="487">
        <v>114.72</v>
      </c>
      <c r="I117" s="470">
        <f>SUM(B117:H117)</f>
        <v>1122.83</v>
      </c>
      <c r="J117" s="471">
        <f>125-I117</f>
        <v>-997.82999999999993</v>
      </c>
      <c r="K117" s="658"/>
      <c r="L117" s="461"/>
      <c r="M117" s="461"/>
      <c r="N117" s="461"/>
      <c r="O117" s="461"/>
      <c r="P117" s="461"/>
      <c r="Q117" s="461"/>
      <c r="R117" s="461"/>
      <c r="S117" s="461"/>
      <c r="T117" s="461"/>
      <c r="U117" s="461"/>
      <c r="V117" s="461"/>
      <c r="W117" s="461"/>
      <c r="X117" s="461"/>
      <c r="Y117" s="461"/>
    </row>
    <row r="118" spans="1:25" ht="20.25" x14ac:dyDescent="0.4">
      <c r="A118" s="461"/>
      <c r="B118" s="472">
        <v>9</v>
      </c>
      <c r="C118" s="473">
        <v>10</v>
      </c>
      <c r="D118" s="473">
        <v>11</v>
      </c>
      <c r="E118" s="473">
        <v>12</v>
      </c>
      <c r="F118" s="473">
        <v>13</v>
      </c>
      <c r="G118" s="473">
        <v>14</v>
      </c>
      <c r="H118" s="474">
        <v>15</v>
      </c>
      <c r="I118" s="3"/>
      <c r="J118" s="3"/>
      <c r="K118" s="658"/>
      <c r="L118" s="461"/>
      <c r="M118" s="461"/>
      <c r="N118" s="461"/>
      <c r="O118" s="461"/>
      <c r="P118" s="461"/>
      <c r="Q118" s="461"/>
      <c r="R118" s="461"/>
      <c r="S118" s="461"/>
      <c r="T118" s="461"/>
      <c r="U118" s="461"/>
      <c r="V118" s="461"/>
      <c r="W118" s="461"/>
      <c r="X118" s="461"/>
      <c r="Y118" s="461"/>
    </row>
    <row r="119" spans="1:25" ht="20.25" x14ac:dyDescent="0.4">
      <c r="A119" s="461"/>
      <c r="B119" s="485">
        <v>30.63</v>
      </c>
      <c r="C119" s="486">
        <v>28.25</v>
      </c>
      <c r="D119" s="486">
        <v>18.37</v>
      </c>
      <c r="E119" s="486">
        <v>0</v>
      </c>
      <c r="F119" s="486">
        <v>71.849999999999994</v>
      </c>
      <c r="G119" s="486">
        <v>128.47999999999999</v>
      </c>
      <c r="H119" s="487">
        <v>38.75</v>
      </c>
      <c r="I119" s="470">
        <f>SUM(B119:H119)</f>
        <v>316.33</v>
      </c>
      <c r="J119" s="471">
        <f>125-I119</f>
        <v>-191.32999999999998</v>
      </c>
      <c r="K119" s="658"/>
      <c r="L119" s="461"/>
      <c r="M119" s="461"/>
      <c r="N119" s="461"/>
      <c r="O119" s="461"/>
      <c r="P119" s="461"/>
      <c r="Q119" s="461"/>
      <c r="R119" s="461"/>
      <c r="S119" s="461"/>
      <c r="T119" s="461"/>
      <c r="U119" s="461"/>
      <c r="V119" s="461"/>
      <c r="W119" s="461"/>
      <c r="X119" s="461"/>
      <c r="Y119" s="461"/>
    </row>
    <row r="120" spans="1:25" ht="20.25" x14ac:dyDescent="0.4">
      <c r="A120" s="461"/>
      <c r="B120" s="472">
        <v>16</v>
      </c>
      <c r="C120" s="473">
        <v>17</v>
      </c>
      <c r="D120" s="473">
        <v>18</v>
      </c>
      <c r="E120" s="473">
        <v>19</v>
      </c>
      <c r="F120" s="473">
        <v>20</v>
      </c>
      <c r="G120" s="473">
        <v>21</v>
      </c>
      <c r="H120" s="474">
        <v>22</v>
      </c>
      <c r="I120" s="3"/>
      <c r="J120" s="3"/>
      <c r="K120" s="658"/>
      <c r="L120" s="461"/>
      <c r="M120" s="461"/>
      <c r="N120" s="461"/>
      <c r="O120" s="461"/>
      <c r="P120" s="461"/>
      <c r="Q120" s="461"/>
      <c r="R120" s="461"/>
      <c r="S120" s="461"/>
      <c r="T120" s="461"/>
      <c r="U120" s="461"/>
      <c r="V120" s="461"/>
      <c r="W120" s="461"/>
      <c r="X120" s="461"/>
      <c r="Y120" s="461"/>
    </row>
    <row r="121" spans="1:25" ht="20.25" x14ac:dyDescent="0.4">
      <c r="A121" s="461"/>
      <c r="B121" s="485">
        <v>18.68</v>
      </c>
      <c r="C121" s="486">
        <v>58.09</v>
      </c>
      <c r="D121" s="486">
        <v>15.38</v>
      </c>
      <c r="E121" s="486">
        <v>54.81</v>
      </c>
      <c r="F121" s="486">
        <v>65.66</v>
      </c>
      <c r="G121" s="486">
        <v>68.680000000000007</v>
      </c>
      <c r="H121" s="487">
        <v>305.49</v>
      </c>
      <c r="I121" s="470">
        <f>SUM(B121:H121)</f>
        <v>586.79</v>
      </c>
      <c r="J121" s="471">
        <f>125-I121</f>
        <v>-461.78999999999996</v>
      </c>
      <c r="K121" s="658"/>
      <c r="L121" s="461"/>
      <c r="M121" s="461"/>
      <c r="N121" s="461"/>
      <c r="O121" s="461"/>
      <c r="P121" s="461"/>
      <c r="Q121" s="461"/>
      <c r="R121" s="461"/>
      <c r="S121" s="461"/>
      <c r="T121" s="461"/>
      <c r="U121" s="461"/>
      <c r="V121" s="461"/>
      <c r="W121" s="461"/>
      <c r="X121" s="461"/>
      <c r="Y121" s="461"/>
    </row>
    <row r="122" spans="1:25" ht="20.25" x14ac:dyDescent="0.4">
      <c r="A122" s="461"/>
      <c r="B122" s="472">
        <v>23</v>
      </c>
      <c r="C122" s="473">
        <v>24</v>
      </c>
      <c r="D122" s="473">
        <v>25</v>
      </c>
      <c r="E122" s="473">
        <v>26</v>
      </c>
      <c r="F122" s="473">
        <v>27</v>
      </c>
      <c r="G122" s="478">
        <v>28</v>
      </c>
      <c r="H122" s="466">
        <v>29</v>
      </c>
      <c r="I122" s="511"/>
      <c r="J122" s="511"/>
      <c r="K122" s="658"/>
      <c r="L122" s="461"/>
      <c r="M122" s="461"/>
      <c r="N122" s="461"/>
      <c r="O122" s="461"/>
      <c r="P122" s="461"/>
      <c r="Q122" s="461"/>
      <c r="R122" s="461"/>
      <c r="S122" s="461"/>
      <c r="T122" s="461"/>
      <c r="U122" s="461"/>
      <c r="V122" s="461"/>
      <c r="W122" s="461"/>
      <c r="X122" s="461"/>
      <c r="Y122" s="461"/>
    </row>
    <row r="123" spans="1:25" ht="20.25" x14ac:dyDescent="0.4">
      <c r="A123" s="461"/>
      <c r="B123" s="485">
        <v>27.12</v>
      </c>
      <c r="C123" s="486">
        <v>31.28</v>
      </c>
      <c r="D123" s="486">
        <v>92.01</v>
      </c>
      <c r="E123" s="486">
        <v>89.16</v>
      </c>
      <c r="F123" s="486">
        <v>40.64</v>
      </c>
      <c r="G123" s="486">
        <v>22.95</v>
      </c>
      <c r="H123" s="487">
        <v>46.58</v>
      </c>
      <c r="I123" s="470">
        <f>SUM(B123:H123)</f>
        <v>349.74</v>
      </c>
      <c r="J123" s="471">
        <f>125-I123</f>
        <v>-224.74</v>
      </c>
      <c r="K123" s="658"/>
      <c r="L123" s="461"/>
      <c r="M123" s="461"/>
      <c r="N123" s="461"/>
      <c r="O123" s="461"/>
      <c r="P123" s="461"/>
      <c r="Q123" s="461"/>
      <c r="R123" s="461"/>
      <c r="S123" s="461"/>
      <c r="T123" s="461"/>
      <c r="U123" s="461"/>
      <c r="V123" s="461"/>
      <c r="W123" s="461"/>
      <c r="X123" s="461"/>
      <c r="Y123" s="461"/>
    </row>
    <row r="124" spans="1:25" ht="20.25" x14ac:dyDescent="0.4">
      <c r="A124" s="461"/>
      <c r="B124" s="472">
        <v>30</v>
      </c>
      <c r="C124" s="465">
        <v>1</v>
      </c>
      <c r="D124" s="465">
        <v>2</v>
      </c>
      <c r="E124" s="465">
        <v>3</v>
      </c>
      <c r="F124" s="465">
        <v>4</v>
      </c>
      <c r="G124" s="465">
        <v>5</v>
      </c>
      <c r="H124" s="480">
        <v>6</v>
      </c>
      <c r="I124" s="3"/>
      <c r="J124" s="3"/>
      <c r="K124" s="658"/>
      <c r="L124" s="461"/>
      <c r="M124" s="461"/>
      <c r="N124" s="461"/>
      <c r="O124" s="461"/>
      <c r="P124" s="461"/>
      <c r="Q124" s="461"/>
      <c r="R124" s="461"/>
      <c r="S124" s="461"/>
      <c r="T124" s="461"/>
      <c r="U124" s="461"/>
      <c r="V124" s="461"/>
      <c r="W124" s="461"/>
      <c r="X124" s="461"/>
      <c r="Y124" s="461"/>
    </row>
    <row r="125" spans="1:25" ht="20.25" x14ac:dyDescent="0.4">
      <c r="A125" s="461"/>
      <c r="B125" s="488">
        <v>98.58</v>
      </c>
      <c r="C125" s="490">
        <v>34.409999999999997</v>
      </c>
      <c r="D125" s="490">
        <v>184.12</v>
      </c>
      <c r="E125" s="490">
        <v>156.49</v>
      </c>
      <c r="F125" s="490">
        <v>114.61</v>
      </c>
      <c r="G125" s="490">
        <v>21.6</v>
      </c>
      <c r="H125" s="490">
        <v>107.64</v>
      </c>
      <c r="I125" s="470">
        <f>SUM(B125:H125)</f>
        <v>717.45</v>
      </c>
      <c r="J125" s="471">
        <f>125-I125</f>
        <v>-592.45000000000005</v>
      </c>
      <c r="K125" s="659"/>
      <c r="L125" s="461"/>
      <c r="M125" s="461"/>
      <c r="N125" s="461"/>
      <c r="O125" s="461"/>
      <c r="P125" s="461"/>
      <c r="Q125" s="461"/>
      <c r="R125" s="461"/>
      <c r="S125" s="461"/>
      <c r="T125" s="461"/>
      <c r="U125" s="461"/>
      <c r="V125" s="461"/>
      <c r="W125" s="461"/>
      <c r="X125" s="461"/>
      <c r="Y125" s="461"/>
    </row>
    <row r="126" spans="1:25" ht="20.25" x14ac:dyDescent="0.4">
      <c r="A126" s="461"/>
      <c r="B126" s="462"/>
      <c r="C126" s="462"/>
      <c r="D126" s="462"/>
      <c r="E126" s="462"/>
      <c r="F126" s="462"/>
      <c r="G126" s="462"/>
      <c r="H126" s="462"/>
      <c r="I126" s="463"/>
      <c r="J126" s="463"/>
      <c r="K126" s="461"/>
      <c r="L126" s="461"/>
      <c r="M126" s="461"/>
      <c r="N126" s="461"/>
      <c r="O126" s="461"/>
      <c r="P126" s="461"/>
      <c r="Q126" s="461"/>
      <c r="R126" s="461"/>
      <c r="S126" s="461"/>
      <c r="T126" s="461"/>
      <c r="U126" s="461"/>
      <c r="V126" s="461"/>
      <c r="W126" s="461"/>
      <c r="X126" s="461"/>
      <c r="Y126" s="461"/>
    </row>
    <row r="127" spans="1:25" ht="21.75" x14ac:dyDescent="0.4">
      <c r="A127" s="461"/>
      <c r="B127" s="654" t="s">
        <v>76</v>
      </c>
      <c r="C127" s="655"/>
      <c r="D127" s="655"/>
      <c r="E127" s="655"/>
      <c r="F127" s="655"/>
      <c r="G127" s="655"/>
      <c r="H127" s="656"/>
      <c r="I127" s="3"/>
      <c r="J127" s="3"/>
      <c r="K127" s="3"/>
      <c r="L127" s="461"/>
      <c r="M127" s="461"/>
      <c r="N127" s="461"/>
      <c r="O127" s="461"/>
      <c r="P127" s="461"/>
      <c r="Q127" s="461"/>
      <c r="R127" s="461"/>
      <c r="S127" s="461"/>
      <c r="T127" s="461"/>
      <c r="U127" s="461"/>
      <c r="V127" s="461"/>
      <c r="W127" s="461"/>
      <c r="X127" s="461"/>
      <c r="Y127" s="461"/>
    </row>
    <row r="128" spans="1:25" ht="20.25" x14ac:dyDescent="0.4">
      <c r="A128" s="461"/>
      <c r="B128" s="464">
        <v>28</v>
      </c>
      <c r="C128" s="465">
        <v>29</v>
      </c>
      <c r="D128" s="465">
        <v>30</v>
      </c>
      <c r="E128" s="473">
        <v>1</v>
      </c>
      <c r="F128" s="473">
        <v>2</v>
      </c>
      <c r="G128" s="473">
        <v>3</v>
      </c>
      <c r="H128" s="474">
        <v>4</v>
      </c>
      <c r="I128" s="3"/>
      <c r="J128" s="3"/>
      <c r="K128" s="3"/>
      <c r="L128" s="461"/>
      <c r="M128" s="461"/>
      <c r="N128" s="461"/>
      <c r="O128" s="461"/>
      <c r="P128" s="461"/>
      <c r="Q128" s="461"/>
      <c r="R128" s="461"/>
      <c r="S128" s="461"/>
      <c r="T128" s="461"/>
      <c r="U128" s="461"/>
      <c r="V128" s="461"/>
      <c r="W128" s="461"/>
      <c r="X128" s="461"/>
      <c r="Y128" s="461"/>
    </row>
    <row r="129" spans="1:25" ht="20.25" x14ac:dyDescent="0.4">
      <c r="A129" s="461"/>
      <c r="B129" s="467">
        <v>73.569999999999993</v>
      </c>
      <c r="C129" s="468">
        <v>48.97</v>
      </c>
      <c r="D129" s="468">
        <v>23.29</v>
      </c>
      <c r="E129" s="486">
        <v>51.47</v>
      </c>
      <c r="F129" s="486">
        <v>25.34</v>
      </c>
      <c r="G129" s="486">
        <v>77.25</v>
      </c>
      <c r="H129" s="487">
        <v>16</v>
      </c>
      <c r="I129" s="470">
        <f>SUM(B129:H129)</f>
        <v>315.89</v>
      </c>
      <c r="J129" s="471">
        <f>125-I129</f>
        <v>-190.89</v>
      </c>
      <c r="K129" s="657">
        <f>1505-SUM(I129:I137)-97</f>
        <v>-594.96</v>
      </c>
      <c r="L129" s="461"/>
      <c r="M129" s="461"/>
      <c r="N129" s="461"/>
      <c r="O129" s="461"/>
      <c r="P129" s="461"/>
      <c r="Q129" s="461"/>
      <c r="R129" s="461"/>
      <c r="S129" s="461"/>
      <c r="T129" s="461"/>
      <c r="U129" s="461"/>
      <c r="V129" s="461"/>
      <c r="W129" s="461"/>
      <c r="X129" s="461"/>
      <c r="Y129" s="461"/>
    </row>
    <row r="130" spans="1:25" ht="20.25" x14ac:dyDescent="0.4">
      <c r="A130" s="461"/>
      <c r="B130" s="472">
        <v>5</v>
      </c>
      <c r="C130" s="473">
        <v>6</v>
      </c>
      <c r="D130" s="473">
        <v>7</v>
      </c>
      <c r="E130" s="473">
        <v>8</v>
      </c>
      <c r="F130" s="473">
        <v>9</v>
      </c>
      <c r="G130" s="473">
        <v>10</v>
      </c>
      <c r="H130" s="474">
        <v>11</v>
      </c>
      <c r="I130" s="3"/>
      <c r="J130" s="3"/>
      <c r="K130" s="658"/>
      <c r="L130" s="461"/>
      <c r="M130" s="461"/>
      <c r="N130" s="461"/>
      <c r="O130" s="461"/>
      <c r="P130" s="461"/>
      <c r="Q130" s="461"/>
      <c r="R130" s="461"/>
      <c r="S130" s="461"/>
      <c r="T130" s="461"/>
      <c r="U130" s="461"/>
      <c r="V130" s="461"/>
      <c r="W130" s="461"/>
      <c r="X130" s="461"/>
      <c r="Y130" s="461"/>
    </row>
    <row r="131" spans="1:25" ht="20.25" x14ac:dyDescent="0.4">
      <c r="A131" s="461"/>
      <c r="B131" s="485">
        <v>48.64</v>
      </c>
      <c r="C131" s="486">
        <v>97.12</v>
      </c>
      <c r="D131" s="486">
        <v>43.3</v>
      </c>
      <c r="E131" s="486">
        <v>55.58</v>
      </c>
      <c r="F131" s="486">
        <v>16.41</v>
      </c>
      <c r="G131" s="486">
        <v>28.32</v>
      </c>
      <c r="H131" s="487">
        <v>53.18</v>
      </c>
      <c r="I131" s="470">
        <f>SUM(B131:H131)</f>
        <v>342.55</v>
      </c>
      <c r="J131" s="471">
        <f>125-I131</f>
        <v>-217.55</v>
      </c>
      <c r="K131" s="658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</row>
    <row r="132" spans="1:25" ht="20.25" x14ac:dyDescent="0.4">
      <c r="A132" s="461"/>
      <c r="B132" s="472">
        <v>12</v>
      </c>
      <c r="C132" s="473">
        <v>13</v>
      </c>
      <c r="D132" s="473">
        <v>14</v>
      </c>
      <c r="E132" s="473">
        <v>15</v>
      </c>
      <c r="F132" s="473">
        <v>16</v>
      </c>
      <c r="G132" s="473">
        <v>17</v>
      </c>
      <c r="H132" s="474">
        <v>18</v>
      </c>
      <c r="I132" s="3"/>
      <c r="J132" s="3"/>
      <c r="K132" s="658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</row>
    <row r="133" spans="1:25" ht="20.25" x14ac:dyDescent="0.4">
      <c r="A133" s="461"/>
      <c r="B133" s="485">
        <v>34.479999999999997</v>
      </c>
      <c r="C133" s="486">
        <v>407.81</v>
      </c>
      <c r="D133" s="486">
        <v>27.61</v>
      </c>
      <c r="E133" s="486">
        <v>37.549999999999997</v>
      </c>
      <c r="F133" s="486">
        <v>59.01</v>
      </c>
      <c r="G133" s="476">
        <f>82.75+3.7</f>
        <v>86.45</v>
      </c>
      <c r="H133" s="487">
        <v>30.97</v>
      </c>
      <c r="I133" s="470">
        <f>SUM(B133:H133)</f>
        <v>683.88000000000011</v>
      </c>
      <c r="J133" s="471">
        <f>125-I133</f>
        <v>-558.88000000000011</v>
      </c>
      <c r="K133" s="658"/>
      <c r="L133" s="461"/>
      <c r="M133" s="461"/>
      <c r="N133" s="461"/>
      <c r="O133" s="461"/>
      <c r="P133" s="461"/>
      <c r="Q133" s="461"/>
      <c r="R133" s="461"/>
      <c r="S133" s="461"/>
      <c r="T133" s="461"/>
      <c r="U133" s="461"/>
      <c r="V133" s="461"/>
      <c r="W133" s="461"/>
      <c r="X133" s="461"/>
      <c r="Y133" s="461"/>
    </row>
    <row r="134" spans="1:25" ht="20.25" x14ac:dyDescent="0.4">
      <c r="A134" s="461"/>
      <c r="B134" s="472">
        <v>19</v>
      </c>
      <c r="C134" s="473">
        <v>20</v>
      </c>
      <c r="D134" s="473">
        <v>21</v>
      </c>
      <c r="E134" s="473">
        <v>22</v>
      </c>
      <c r="F134" s="473">
        <v>23</v>
      </c>
      <c r="G134" s="473">
        <v>24</v>
      </c>
      <c r="H134" s="474">
        <v>25</v>
      </c>
      <c r="I134" s="3"/>
      <c r="J134" s="3"/>
      <c r="K134" s="658"/>
      <c r="L134" s="461"/>
      <c r="M134" s="461"/>
      <c r="N134" s="461"/>
      <c r="O134" s="461"/>
      <c r="P134" s="461"/>
      <c r="Q134" s="461"/>
      <c r="R134" s="461"/>
      <c r="S134" s="461"/>
      <c r="T134" s="461"/>
      <c r="U134" s="461"/>
      <c r="V134" s="461"/>
      <c r="W134" s="461"/>
      <c r="X134" s="461"/>
      <c r="Y134" s="461"/>
    </row>
    <row r="135" spans="1:25" ht="20.25" x14ac:dyDescent="0.4">
      <c r="A135" s="461"/>
      <c r="B135" s="485">
        <v>20.21</v>
      </c>
      <c r="C135" s="486">
        <v>36.78</v>
      </c>
      <c r="D135" s="486">
        <v>54.83</v>
      </c>
      <c r="E135" s="486">
        <v>48.27</v>
      </c>
      <c r="F135" s="486">
        <v>77.42</v>
      </c>
      <c r="G135" s="486">
        <v>0</v>
      </c>
      <c r="H135" s="487">
        <v>22.72</v>
      </c>
      <c r="I135" s="470">
        <f>SUM(B135:H135)</f>
        <v>260.23</v>
      </c>
      <c r="J135" s="471">
        <f>125-I135</f>
        <v>-135.23000000000002</v>
      </c>
      <c r="K135" s="658"/>
      <c r="L135" s="461"/>
      <c r="M135" s="461"/>
      <c r="N135" s="461"/>
      <c r="O135" s="461"/>
      <c r="P135" s="461"/>
      <c r="Q135" s="461"/>
      <c r="R135" s="461"/>
      <c r="S135" s="461"/>
      <c r="T135" s="461"/>
      <c r="U135" s="461"/>
      <c r="V135" s="461"/>
      <c r="W135" s="461"/>
      <c r="X135" s="461"/>
      <c r="Y135" s="461"/>
    </row>
    <row r="136" spans="1:25" ht="20.25" x14ac:dyDescent="0.4">
      <c r="A136" s="461"/>
      <c r="B136" s="472">
        <v>26</v>
      </c>
      <c r="C136" s="473">
        <v>27</v>
      </c>
      <c r="D136" s="478">
        <v>28</v>
      </c>
      <c r="E136" s="478">
        <v>29</v>
      </c>
      <c r="F136" s="478">
        <v>30</v>
      </c>
      <c r="G136" s="478">
        <v>31</v>
      </c>
      <c r="H136" s="480">
        <v>1</v>
      </c>
      <c r="I136" s="3"/>
      <c r="J136" s="3"/>
      <c r="K136" s="658"/>
      <c r="L136" s="461"/>
      <c r="M136" s="461"/>
      <c r="N136" s="461"/>
      <c r="O136" s="461"/>
      <c r="P136" s="461"/>
      <c r="Q136" s="461"/>
      <c r="R136" s="461"/>
      <c r="S136" s="461"/>
      <c r="T136" s="461"/>
      <c r="U136" s="461"/>
      <c r="V136" s="461"/>
      <c r="W136" s="461"/>
      <c r="X136" s="461"/>
      <c r="Y136" s="461"/>
    </row>
    <row r="137" spans="1:25" ht="20.25" x14ac:dyDescent="0.4">
      <c r="A137" s="461"/>
      <c r="B137" s="488">
        <v>40.75</v>
      </c>
      <c r="C137" s="489">
        <v>23.25</v>
      </c>
      <c r="D137" s="494">
        <v>32.130000000000003</v>
      </c>
      <c r="E137" s="494">
        <v>124.89</v>
      </c>
      <c r="F137" s="494">
        <v>25.33</v>
      </c>
      <c r="G137" s="494">
        <v>121.1</v>
      </c>
      <c r="H137" s="512">
        <v>32.96</v>
      </c>
      <c r="I137" s="470">
        <f>SUM(B137:H137)</f>
        <v>400.40999999999991</v>
      </c>
      <c r="J137" s="471">
        <f>125-I137</f>
        <v>-275.40999999999991</v>
      </c>
      <c r="K137" s="659"/>
      <c r="L137" s="461"/>
      <c r="M137" s="461"/>
      <c r="N137" s="461"/>
      <c r="O137" s="461"/>
      <c r="P137" s="461"/>
      <c r="Q137" s="461"/>
      <c r="R137" s="461"/>
      <c r="S137" s="461"/>
      <c r="T137" s="461"/>
      <c r="U137" s="461"/>
      <c r="V137" s="461"/>
      <c r="W137" s="461"/>
      <c r="X137" s="461"/>
      <c r="Y137" s="461"/>
    </row>
    <row r="138" spans="1:25" ht="20.25" x14ac:dyDescent="0.4">
      <c r="A138" s="461"/>
      <c r="B138" s="462"/>
      <c r="C138" s="462"/>
      <c r="D138" s="462"/>
      <c r="E138" s="462"/>
      <c r="F138" s="462"/>
      <c r="G138" s="462"/>
      <c r="H138" s="462"/>
      <c r="I138" s="463"/>
      <c r="J138" s="463"/>
      <c r="K138" s="461"/>
      <c r="L138" s="461"/>
      <c r="M138" s="461"/>
      <c r="N138" s="461"/>
      <c r="O138" s="461"/>
      <c r="P138" s="461"/>
      <c r="Q138" s="461"/>
      <c r="R138" s="461"/>
      <c r="S138" s="461"/>
      <c r="T138" s="461"/>
      <c r="U138" s="461"/>
      <c r="V138" s="461"/>
      <c r="W138" s="461"/>
      <c r="X138" s="461"/>
      <c r="Y138" s="461"/>
    </row>
    <row r="139" spans="1:25" ht="21.75" x14ac:dyDescent="0.4">
      <c r="A139" s="461"/>
      <c r="B139" s="654" t="s">
        <v>77</v>
      </c>
      <c r="C139" s="655"/>
      <c r="D139" s="655"/>
      <c r="E139" s="655"/>
      <c r="F139" s="655"/>
      <c r="G139" s="655"/>
      <c r="H139" s="656"/>
      <c r="I139" s="513"/>
      <c r="J139" s="513"/>
      <c r="K139" s="3"/>
      <c r="L139" s="461"/>
      <c r="M139" s="461"/>
      <c r="N139" s="461"/>
      <c r="O139" s="461"/>
      <c r="P139" s="461"/>
      <c r="Q139" s="461"/>
      <c r="R139" s="461"/>
      <c r="S139" s="461"/>
      <c r="T139" s="461"/>
      <c r="U139" s="461"/>
      <c r="V139" s="461"/>
      <c r="W139" s="461"/>
      <c r="X139" s="461"/>
      <c r="Y139" s="461"/>
    </row>
    <row r="140" spans="1:25" ht="20.25" x14ac:dyDescent="0.4">
      <c r="A140" s="461"/>
      <c r="B140" s="464">
        <v>31</v>
      </c>
      <c r="C140" s="478">
        <v>1</v>
      </c>
      <c r="D140" s="478">
        <v>2</v>
      </c>
      <c r="E140" s="478">
        <v>3</v>
      </c>
      <c r="F140" s="478">
        <v>4</v>
      </c>
      <c r="G140" s="478">
        <v>5</v>
      </c>
      <c r="H140" s="466">
        <v>6</v>
      </c>
      <c r="I140" s="513"/>
      <c r="J140" s="513"/>
      <c r="K140" s="3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X140" s="461"/>
      <c r="Y140" s="461"/>
    </row>
    <row r="141" spans="1:25" ht="20.25" x14ac:dyDescent="0.4">
      <c r="A141" s="461"/>
      <c r="B141" s="467">
        <v>48.19</v>
      </c>
      <c r="C141" s="499">
        <v>27.99</v>
      </c>
      <c r="D141" s="499">
        <v>33.82</v>
      </c>
      <c r="E141" s="499">
        <v>32.729999999999997</v>
      </c>
      <c r="F141" s="499">
        <v>5.38</v>
      </c>
      <c r="G141" s="499">
        <v>31.1</v>
      </c>
      <c r="H141" s="469">
        <v>32.21</v>
      </c>
      <c r="I141" s="514">
        <f>SUM(B141:H141)</f>
        <v>211.42</v>
      </c>
      <c r="J141" s="515">
        <f>125-I141</f>
        <v>-86.419999999999987</v>
      </c>
      <c r="K141" s="657">
        <f>1505-SUM(I141:I149)-97</f>
        <v>68.559999999999945</v>
      </c>
      <c r="L141" s="461"/>
      <c r="M141" s="461"/>
      <c r="N141" s="461"/>
      <c r="O141" s="461"/>
      <c r="P141" s="461"/>
      <c r="Q141" s="461"/>
      <c r="R141" s="461"/>
      <c r="S141" s="461"/>
      <c r="T141" s="461"/>
      <c r="U141" s="461"/>
      <c r="V141" s="461"/>
      <c r="W141" s="461"/>
      <c r="X141" s="461"/>
      <c r="Y141" s="461"/>
    </row>
    <row r="142" spans="1:25" ht="20.25" x14ac:dyDescent="0.4">
      <c r="A142" s="461"/>
      <c r="B142" s="472">
        <v>7</v>
      </c>
      <c r="C142" s="473">
        <v>8</v>
      </c>
      <c r="D142" s="473">
        <v>9</v>
      </c>
      <c r="E142" s="473">
        <v>10</v>
      </c>
      <c r="F142" s="473">
        <v>11</v>
      </c>
      <c r="G142" s="478">
        <v>12</v>
      </c>
      <c r="H142" s="474">
        <v>13</v>
      </c>
      <c r="I142" s="513"/>
      <c r="J142" s="513"/>
      <c r="K142" s="658"/>
      <c r="L142" s="461"/>
      <c r="M142" s="461"/>
      <c r="N142" s="461"/>
      <c r="O142" s="461"/>
      <c r="P142" s="461"/>
      <c r="Q142" s="461"/>
      <c r="R142" s="461"/>
      <c r="S142" s="461"/>
      <c r="T142" s="461"/>
      <c r="U142" s="461"/>
      <c r="V142" s="461"/>
      <c r="W142" s="461"/>
      <c r="X142" s="461"/>
      <c r="Y142" s="461"/>
    </row>
    <row r="143" spans="1:25" ht="20.25" x14ac:dyDescent="0.4">
      <c r="A143" s="461"/>
      <c r="B143" s="485">
        <v>28.91</v>
      </c>
      <c r="C143" s="486">
        <v>52.72</v>
      </c>
      <c r="D143" s="486">
        <v>22.33</v>
      </c>
      <c r="E143" s="486">
        <v>85.61</v>
      </c>
      <c r="F143" s="486">
        <v>13.58</v>
      </c>
      <c r="G143" s="486">
        <v>37.47</v>
      </c>
      <c r="H143" s="487">
        <v>104.86</v>
      </c>
      <c r="I143" s="514">
        <f>SUM(B143:H143)</f>
        <v>345.48</v>
      </c>
      <c r="J143" s="515">
        <f>125-I143</f>
        <v>-220.48000000000002</v>
      </c>
      <c r="K143" s="658"/>
      <c r="L143" s="461"/>
      <c r="M143" s="461"/>
      <c r="N143" s="461"/>
      <c r="O143" s="461"/>
      <c r="P143" s="461"/>
      <c r="Q143" s="461"/>
      <c r="R143" s="461"/>
      <c r="S143" s="461"/>
      <c r="T143" s="461"/>
      <c r="U143" s="461"/>
      <c r="V143" s="461"/>
      <c r="W143" s="461"/>
      <c r="X143" s="461"/>
      <c r="Y143" s="461"/>
    </row>
    <row r="144" spans="1:25" ht="20.25" x14ac:dyDescent="0.4">
      <c r="A144" s="461"/>
      <c r="B144" s="472">
        <v>14</v>
      </c>
      <c r="C144" s="473">
        <v>15</v>
      </c>
      <c r="D144" s="473">
        <v>16</v>
      </c>
      <c r="E144" s="473">
        <v>17</v>
      </c>
      <c r="F144" s="473">
        <v>18</v>
      </c>
      <c r="G144" s="473">
        <v>19</v>
      </c>
      <c r="H144" s="474">
        <v>20</v>
      </c>
      <c r="I144" s="513"/>
      <c r="J144" s="513"/>
      <c r="K144" s="658"/>
      <c r="L144" s="461"/>
      <c r="M144" s="461"/>
      <c r="N144" s="461"/>
      <c r="O144" s="461"/>
      <c r="P144" s="461"/>
      <c r="Q144" s="461"/>
      <c r="R144" s="461"/>
      <c r="S144" s="461"/>
      <c r="T144" s="461"/>
      <c r="U144" s="461"/>
      <c r="V144" s="461"/>
      <c r="W144" s="461"/>
      <c r="X144" s="461"/>
      <c r="Y144" s="461"/>
    </row>
    <row r="145" spans="1:25" ht="20.25" x14ac:dyDescent="0.4">
      <c r="A145" s="461"/>
      <c r="B145" s="485">
        <v>5.78</v>
      </c>
      <c r="C145" s="486">
        <v>12.27</v>
      </c>
      <c r="D145" s="486">
        <v>0</v>
      </c>
      <c r="E145" s="486">
        <v>45.3</v>
      </c>
      <c r="F145" s="486">
        <v>34.85</v>
      </c>
      <c r="G145" s="486">
        <v>48.18</v>
      </c>
      <c r="H145" s="487">
        <v>65.599999999999994</v>
      </c>
      <c r="I145" s="514">
        <f>SUM(B145:H145)</f>
        <v>211.98</v>
      </c>
      <c r="J145" s="515">
        <f>125-I145</f>
        <v>-86.97999999999999</v>
      </c>
      <c r="K145" s="658"/>
      <c r="L145" s="461"/>
      <c r="M145" s="461"/>
      <c r="N145" s="461"/>
      <c r="O145" s="461"/>
      <c r="P145" s="461"/>
      <c r="Q145" s="461"/>
      <c r="R145" s="461"/>
      <c r="S145" s="461"/>
      <c r="T145" s="461"/>
      <c r="U145" s="461"/>
      <c r="V145" s="461"/>
      <c r="W145" s="461"/>
      <c r="X145" s="461"/>
      <c r="Y145" s="461"/>
    </row>
    <row r="146" spans="1:25" ht="20.25" x14ac:dyDescent="0.4">
      <c r="A146" s="461"/>
      <c r="B146" s="472">
        <v>21</v>
      </c>
      <c r="C146" s="473">
        <v>22</v>
      </c>
      <c r="D146" s="473">
        <v>23</v>
      </c>
      <c r="E146" s="473">
        <v>24</v>
      </c>
      <c r="F146" s="478">
        <v>25</v>
      </c>
      <c r="G146" s="473">
        <v>26</v>
      </c>
      <c r="H146" s="474">
        <v>27</v>
      </c>
      <c r="I146" s="513"/>
      <c r="J146" s="513"/>
      <c r="K146" s="658"/>
      <c r="L146" s="461"/>
      <c r="M146" s="461"/>
      <c r="N146" s="461"/>
      <c r="O146" s="461"/>
      <c r="P146" s="461"/>
      <c r="Q146" s="461"/>
      <c r="R146" s="461"/>
      <c r="S146" s="461"/>
      <c r="T146" s="461"/>
      <c r="U146" s="461"/>
      <c r="V146" s="461"/>
      <c r="W146" s="461"/>
      <c r="X146" s="461"/>
      <c r="Y146" s="461"/>
    </row>
    <row r="147" spans="1:25" ht="20.25" x14ac:dyDescent="0.4">
      <c r="A147" s="461"/>
      <c r="B147" s="516">
        <v>28.45</v>
      </c>
      <c r="C147" s="501">
        <v>90.33</v>
      </c>
      <c r="D147" s="501">
        <v>24.29</v>
      </c>
      <c r="E147" s="501">
        <v>24.88</v>
      </c>
      <c r="F147" s="501">
        <v>34.42</v>
      </c>
      <c r="G147" s="501">
        <v>24.4</v>
      </c>
      <c r="H147" s="502">
        <v>27.9</v>
      </c>
      <c r="I147" s="517">
        <f>SUM(B147:H147)</f>
        <v>254.67000000000002</v>
      </c>
      <c r="J147" s="518">
        <f>125-I147</f>
        <v>-129.67000000000002</v>
      </c>
      <c r="K147" s="658"/>
      <c r="L147" s="461"/>
      <c r="M147" s="461"/>
      <c r="N147" s="461"/>
      <c r="O147" s="461"/>
      <c r="P147" s="461"/>
      <c r="Q147" s="461"/>
      <c r="R147" s="461"/>
      <c r="S147" s="461"/>
      <c r="T147" s="461"/>
      <c r="U147" s="461"/>
      <c r="V147" s="461"/>
      <c r="W147" s="461"/>
      <c r="X147" s="461"/>
      <c r="Y147" s="461"/>
    </row>
    <row r="148" spans="1:25" ht="20.25" x14ac:dyDescent="0.4">
      <c r="A148" s="461"/>
      <c r="B148" s="472">
        <v>28</v>
      </c>
      <c r="C148" s="473">
        <v>29</v>
      </c>
      <c r="D148" s="473">
        <v>30</v>
      </c>
      <c r="E148" s="465">
        <v>1</v>
      </c>
      <c r="F148" s="465">
        <v>2</v>
      </c>
      <c r="G148" s="465">
        <v>3</v>
      </c>
      <c r="H148" s="480">
        <v>4</v>
      </c>
      <c r="I148" s="513"/>
      <c r="J148" s="513"/>
      <c r="K148" s="658"/>
      <c r="L148" s="461"/>
      <c r="M148" s="461"/>
      <c r="N148" s="461"/>
      <c r="O148" s="461"/>
      <c r="P148" s="461"/>
      <c r="Q148" s="461"/>
      <c r="R148" s="461"/>
      <c r="S148" s="461"/>
      <c r="T148" s="461"/>
      <c r="U148" s="461"/>
      <c r="V148" s="461"/>
      <c r="W148" s="461"/>
      <c r="X148" s="461"/>
      <c r="Y148" s="461"/>
    </row>
    <row r="149" spans="1:25" ht="20.25" x14ac:dyDescent="0.4">
      <c r="A149" s="461"/>
      <c r="B149" s="510">
        <v>73.569999999999993</v>
      </c>
      <c r="C149" s="495">
        <v>48.97</v>
      </c>
      <c r="D149" s="495">
        <v>23.29</v>
      </c>
      <c r="E149" s="496">
        <v>51.47</v>
      </c>
      <c r="F149" s="496">
        <v>25.34</v>
      </c>
      <c r="G149" s="496">
        <v>77.25</v>
      </c>
      <c r="H149" s="512">
        <v>16</v>
      </c>
      <c r="I149" s="517">
        <f>SUM(B149:H149)</f>
        <v>315.89</v>
      </c>
      <c r="J149" s="518">
        <f>125-I149</f>
        <v>-190.89</v>
      </c>
      <c r="K149" s="659"/>
      <c r="L149" s="461"/>
      <c r="M149" s="461"/>
      <c r="N149" s="461"/>
      <c r="O149" s="461"/>
      <c r="P149" s="461"/>
      <c r="Q149" s="461"/>
      <c r="R149" s="461"/>
      <c r="S149" s="461"/>
      <c r="T149" s="461"/>
      <c r="U149" s="461"/>
      <c r="V149" s="461"/>
      <c r="W149" s="461"/>
      <c r="X149" s="461"/>
      <c r="Y149" s="461"/>
    </row>
    <row r="150" spans="1:25" ht="20.25" x14ac:dyDescent="0.4">
      <c r="A150" s="461"/>
      <c r="B150" s="462"/>
      <c r="C150" s="462"/>
      <c r="D150" s="462"/>
      <c r="E150" s="462"/>
      <c r="F150" s="462"/>
      <c r="G150" s="462"/>
      <c r="H150" s="462"/>
      <c r="I150" s="463"/>
      <c r="J150" s="463"/>
      <c r="K150" s="461"/>
      <c r="L150" s="461"/>
      <c r="M150" s="461"/>
      <c r="N150" s="461"/>
      <c r="O150" s="461"/>
      <c r="P150" s="461"/>
      <c r="Q150" s="461"/>
      <c r="R150" s="461"/>
      <c r="S150" s="461"/>
      <c r="T150" s="461"/>
      <c r="U150" s="461"/>
      <c r="V150" s="461"/>
      <c r="W150" s="461"/>
      <c r="X150" s="461"/>
      <c r="Y150" s="461"/>
    </row>
    <row r="151" spans="1:25" ht="21.75" x14ac:dyDescent="0.4">
      <c r="A151" s="461"/>
      <c r="B151" s="654" t="s">
        <v>79</v>
      </c>
      <c r="C151" s="655"/>
      <c r="D151" s="655"/>
      <c r="E151" s="655"/>
      <c r="F151" s="655"/>
      <c r="G151" s="655"/>
      <c r="H151" s="656"/>
      <c r="I151" s="513"/>
      <c r="J151" s="513"/>
      <c r="K151" s="3"/>
      <c r="L151" s="461"/>
      <c r="M151" s="46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</row>
    <row r="152" spans="1:25" ht="20.25" x14ac:dyDescent="0.4">
      <c r="A152" s="461"/>
      <c r="B152" s="464">
        <v>24</v>
      </c>
      <c r="C152" s="465">
        <v>25</v>
      </c>
      <c r="D152" s="465">
        <v>26</v>
      </c>
      <c r="E152" s="465">
        <v>27</v>
      </c>
      <c r="F152" s="465">
        <v>28</v>
      </c>
      <c r="G152" s="478">
        <v>1</v>
      </c>
      <c r="H152" s="466">
        <v>2</v>
      </c>
      <c r="I152" s="513"/>
      <c r="J152" s="513"/>
      <c r="K152" s="3"/>
      <c r="L152" s="461"/>
      <c r="M152" s="461"/>
      <c r="N152" s="461"/>
      <c r="O152" s="461"/>
      <c r="P152" s="461"/>
      <c r="Q152" s="461"/>
      <c r="R152" s="461"/>
      <c r="S152" s="461"/>
      <c r="T152" s="461"/>
      <c r="U152" s="461"/>
      <c r="V152" s="461"/>
      <c r="W152" s="461"/>
      <c r="X152" s="461"/>
      <c r="Y152" s="461"/>
    </row>
    <row r="153" spans="1:25" ht="20.25" x14ac:dyDescent="0.4">
      <c r="A153" s="461"/>
      <c r="B153" s="467">
        <v>19.37</v>
      </c>
      <c r="C153" s="468">
        <v>84.02</v>
      </c>
      <c r="D153" s="468">
        <v>17.95</v>
      </c>
      <c r="E153" s="468">
        <v>39.5</v>
      </c>
      <c r="F153" s="468">
        <v>15.53</v>
      </c>
      <c r="G153" s="499">
        <v>62.04</v>
      </c>
      <c r="H153" s="469">
        <v>26.55</v>
      </c>
      <c r="I153" s="514">
        <f>SUM(B153:H153)</f>
        <v>264.95999999999998</v>
      </c>
      <c r="J153" s="515">
        <f>125-I153</f>
        <v>-139.95999999999998</v>
      </c>
      <c r="K153" s="657">
        <f>1505-SUM(I153:I163)-97</f>
        <v>-275.92000000000007</v>
      </c>
      <c r="L153" s="461"/>
      <c r="M153" s="461"/>
      <c r="N153" s="461"/>
      <c r="O153" s="461"/>
      <c r="P153" s="461"/>
      <c r="Q153" s="461"/>
      <c r="R153" s="461"/>
      <c r="S153" s="461"/>
      <c r="T153" s="461"/>
      <c r="U153" s="461"/>
      <c r="V153" s="461"/>
      <c r="W153" s="461"/>
      <c r="X153" s="461"/>
      <c r="Y153" s="461"/>
    </row>
    <row r="154" spans="1:25" ht="20.25" x14ac:dyDescent="0.4">
      <c r="A154" s="461"/>
      <c r="B154" s="472">
        <v>3</v>
      </c>
      <c r="C154" s="473">
        <v>4</v>
      </c>
      <c r="D154" s="473">
        <v>5</v>
      </c>
      <c r="E154" s="473">
        <v>6</v>
      </c>
      <c r="F154" s="473">
        <v>7</v>
      </c>
      <c r="G154" s="478">
        <v>8</v>
      </c>
      <c r="H154" s="474">
        <v>9</v>
      </c>
      <c r="I154" s="513"/>
      <c r="J154" s="513"/>
      <c r="K154" s="658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</row>
    <row r="155" spans="1:25" ht="20.25" x14ac:dyDescent="0.4">
      <c r="A155" s="461"/>
      <c r="B155" s="485">
        <v>10.87</v>
      </c>
      <c r="C155" s="493">
        <v>63.980000000000004</v>
      </c>
      <c r="D155" s="486">
        <v>18.100000000000001</v>
      </c>
      <c r="E155" s="486">
        <v>17.739999999999998</v>
      </c>
      <c r="F155" s="486">
        <v>86.38</v>
      </c>
      <c r="G155" s="486">
        <v>150.78</v>
      </c>
      <c r="H155" s="487">
        <v>71.91</v>
      </c>
      <c r="I155" s="514">
        <f>SUM(B155:H155)</f>
        <v>419.76</v>
      </c>
      <c r="J155" s="515">
        <f>125-I155</f>
        <v>-294.76</v>
      </c>
      <c r="K155" s="658"/>
      <c r="L155" s="461"/>
      <c r="M155" s="461"/>
      <c r="N155" s="461"/>
      <c r="O155" s="461"/>
      <c r="P155" s="461"/>
      <c r="Q155" s="461"/>
      <c r="R155" s="461"/>
      <c r="S155" s="461"/>
      <c r="T155" s="461"/>
      <c r="U155" s="461"/>
      <c r="V155" s="461"/>
      <c r="W155" s="461"/>
      <c r="X155" s="461"/>
      <c r="Y155" s="461"/>
    </row>
    <row r="156" spans="1:25" ht="20.25" x14ac:dyDescent="0.4">
      <c r="A156" s="461"/>
      <c r="B156" s="472">
        <v>10</v>
      </c>
      <c r="C156" s="473">
        <v>11</v>
      </c>
      <c r="D156" s="473">
        <v>12</v>
      </c>
      <c r="E156" s="473">
        <v>13</v>
      </c>
      <c r="F156" s="473">
        <v>14</v>
      </c>
      <c r="G156" s="473">
        <v>15</v>
      </c>
      <c r="H156" s="474">
        <v>16</v>
      </c>
      <c r="I156" s="513"/>
      <c r="J156" s="513"/>
      <c r="K156" s="658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1"/>
    </row>
    <row r="157" spans="1:25" ht="20.25" x14ac:dyDescent="0.4">
      <c r="A157" s="461"/>
      <c r="B157" s="485">
        <v>16</v>
      </c>
      <c r="C157" s="486">
        <v>16</v>
      </c>
      <c r="D157" s="486">
        <v>39.04</v>
      </c>
      <c r="E157" s="486">
        <v>11.79</v>
      </c>
      <c r="F157" s="486">
        <v>15.53</v>
      </c>
      <c r="G157" s="486">
        <v>11.37</v>
      </c>
      <c r="H157" s="487">
        <v>53.28</v>
      </c>
      <c r="I157" s="514">
        <f>SUM(B157:H157)</f>
        <v>163.01</v>
      </c>
      <c r="J157" s="515">
        <f>125-I157</f>
        <v>-38.009999999999991</v>
      </c>
      <c r="K157" s="658"/>
      <c r="L157" s="461"/>
      <c r="M157" s="461"/>
      <c r="N157" s="461"/>
      <c r="O157" s="461"/>
      <c r="P157" s="461"/>
      <c r="Q157" s="461"/>
      <c r="R157" s="461"/>
      <c r="S157" s="461"/>
      <c r="T157" s="461"/>
      <c r="U157" s="461"/>
      <c r="V157" s="461"/>
      <c r="W157" s="461"/>
      <c r="X157" s="461"/>
      <c r="Y157" s="461"/>
    </row>
    <row r="158" spans="1:25" ht="20.25" x14ac:dyDescent="0.4">
      <c r="A158" s="461"/>
      <c r="B158" s="472">
        <v>17</v>
      </c>
      <c r="C158" s="473">
        <v>18</v>
      </c>
      <c r="D158" s="473">
        <v>19</v>
      </c>
      <c r="E158" s="473">
        <v>20</v>
      </c>
      <c r="F158" s="478">
        <v>21</v>
      </c>
      <c r="G158" s="473">
        <v>22</v>
      </c>
      <c r="H158" s="474">
        <v>23</v>
      </c>
      <c r="I158" s="513"/>
      <c r="J158" s="513"/>
      <c r="K158" s="658"/>
      <c r="L158" s="461"/>
      <c r="M158" s="461"/>
      <c r="N158" s="461"/>
      <c r="O158" s="461"/>
      <c r="P158" s="461"/>
      <c r="Q158" s="461"/>
      <c r="R158" s="461"/>
      <c r="S158" s="461"/>
      <c r="T158" s="461"/>
      <c r="U158" s="461"/>
      <c r="V158" s="461"/>
      <c r="W158" s="461"/>
      <c r="X158" s="461"/>
      <c r="Y158" s="461"/>
    </row>
    <row r="159" spans="1:25" ht="20.25" x14ac:dyDescent="0.4">
      <c r="A159" s="461"/>
      <c r="B159" s="516">
        <v>42.89</v>
      </c>
      <c r="C159" s="501">
        <v>45.71</v>
      </c>
      <c r="D159" s="501">
        <v>25</v>
      </c>
      <c r="E159" s="501">
        <v>148.34</v>
      </c>
      <c r="F159" s="501">
        <v>86.6</v>
      </c>
      <c r="G159" s="501">
        <v>37.43</v>
      </c>
      <c r="H159" s="502">
        <v>7.7</v>
      </c>
      <c r="I159" s="517">
        <f>SUM(B159:H159)</f>
        <v>393.66999999999996</v>
      </c>
      <c r="J159" s="518">
        <f>125-I159</f>
        <v>-268.66999999999996</v>
      </c>
      <c r="K159" s="658"/>
      <c r="L159" s="461"/>
      <c r="M159" s="461"/>
      <c r="N159" s="461"/>
      <c r="O159" s="461"/>
      <c r="P159" s="461"/>
      <c r="Q159" s="461"/>
      <c r="R159" s="461"/>
      <c r="S159" s="461"/>
      <c r="T159" s="461"/>
      <c r="U159" s="461"/>
      <c r="V159" s="461"/>
      <c r="W159" s="461"/>
      <c r="X159" s="461"/>
      <c r="Y159" s="461"/>
    </row>
    <row r="160" spans="1:25" ht="20.25" x14ac:dyDescent="0.4">
      <c r="A160" s="461"/>
      <c r="B160" s="472">
        <v>24</v>
      </c>
      <c r="C160" s="473">
        <v>25</v>
      </c>
      <c r="D160" s="473">
        <v>26</v>
      </c>
      <c r="E160" s="473">
        <v>27</v>
      </c>
      <c r="F160" s="478">
        <v>28</v>
      </c>
      <c r="G160" s="478">
        <v>29</v>
      </c>
      <c r="H160" s="466">
        <v>30</v>
      </c>
      <c r="I160" s="513"/>
      <c r="J160" s="513"/>
      <c r="K160" s="658"/>
      <c r="L160" s="461"/>
      <c r="M160" s="461"/>
      <c r="N160" s="461"/>
      <c r="O160" s="461"/>
      <c r="P160" s="461"/>
      <c r="Q160" s="461"/>
      <c r="R160" s="461"/>
      <c r="S160" s="461"/>
      <c r="T160" s="461"/>
      <c r="U160" s="461"/>
      <c r="V160" s="461"/>
      <c r="W160" s="461"/>
      <c r="X160" s="461"/>
      <c r="Y160" s="461"/>
    </row>
    <row r="161" spans="1:25" ht="20.25" x14ac:dyDescent="0.4">
      <c r="A161" s="461"/>
      <c r="B161" s="516">
        <v>40.56</v>
      </c>
      <c r="C161" s="501">
        <v>12.95</v>
      </c>
      <c r="D161" s="501">
        <v>20.73</v>
      </c>
      <c r="E161" s="501">
        <v>22.63</v>
      </c>
      <c r="F161" s="501">
        <v>19.7</v>
      </c>
      <c r="G161" s="501">
        <v>32.880000000000003</v>
      </c>
      <c r="H161" s="502">
        <v>44.32</v>
      </c>
      <c r="I161" s="517">
        <f>SUM(B161:H161)</f>
        <v>193.77</v>
      </c>
      <c r="J161" s="518">
        <f>125-I161</f>
        <v>-68.77000000000001</v>
      </c>
      <c r="K161" s="658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1"/>
    </row>
    <row r="162" spans="1:25" ht="20.25" x14ac:dyDescent="0.4">
      <c r="A162" s="461"/>
      <c r="B162" s="472">
        <v>31</v>
      </c>
      <c r="C162" s="465">
        <v>1</v>
      </c>
      <c r="D162" s="465">
        <v>2</v>
      </c>
      <c r="E162" s="465">
        <v>3</v>
      </c>
      <c r="F162" s="465">
        <v>4</v>
      </c>
      <c r="G162" s="465">
        <v>5</v>
      </c>
      <c r="H162" s="480">
        <v>6</v>
      </c>
      <c r="I162" s="519"/>
      <c r="J162" s="513"/>
      <c r="K162" s="658"/>
      <c r="L162" s="461"/>
      <c r="M162" s="461"/>
      <c r="N162" s="461"/>
      <c r="O162" s="461"/>
      <c r="P162" s="461"/>
      <c r="Q162" s="461"/>
      <c r="R162" s="461"/>
      <c r="S162" s="461"/>
      <c r="T162" s="461"/>
      <c r="U162" s="461"/>
      <c r="V162" s="461"/>
      <c r="W162" s="461"/>
      <c r="X162" s="461"/>
      <c r="Y162" s="461"/>
    </row>
    <row r="163" spans="1:25" ht="20.25" x14ac:dyDescent="0.4">
      <c r="A163" s="461"/>
      <c r="B163" s="504">
        <v>48.19</v>
      </c>
      <c r="C163" s="496">
        <v>27.99</v>
      </c>
      <c r="D163" s="496">
        <v>33.82</v>
      </c>
      <c r="E163" s="496">
        <v>70.06</v>
      </c>
      <c r="F163" s="496">
        <v>5.38</v>
      </c>
      <c r="G163" s="496">
        <v>31.1</v>
      </c>
      <c r="H163" s="512">
        <v>32.21</v>
      </c>
      <c r="I163" s="517">
        <f>SUM(B163:H163)</f>
        <v>248.75</v>
      </c>
      <c r="J163" s="518">
        <f>125-I163</f>
        <v>-123.75</v>
      </c>
      <c r="K163" s="659"/>
      <c r="L163" s="461"/>
      <c r="M163" s="461"/>
      <c r="N163" s="461"/>
      <c r="O163" s="461"/>
      <c r="P163" s="461"/>
      <c r="Q163" s="461"/>
      <c r="R163" s="461"/>
      <c r="S163" s="461"/>
      <c r="T163" s="461"/>
      <c r="U163" s="461"/>
      <c r="V163" s="461"/>
      <c r="W163" s="461"/>
      <c r="X163" s="461"/>
      <c r="Y163" s="461"/>
    </row>
    <row r="164" spans="1:25" ht="20.25" x14ac:dyDescent="0.4">
      <c r="A164" s="461"/>
      <c r="B164" s="462"/>
      <c r="C164" s="462"/>
      <c r="D164" s="462"/>
      <c r="E164" s="462"/>
      <c r="F164" s="462"/>
      <c r="G164" s="462"/>
      <c r="H164" s="462"/>
      <c r="I164" s="463"/>
      <c r="J164" s="463"/>
      <c r="K164" s="461"/>
      <c r="L164" s="461"/>
      <c r="M164" s="461"/>
      <c r="N164" s="461"/>
      <c r="O164" s="461"/>
      <c r="P164" s="461"/>
      <c r="Q164" s="461"/>
      <c r="R164" s="461"/>
      <c r="S164" s="461"/>
      <c r="T164" s="461"/>
      <c r="U164" s="461"/>
      <c r="V164" s="461"/>
      <c r="W164" s="461"/>
      <c r="X164" s="461"/>
      <c r="Y164" s="461"/>
    </row>
    <row r="165" spans="1:25" ht="21.75" x14ac:dyDescent="0.4">
      <c r="A165" s="461"/>
      <c r="B165" s="654" t="s">
        <v>80</v>
      </c>
      <c r="C165" s="655"/>
      <c r="D165" s="655"/>
      <c r="E165" s="655"/>
      <c r="F165" s="655"/>
      <c r="G165" s="655"/>
      <c r="H165" s="656"/>
      <c r="I165" s="513"/>
      <c r="J165" s="513"/>
      <c r="K165" s="3"/>
      <c r="L165" s="461"/>
      <c r="M165" s="461"/>
      <c r="N165" s="461"/>
      <c r="O165" s="461"/>
      <c r="P165" s="461"/>
      <c r="Q165" s="461"/>
      <c r="R165" s="461"/>
      <c r="S165" s="461"/>
      <c r="T165" s="461"/>
      <c r="U165" s="461"/>
      <c r="V165" s="461"/>
      <c r="W165" s="461"/>
      <c r="X165" s="461"/>
      <c r="Y165" s="461"/>
    </row>
    <row r="166" spans="1:25" ht="20.25" x14ac:dyDescent="0.4">
      <c r="A166" s="461"/>
      <c r="B166" s="464">
        <v>27</v>
      </c>
      <c r="C166" s="465">
        <v>28</v>
      </c>
      <c r="D166" s="465">
        <v>29</v>
      </c>
      <c r="E166" s="465">
        <v>30</v>
      </c>
      <c r="F166" s="465">
        <v>31</v>
      </c>
      <c r="G166" s="478">
        <v>1</v>
      </c>
      <c r="H166" s="466">
        <v>2</v>
      </c>
      <c r="I166" s="513"/>
      <c r="J166" s="513"/>
      <c r="K166" s="3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/>
      <c r="W166" s="461"/>
      <c r="X166" s="461"/>
      <c r="Y166" s="461"/>
    </row>
    <row r="167" spans="1:25" ht="20.25" x14ac:dyDescent="0.4">
      <c r="A167" s="461"/>
      <c r="B167" s="467">
        <v>12.65</v>
      </c>
      <c r="C167" s="468">
        <v>36.81</v>
      </c>
      <c r="D167" s="468">
        <v>36.340000000000003</v>
      </c>
      <c r="E167" s="468">
        <v>61.64</v>
      </c>
      <c r="F167" s="468">
        <v>73.260000000000005</v>
      </c>
      <c r="G167" s="499">
        <v>23.33</v>
      </c>
      <c r="H167" s="469">
        <v>15.86</v>
      </c>
      <c r="I167" s="514">
        <f>SUM(B167:H167)</f>
        <v>259.89</v>
      </c>
      <c r="J167" s="515">
        <f>125-I167</f>
        <v>-134.88999999999999</v>
      </c>
      <c r="K167" s="657">
        <f>1505-SUM(I167:I175)-97</f>
        <v>-483.69999999999982</v>
      </c>
      <c r="L167" s="461"/>
      <c r="M167" s="461"/>
      <c r="N167" s="461"/>
      <c r="O167" s="461"/>
      <c r="P167" s="461"/>
      <c r="Q167" s="461"/>
      <c r="R167" s="461"/>
      <c r="S167" s="461"/>
      <c r="T167" s="461"/>
      <c r="U167" s="461"/>
      <c r="V167" s="461"/>
      <c r="W167" s="461"/>
      <c r="X167" s="461"/>
      <c r="Y167" s="461"/>
    </row>
    <row r="168" spans="1:25" ht="20.25" x14ac:dyDescent="0.4">
      <c r="A168" s="461"/>
      <c r="B168" s="472">
        <v>3</v>
      </c>
      <c r="C168" s="473">
        <v>4</v>
      </c>
      <c r="D168" s="473">
        <v>5</v>
      </c>
      <c r="E168" s="473">
        <v>6</v>
      </c>
      <c r="F168" s="473">
        <v>7</v>
      </c>
      <c r="G168" s="473">
        <v>8</v>
      </c>
      <c r="H168" s="474">
        <v>9</v>
      </c>
      <c r="I168" s="513"/>
      <c r="J168" s="513"/>
      <c r="K168" s="658"/>
      <c r="L168" s="461"/>
      <c r="M168" s="461"/>
      <c r="N168" s="461"/>
      <c r="O168" s="461"/>
      <c r="P168" s="461"/>
      <c r="Q168" s="461"/>
      <c r="R168" s="461"/>
      <c r="S168" s="461"/>
      <c r="T168" s="461"/>
      <c r="U168" s="461"/>
      <c r="V168" s="461"/>
      <c r="W168" s="461"/>
      <c r="X168" s="461"/>
      <c r="Y168" s="461"/>
    </row>
    <row r="169" spans="1:25" ht="20.25" x14ac:dyDescent="0.4">
      <c r="A169" s="461"/>
      <c r="B169" s="485">
        <v>60.05</v>
      </c>
      <c r="C169" s="486">
        <v>205.35</v>
      </c>
      <c r="D169" s="486">
        <v>26.63</v>
      </c>
      <c r="E169" s="486">
        <v>439.63</v>
      </c>
      <c r="F169" s="486">
        <v>15</v>
      </c>
      <c r="G169" s="486">
        <v>51.57</v>
      </c>
      <c r="H169" s="487">
        <v>0</v>
      </c>
      <c r="I169" s="514">
        <f>SUM(B169:H169)</f>
        <v>798.23</v>
      </c>
      <c r="J169" s="515">
        <f>125-I169</f>
        <v>-673.23</v>
      </c>
      <c r="K169" s="658"/>
      <c r="L169" s="461"/>
      <c r="M169" s="461"/>
      <c r="N169" s="461"/>
      <c r="O169" s="461"/>
      <c r="P169" s="461"/>
      <c r="Q169" s="461"/>
      <c r="R169" s="461"/>
      <c r="S169" s="461"/>
      <c r="T169" s="461"/>
      <c r="U169" s="461"/>
      <c r="V169" s="461"/>
      <c r="W169" s="461"/>
      <c r="X169" s="461"/>
      <c r="Y169" s="461"/>
    </row>
    <row r="170" spans="1:25" ht="20.25" x14ac:dyDescent="0.4">
      <c r="A170" s="461"/>
      <c r="B170" s="472">
        <v>10</v>
      </c>
      <c r="C170" s="473">
        <v>11</v>
      </c>
      <c r="D170" s="473">
        <v>12</v>
      </c>
      <c r="E170" s="473">
        <v>13</v>
      </c>
      <c r="F170" s="473">
        <v>14</v>
      </c>
      <c r="G170" s="473">
        <v>15</v>
      </c>
      <c r="H170" s="474">
        <v>16</v>
      </c>
      <c r="I170" s="513"/>
      <c r="J170" s="513"/>
      <c r="K170" s="658"/>
      <c r="L170" s="461"/>
      <c r="M170" s="461"/>
      <c r="N170" s="461"/>
      <c r="O170" s="461"/>
      <c r="P170" s="461"/>
      <c r="Q170" s="461"/>
      <c r="R170" s="461"/>
      <c r="S170" s="461"/>
      <c r="T170" s="461"/>
      <c r="U170" s="461"/>
      <c r="V170" s="461"/>
      <c r="W170" s="461"/>
      <c r="X170" s="461"/>
      <c r="Y170" s="461"/>
    </row>
    <row r="171" spans="1:25" ht="20.25" x14ac:dyDescent="0.4">
      <c r="A171" s="461"/>
      <c r="B171" s="485">
        <v>45.41</v>
      </c>
      <c r="C171" s="486">
        <v>45.35</v>
      </c>
      <c r="D171" s="486">
        <v>74.459999999999994</v>
      </c>
      <c r="E171" s="486">
        <v>33.44</v>
      </c>
      <c r="F171" s="486">
        <v>34.340000000000003</v>
      </c>
      <c r="G171" s="486">
        <v>26.17</v>
      </c>
      <c r="H171" s="487">
        <v>23.45</v>
      </c>
      <c r="I171" s="514">
        <f>SUM(B171:H171)</f>
        <v>282.61999999999995</v>
      </c>
      <c r="J171" s="515">
        <f>125-I171</f>
        <v>-157.61999999999995</v>
      </c>
      <c r="K171" s="658"/>
      <c r="L171" s="461"/>
      <c r="M171" s="461"/>
      <c r="N171" s="461"/>
      <c r="O171" s="461"/>
      <c r="P171" s="461"/>
      <c r="Q171" s="461"/>
      <c r="R171" s="461"/>
      <c r="S171" s="461"/>
      <c r="T171" s="461"/>
      <c r="U171" s="461"/>
      <c r="V171" s="461"/>
      <c r="W171" s="461"/>
      <c r="X171" s="461"/>
      <c r="Y171" s="461"/>
    </row>
    <row r="172" spans="1:25" ht="20.25" x14ac:dyDescent="0.4">
      <c r="A172" s="461"/>
      <c r="B172" s="472">
        <v>17</v>
      </c>
      <c r="C172" s="473">
        <v>18</v>
      </c>
      <c r="D172" s="473">
        <v>19</v>
      </c>
      <c r="E172" s="473">
        <v>20</v>
      </c>
      <c r="F172" s="473">
        <v>21</v>
      </c>
      <c r="G172" s="473">
        <v>22</v>
      </c>
      <c r="H172" s="474">
        <v>23</v>
      </c>
      <c r="I172" s="513"/>
      <c r="J172" s="513"/>
      <c r="K172" s="658"/>
      <c r="L172" s="461"/>
      <c r="M172" s="461"/>
      <c r="N172" s="461"/>
      <c r="O172" s="461"/>
      <c r="P172" s="461"/>
      <c r="Q172" s="461"/>
      <c r="R172" s="461"/>
      <c r="S172" s="461"/>
      <c r="T172" s="461"/>
      <c r="U172" s="461"/>
      <c r="V172" s="461"/>
      <c r="W172" s="461"/>
      <c r="X172" s="461"/>
      <c r="Y172" s="461"/>
    </row>
    <row r="173" spans="1:25" ht="20.25" x14ac:dyDescent="0.4">
      <c r="A173" s="461"/>
      <c r="B173" s="516">
        <v>9.91</v>
      </c>
      <c r="C173" s="501">
        <v>21.98</v>
      </c>
      <c r="D173" s="501">
        <v>24.08</v>
      </c>
      <c r="E173" s="501">
        <v>18.79</v>
      </c>
      <c r="F173" s="501">
        <v>14</v>
      </c>
      <c r="G173" s="501">
        <v>82.81</v>
      </c>
      <c r="H173" s="502">
        <v>114.43</v>
      </c>
      <c r="I173" s="517">
        <f>SUM(B173:H173)</f>
        <v>286</v>
      </c>
      <c r="J173" s="518">
        <f>125-I173</f>
        <v>-161</v>
      </c>
      <c r="K173" s="658"/>
      <c r="L173" s="461"/>
      <c r="M173" s="461"/>
      <c r="N173" s="461"/>
      <c r="O173" s="461"/>
      <c r="P173" s="461"/>
      <c r="Q173" s="461"/>
      <c r="R173" s="461"/>
      <c r="S173" s="461"/>
      <c r="T173" s="461"/>
      <c r="U173" s="461"/>
      <c r="V173" s="461"/>
      <c r="W173" s="461"/>
      <c r="X173" s="461"/>
      <c r="Y173" s="461"/>
    </row>
    <row r="174" spans="1:25" ht="20.25" x14ac:dyDescent="0.4">
      <c r="A174" s="461"/>
      <c r="B174" s="472">
        <v>24</v>
      </c>
      <c r="C174" s="473">
        <v>25</v>
      </c>
      <c r="D174" s="473">
        <v>26</v>
      </c>
      <c r="E174" s="473">
        <v>27</v>
      </c>
      <c r="F174" s="473">
        <v>28</v>
      </c>
      <c r="G174" s="465">
        <v>1</v>
      </c>
      <c r="H174" s="480">
        <v>2</v>
      </c>
      <c r="I174" s="519"/>
      <c r="J174" s="513"/>
      <c r="K174" s="658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/>
      <c r="W174" s="461"/>
      <c r="X174" s="461"/>
      <c r="Y174" s="461"/>
    </row>
    <row r="175" spans="1:25" ht="20.25" x14ac:dyDescent="0.4">
      <c r="A175" s="461"/>
      <c r="B175" s="504">
        <v>19.37</v>
      </c>
      <c r="C175" s="505">
        <v>84.02</v>
      </c>
      <c r="D175" s="505">
        <v>17.95</v>
      </c>
      <c r="E175" s="505">
        <v>39.5</v>
      </c>
      <c r="F175" s="505">
        <v>15.53</v>
      </c>
      <c r="G175" s="496">
        <v>62.04</v>
      </c>
      <c r="H175" s="512">
        <v>26.55</v>
      </c>
      <c r="I175" s="517">
        <f>SUM(B175:H175)</f>
        <v>264.95999999999998</v>
      </c>
      <c r="J175" s="518">
        <f>125-I175</f>
        <v>-139.95999999999998</v>
      </c>
      <c r="K175" s="659"/>
      <c r="L175" s="461"/>
      <c r="M175" s="461"/>
      <c r="N175" s="461"/>
      <c r="O175" s="461"/>
      <c r="P175" s="461"/>
      <c r="Q175" s="461"/>
      <c r="R175" s="461"/>
      <c r="S175" s="461"/>
      <c r="T175" s="461"/>
      <c r="U175" s="461"/>
      <c r="V175" s="461"/>
      <c r="W175" s="461"/>
      <c r="X175" s="461"/>
      <c r="Y175" s="461"/>
    </row>
    <row r="176" spans="1:25" ht="20.25" x14ac:dyDescent="0.4">
      <c r="A176" s="461"/>
      <c r="B176" s="462"/>
      <c r="C176" s="462"/>
      <c r="D176" s="462"/>
      <c r="E176" s="462"/>
      <c r="F176" s="462"/>
      <c r="G176" s="462"/>
      <c r="H176" s="462"/>
      <c r="I176" s="463"/>
      <c r="J176" s="463"/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</row>
    <row r="177" spans="1:25" ht="21.75" x14ac:dyDescent="0.4">
      <c r="A177" s="461"/>
      <c r="B177" s="654" t="s">
        <v>81</v>
      </c>
      <c r="C177" s="655"/>
      <c r="D177" s="655"/>
      <c r="E177" s="655"/>
      <c r="F177" s="655"/>
      <c r="G177" s="655"/>
      <c r="H177" s="656"/>
      <c r="I177" s="513"/>
      <c r="J177" s="513"/>
      <c r="K177" s="3"/>
      <c r="L177" s="461"/>
      <c r="M177" s="461"/>
      <c r="N177" s="461"/>
      <c r="O177" s="461"/>
      <c r="P177" s="461"/>
      <c r="Q177" s="461"/>
      <c r="R177" s="461"/>
      <c r="S177" s="461"/>
      <c r="T177" s="461"/>
      <c r="U177" s="461"/>
      <c r="V177" s="461"/>
      <c r="W177" s="461"/>
      <c r="X177" s="461"/>
      <c r="Y177" s="461"/>
    </row>
    <row r="178" spans="1:25" ht="20.25" x14ac:dyDescent="0.4">
      <c r="A178" s="461"/>
      <c r="B178" s="464">
        <v>30</v>
      </c>
      <c r="C178" s="465">
        <v>31</v>
      </c>
      <c r="D178" s="478">
        <v>1</v>
      </c>
      <c r="E178" s="478">
        <v>2</v>
      </c>
      <c r="F178" s="478">
        <v>3</v>
      </c>
      <c r="G178" s="478">
        <v>4</v>
      </c>
      <c r="H178" s="466">
        <v>5</v>
      </c>
      <c r="I178" s="513"/>
      <c r="J178" s="513"/>
      <c r="K178" s="3"/>
      <c r="L178" s="461"/>
      <c r="M178" s="461"/>
      <c r="N178" s="461"/>
      <c r="O178" s="461"/>
      <c r="P178" s="461"/>
      <c r="Q178" s="461"/>
      <c r="R178" s="461"/>
      <c r="S178" s="461"/>
      <c r="T178" s="461"/>
      <c r="U178" s="461"/>
      <c r="V178" s="461"/>
      <c r="W178" s="461"/>
      <c r="X178" s="461"/>
      <c r="Y178" s="461"/>
    </row>
    <row r="179" spans="1:25" ht="20.25" x14ac:dyDescent="0.4">
      <c r="A179" s="461"/>
      <c r="B179" s="467">
        <v>26.49</v>
      </c>
      <c r="C179" s="468">
        <v>69.66</v>
      </c>
      <c r="D179" s="499">
        <v>3.79</v>
      </c>
      <c r="E179" s="499">
        <v>32.68</v>
      </c>
      <c r="F179" s="499">
        <v>0</v>
      </c>
      <c r="G179" s="499">
        <v>150.41</v>
      </c>
      <c r="H179" s="469">
        <v>91.41</v>
      </c>
      <c r="I179" s="514">
        <f>SUM(B179:H179)</f>
        <v>374.43999999999994</v>
      </c>
      <c r="J179" s="515">
        <f>125-I179</f>
        <v>-249.43999999999994</v>
      </c>
      <c r="K179" s="657">
        <f>1505-SUM(I179:I187)-97</f>
        <v>-295.84999999999991</v>
      </c>
      <c r="L179" s="461"/>
      <c r="M179" s="461"/>
      <c r="N179" s="461"/>
      <c r="O179" s="461"/>
      <c r="P179" s="461"/>
      <c r="Q179" s="461"/>
      <c r="R179" s="461"/>
      <c r="S179" s="461"/>
      <c r="T179" s="461"/>
      <c r="U179" s="461"/>
      <c r="V179" s="461"/>
      <c r="W179" s="461"/>
      <c r="X179" s="461"/>
      <c r="Y179" s="461"/>
    </row>
    <row r="180" spans="1:25" ht="20.25" x14ac:dyDescent="0.4">
      <c r="A180" s="461"/>
      <c r="B180" s="472">
        <v>6</v>
      </c>
      <c r="C180" s="473">
        <v>7</v>
      </c>
      <c r="D180" s="473">
        <v>8</v>
      </c>
      <c r="E180" s="473">
        <v>9</v>
      </c>
      <c r="F180" s="473">
        <v>10</v>
      </c>
      <c r="G180" s="473">
        <v>11</v>
      </c>
      <c r="H180" s="474">
        <v>12</v>
      </c>
      <c r="I180" s="513"/>
      <c r="J180" s="513"/>
      <c r="K180" s="658"/>
      <c r="L180" s="461"/>
      <c r="M180" s="461"/>
      <c r="N180" s="461"/>
      <c r="O180" s="461"/>
      <c r="P180" s="461"/>
      <c r="Q180" s="461"/>
      <c r="R180" s="461"/>
      <c r="S180" s="461"/>
      <c r="T180" s="461"/>
      <c r="U180" s="461"/>
      <c r="V180" s="461"/>
      <c r="W180" s="461"/>
      <c r="X180" s="461"/>
      <c r="Y180" s="461"/>
    </row>
    <row r="181" spans="1:25" ht="20.25" x14ac:dyDescent="0.4">
      <c r="A181" s="461"/>
      <c r="B181" s="485">
        <v>58.49</v>
      </c>
      <c r="C181" s="486">
        <v>22.82</v>
      </c>
      <c r="D181" s="486">
        <v>88.44</v>
      </c>
      <c r="E181" s="486">
        <v>66.849999999999994</v>
      </c>
      <c r="F181" s="486">
        <v>0</v>
      </c>
      <c r="G181" s="486">
        <v>94.74</v>
      </c>
      <c r="H181" s="487">
        <v>0</v>
      </c>
      <c r="I181" s="514">
        <f>SUM(B181:H181)</f>
        <v>331.34</v>
      </c>
      <c r="J181" s="515">
        <f>125-I181</f>
        <v>-206.33999999999997</v>
      </c>
      <c r="K181" s="658"/>
      <c r="L181" s="461"/>
      <c r="M181" s="461"/>
      <c r="N181" s="461"/>
      <c r="O181" s="461"/>
      <c r="P181" s="461"/>
      <c r="Q181" s="461"/>
      <c r="R181" s="461"/>
      <c r="S181" s="461"/>
      <c r="T181" s="461"/>
      <c r="U181" s="461"/>
      <c r="V181" s="461"/>
      <c r="W181" s="461"/>
      <c r="X181" s="461"/>
      <c r="Y181" s="461"/>
    </row>
    <row r="182" spans="1:25" ht="20.25" x14ac:dyDescent="0.4">
      <c r="A182" s="461"/>
      <c r="B182" s="472">
        <v>13</v>
      </c>
      <c r="C182" s="473">
        <v>14</v>
      </c>
      <c r="D182" s="473">
        <v>15</v>
      </c>
      <c r="E182" s="473">
        <v>16</v>
      </c>
      <c r="F182" s="473">
        <v>17</v>
      </c>
      <c r="G182" s="473">
        <v>18</v>
      </c>
      <c r="H182" s="474">
        <v>19</v>
      </c>
      <c r="I182" s="513"/>
      <c r="J182" s="513"/>
      <c r="K182" s="658"/>
      <c r="L182" s="461"/>
      <c r="M182" s="461"/>
      <c r="N182" s="461"/>
      <c r="O182" s="461"/>
      <c r="P182" s="461"/>
      <c r="Q182" s="461"/>
      <c r="R182" s="461"/>
      <c r="S182" s="461"/>
      <c r="T182" s="461"/>
      <c r="U182" s="461"/>
      <c r="V182" s="461"/>
      <c r="W182" s="461"/>
      <c r="X182" s="461"/>
      <c r="Y182" s="461"/>
    </row>
    <row r="183" spans="1:25" ht="20.25" x14ac:dyDescent="0.4">
      <c r="A183" s="461"/>
      <c r="B183" s="485">
        <v>21.95</v>
      </c>
      <c r="C183" s="486">
        <v>42.35</v>
      </c>
      <c r="D183" s="486">
        <v>6</v>
      </c>
      <c r="E183" s="486">
        <v>80.900000000000006</v>
      </c>
      <c r="F183" s="486">
        <v>9.18</v>
      </c>
      <c r="G183" s="486">
        <v>55.8</v>
      </c>
      <c r="H183" s="487">
        <v>58.54</v>
      </c>
      <c r="I183" s="514">
        <f>SUM(B183:H183)</f>
        <v>274.72000000000003</v>
      </c>
      <c r="J183" s="515">
        <f>125-I183</f>
        <v>-149.72000000000003</v>
      </c>
      <c r="K183" s="658"/>
      <c r="L183" s="461"/>
      <c r="M183" s="461"/>
      <c r="N183" s="461"/>
      <c r="O183" s="461"/>
      <c r="P183" s="461"/>
      <c r="Q183" s="461"/>
      <c r="R183" s="461"/>
      <c r="S183" s="461"/>
      <c r="T183" s="461"/>
      <c r="U183" s="461"/>
      <c r="V183" s="461"/>
      <c r="W183" s="461"/>
      <c r="X183" s="461"/>
      <c r="Y183" s="461"/>
    </row>
    <row r="184" spans="1:25" ht="20.25" x14ac:dyDescent="0.4">
      <c r="A184" s="461"/>
      <c r="B184" s="472">
        <v>20</v>
      </c>
      <c r="C184" s="473">
        <v>21</v>
      </c>
      <c r="D184" s="473">
        <v>22</v>
      </c>
      <c r="E184" s="473">
        <v>23</v>
      </c>
      <c r="F184" s="473">
        <v>24</v>
      </c>
      <c r="G184" s="473">
        <v>25</v>
      </c>
      <c r="H184" s="474">
        <v>26</v>
      </c>
      <c r="I184" s="513"/>
      <c r="J184" s="513"/>
      <c r="K184" s="658"/>
      <c r="L184" s="461"/>
      <c r="M184" s="461"/>
      <c r="N184" s="461"/>
      <c r="O184" s="461"/>
      <c r="P184" s="461"/>
      <c r="Q184" s="461"/>
      <c r="R184" s="461"/>
      <c r="S184" s="461"/>
      <c r="T184" s="461"/>
      <c r="U184" s="461"/>
      <c r="V184" s="461"/>
      <c r="W184" s="461"/>
      <c r="X184" s="461"/>
      <c r="Y184" s="461"/>
    </row>
    <row r="185" spans="1:25" ht="20.25" x14ac:dyDescent="0.4">
      <c r="A185" s="461"/>
      <c r="B185" s="516">
        <v>49.99</v>
      </c>
      <c r="C185" s="501">
        <v>41.58</v>
      </c>
      <c r="D185" s="501">
        <v>19.61</v>
      </c>
      <c r="E185" s="501">
        <v>220.81</v>
      </c>
      <c r="F185" s="501">
        <v>20.05</v>
      </c>
      <c r="G185" s="501">
        <v>97.42</v>
      </c>
      <c r="H185" s="502">
        <v>14</v>
      </c>
      <c r="I185" s="517">
        <f>SUM(B185:H185)</f>
        <v>463.46000000000004</v>
      </c>
      <c r="J185" s="518">
        <f>125-I185</f>
        <v>-338.46000000000004</v>
      </c>
      <c r="K185" s="658"/>
      <c r="L185" s="461"/>
      <c r="M185" s="461"/>
      <c r="N185" s="461"/>
      <c r="O185" s="461"/>
      <c r="P185" s="461"/>
      <c r="Q185" s="461"/>
      <c r="R185" s="461"/>
      <c r="S185" s="461"/>
      <c r="T185" s="461"/>
      <c r="U185" s="461"/>
      <c r="V185" s="461"/>
      <c r="W185" s="461"/>
      <c r="X185" s="461"/>
      <c r="Y185" s="461"/>
    </row>
    <row r="186" spans="1:25" ht="20.25" x14ac:dyDescent="0.4">
      <c r="A186" s="461"/>
      <c r="B186" s="472">
        <v>27</v>
      </c>
      <c r="C186" s="473">
        <v>28</v>
      </c>
      <c r="D186" s="473">
        <v>29</v>
      </c>
      <c r="E186" s="473">
        <v>30</v>
      </c>
      <c r="F186" s="473">
        <v>31</v>
      </c>
      <c r="G186" s="465">
        <v>1</v>
      </c>
      <c r="H186" s="480">
        <v>2</v>
      </c>
      <c r="I186" s="519"/>
      <c r="J186" s="513"/>
      <c r="K186" s="658"/>
      <c r="L186" s="461"/>
      <c r="M186" s="461"/>
      <c r="N186" s="461"/>
      <c r="O186" s="461"/>
      <c r="P186" s="461"/>
      <c r="Q186" s="461"/>
      <c r="R186" s="461"/>
      <c r="S186" s="461"/>
      <c r="T186" s="461"/>
      <c r="U186" s="461"/>
      <c r="V186" s="461"/>
      <c r="W186" s="461"/>
      <c r="X186" s="461"/>
      <c r="Y186" s="461"/>
    </row>
    <row r="187" spans="1:25" ht="20.25" x14ac:dyDescent="0.4">
      <c r="A187" s="461"/>
      <c r="B187" s="504">
        <v>12.65</v>
      </c>
      <c r="C187" s="505">
        <v>36.81</v>
      </c>
      <c r="D187" s="505">
        <v>36.340000000000003</v>
      </c>
      <c r="E187" s="505">
        <v>61.64</v>
      </c>
      <c r="F187" s="505">
        <v>73.260000000000005</v>
      </c>
      <c r="G187" s="496">
        <v>23.33</v>
      </c>
      <c r="H187" s="512">
        <v>15.86</v>
      </c>
      <c r="I187" s="517">
        <f>SUM(B187:H187)</f>
        <v>259.89</v>
      </c>
      <c r="J187" s="518">
        <f>125-I187</f>
        <v>-134.88999999999999</v>
      </c>
      <c r="K187" s="659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</row>
    <row r="188" spans="1:25" ht="20.25" x14ac:dyDescent="0.4">
      <c r="A188" s="461"/>
      <c r="B188" s="462"/>
      <c r="C188" s="462"/>
      <c r="D188" s="462"/>
      <c r="E188" s="462"/>
      <c r="F188" s="462"/>
      <c r="G188" s="462"/>
      <c r="H188" s="462"/>
      <c r="I188" s="463"/>
      <c r="J188" s="463"/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</row>
    <row r="189" spans="1:25" ht="21.75" x14ac:dyDescent="0.4">
      <c r="A189" s="461"/>
      <c r="B189" s="654" t="s">
        <v>82</v>
      </c>
      <c r="C189" s="655"/>
      <c r="D189" s="655"/>
      <c r="E189" s="655"/>
      <c r="F189" s="655"/>
      <c r="G189" s="655"/>
      <c r="H189" s="656"/>
      <c r="I189" s="513"/>
      <c r="J189" s="513"/>
      <c r="K189" s="3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</row>
    <row r="190" spans="1:25" ht="20.25" x14ac:dyDescent="0.4">
      <c r="A190" s="461"/>
      <c r="B190" s="464">
        <v>25</v>
      </c>
      <c r="C190" s="465">
        <v>26</v>
      </c>
      <c r="D190" s="465">
        <v>27</v>
      </c>
      <c r="E190" s="465">
        <v>28</v>
      </c>
      <c r="F190" s="465">
        <v>29</v>
      </c>
      <c r="G190" s="465">
        <v>30</v>
      </c>
      <c r="H190" s="474">
        <v>1</v>
      </c>
      <c r="I190" s="513"/>
      <c r="J190" s="513"/>
      <c r="K190" s="3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  <c r="Y190" s="461"/>
    </row>
    <row r="191" spans="1:25" ht="20.25" x14ac:dyDescent="0.4">
      <c r="A191" s="461"/>
      <c r="B191" s="467">
        <v>30.61</v>
      </c>
      <c r="C191" s="468">
        <v>97.27</v>
      </c>
      <c r="D191" s="468">
        <v>55.54</v>
      </c>
      <c r="E191" s="468">
        <v>315.02999999999997</v>
      </c>
      <c r="F191" s="468">
        <v>28.09</v>
      </c>
      <c r="G191" s="468">
        <v>557.17999999999995</v>
      </c>
      <c r="H191" s="487">
        <v>4.38</v>
      </c>
      <c r="I191" s="514">
        <f>SUM(B191:H191)</f>
        <v>1088.0999999999999</v>
      </c>
      <c r="J191" s="515">
        <f>125-I191</f>
        <v>-963.09999999999991</v>
      </c>
      <c r="K191" s="657">
        <f>1505-SUM(I191:I201)-97</f>
        <v>-2137.5300000000002</v>
      </c>
      <c r="L191" s="461"/>
      <c r="M191" s="461"/>
      <c r="N191" s="461"/>
      <c r="O191" s="461"/>
      <c r="P191" s="461"/>
      <c r="Q191" s="461"/>
      <c r="R191" s="461"/>
      <c r="S191" s="461"/>
      <c r="T191" s="461"/>
      <c r="U191" s="461"/>
      <c r="V191" s="461"/>
      <c r="W191" s="461"/>
      <c r="X191" s="461"/>
      <c r="Y191" s="461"/>
    </row>
    <row r="192" spans="1:25" ht="20.25" x14ac:dyDescent="0.4">
      <c r="A192" s="461"/>
      <c r="B192" s="472">
        <v>2</v>
      </c>
      <c r="C192" s="473">
        <v>3</v>
      </c>
      <c r="D192" s="473">
        <v>4</v>
      </c>
      <c r="E192" s="473">
        <v>5</v>
      </c>
      <c r="F192" s="473">
        <v>6</v>
      </c>
      <c r="G192" s="473">
        <v>7</v>
      </c>
      <c r="H192" s="474">
        <v>8</v>
      </c>
      <c r="I192" s="513"/>
      <c r="J192" s="513"/>
      <c r="K192" s="658"/>
      <c r="L192" s="461"/>
      <c r="M192" s="461"/>
      <c r="N192" s="461"/>
      <c r="O192" s="461"/>
      <c r="P192" s="461"/>
      <c r="Q192" s="461"/>
      <c r="R192" s="461"/>
      <c r="S192" s="461"/>
      <c r="T192" s="461"/>
      <c r="U192" s="461"/>
      <c r="V192" s="461"/>
      <c r="W192" s="461"/>
      <c r="X192" s="461"/>
      <c r="Y192" s="461"/>
    </row>
    <row r="193" spans="1:25" ht="20.25" x14ac:dyDescent="0.4">
      <c r="A193" s="461"/>
      <c r="B193" s="485">
        <v>8.15</v>
      </c>
      <c r="C193" s="486">
        <v>59.14</v>
      </c>
      <c r="D193" s="486">
        <v>173.27</v>
      </c>
      <c r="E193" s="486">
        <v>83.54</v>
      </c>
      <c r="F193" s="486">
        <v>46.47</v>
      </c>
      <c r="G193" s="486">
        <v>43.69</v>
      </c>
      <c r="H193" s="487">
        <v>42.43</v>
      </c>
      <c r="I193" s="514">
        <f>SUM(B193:H193)</f>
        <v>456.69000000000005</v>
      </c>
      <c r="J193" s="515">
        <f>125-I193</f>
        <v>-331.69000000000005</v>
      </c>
      <c r="K193" s="658"/>
      <c r="L193" s="461"/>
      <c r="M193" s="461"/>
      <c r="N193" s="461"/>
      <c r="O193" s="461"/>
      <c r="P193" s="461"/>
      <c r="Q193" s="461"/>
      <c r="R193" s="461"/>
      <c r="S193" s="461"/>
      <c r="T193" s="461"/>
      <c r="U193" s="461"/>
      <c r="V193" s="461"/>
      <c r="W193" s="461"/>
      <c r="X193" s="461"/>
      <c r="Y193" s="461"/>
    </row>
    <row r="194" spans="1:25" ht="20.25" x14ac:dyDescent="0.4">
      <c r="A194" s="461"/>
      <c r="B194" s="472">
        <v>9</v>
      </c>
      <c r="C194" s="473">
        <v>10</v>
      </c>
      <c r="D194" s="473">
        <v>11</v>
      </c>
      <c r="E194" s="473">
        <v>12</v>
      </c>
      <c r="F194" s="473">
        <v>13</v>
      </c>
      <c r="G194" s="473">
        <v>14</v>
      </c>
      <c r="H194" s="474">
        <v>15</v>
      </c>
      <c r="I194" s="513"/>
      <c r="J194" s="513"/>
      <c r="K194" s="658"/>
      <c r="L194" s="461"/>
      <c r="M194" s="461"/>
      <c r="N194" s="461"/>
      <c r="O194" s="461"/>
      <c r="P194" s="461"/>
      <c r="Q194" s="461"/>
      <c r="R194" s="461"/>
      <c r="S194" s="461"/>
      <c r="T194" s="461"/>
      <c r="U194" s="461"/>
      <c r="V194" s="461"/>
      <c r="W194" s="461"/>
      <c r="X194" s="461"/>
      <c r="Y194" s="461"/>
    </row>
    <row r="195" spans="1:25" ht="20.25" x14ac:dyDescent="0.4">
      <c r="A195" s="461"/>
      <c r="B195" s="485">
        <v>58.56</v>
      </c>
      <c r="C195" s="486">
        <v>16.149999999999999</v>
      </c>
      <c r="D195" s="486">
        <v>70.819999999999993</v>
      </c>
      <c r="E195" s="486">
        <v>25.88</v>
      </c>
      <c r="F195" s="486">
        <v>31.83</v>
      </c>
      <c r="G195" s="486">
        <v>160.80000000000001</v>
      </c>
      <c r="H195" s="487">
        <v>17.34</v>
      </c>
      <c r="I195" s="514">
        <f>SUM(B195:H195)</f>
        <v>381.38</v>
      </c>
      <c r="J195" s="515">
        <f>125-I195</f>
        <v>-256.38</v>
      </c>
      <c r="K195" s="658"/>
      <c r="L195" s="461"/>
      <c r="M195" s="461"/>
      <c r="N195" s="461"/>
      <c r="O195" s="461"/>
      <c r="P195" s="461"/>
      <c r="Q195" s="461"/>
      <c r="R195" s="461"/>
      <c r="S195" s="461"/>
      <c r="T195" s="461"/>
      <c r="U195" s="461"/>
      <c r="V195" s="461"/>
      <c r="W195" s="461"/>
      <c r="X195" s="461"/>
      <c r="Y195" s="461"/>
    </row>
    <row r="196" spans="1:25" ht="20.25" x14ac:dyDescent="0.4">
      <c r="A196" s="461"/>
      <c r="B196" s="472">
        <v>16</v>
      </c>
      <c r="C196" s="473">
        <v>17</v>
      </c>
      <c r="D196" s="473">
        <v>18</v>
      </c>
      <c r="E196" s="473">
        <v>19</v>
      </c>
      <c r="F196" s="473">
        <v>20</v>
      </c>
      <c r="G196" s="473">
        <v>21</v>
      </c>
      <c r="H196" s="474">
        <v>22</v>
      </c>
      <c r="I196" s="513"/>
      <c r="J196" s="513"/>
      <c r="K196" s="658"/>
      <c r="L196" s="461"/>
      <c r="M196" s="461"/>
      <c r="N196" s="461"/>
      <c r="O196" s="461"/>
      <c r="P196" s="461"/>
      <c r="Q196" s="461"/>
      <c r="R196" s="461"/>
      <c r="S196" s="461"/>
      <c r="T196" s="461"/>
      <c r="U196" s="461"/>
      <c r="V196" s="461"/>
      <c r="W196" s="461"/>
      <c r="X196" s="461"/>
      <c r="Y196" s="461"/>
    </row>
    <row r="197" spans="1:25" ht="20.25" x14ac:dyDescent="0.4">
      <c r="A197" s="461"/>
      <c r="B197" s="516">
        <v>0</v>
      </c>
      <c r="C197" s="501">
        <v>56.46</v>
      </c>
      <c r="D197" s="501">
        <v>68.400000000000006</v>
      </c>
      <c r="E197" s="501">
        <v>69.28</v>
      </c>
      <c r="F197" s="501">
        <v>41.56</v>
      </c>
      <c r="G197" s="501">
        <v>33.5</v>
      </c>
      <c r="H197" s="502">
        <v>26.91</v>
      </c>
      <c r="I197" s="517">
        <f>SUM(B197:H197)</f>
        <v>296.11000000000007</v>
      </c>
      <c r="J197" s="518">
        <f>125-I197</f>
        <v>-171.11000000000007</v>
      </c>
      <c r="K197" s="658"/>
      <c r="L197" s="461"/>
      <c r="M197" s="461"/>
      <c r="N197" s="461"/>
      <c r="O197" s="461"/>
      <c r="P197" s="461"/>
      <c r="Q197" s="461"/>
      <c r="R197" s="461"/>
      <c r="S197" s="461"/>
      <c r="T197" s="461"/>
      <c r="U197" s="461"/>
      <c r="V197" s="461"/>
      <c r="W197" s="461"/>
      <c r="X197" s="461"/>
      <c r="Y197" s="461"/>
    </row>
    <row r="198" spans="1:25" ht="20.25" x14ac:dyDescent="0.4">
      <c r="A198" s="461"/>
      <c r="B198" s="472">
        <v>23</v>
      </c>
      <c r="C198" s="473">
        <v>24</v>
      </c>
      <c r="D198" s="473">
        <v>25</v>
      </c>
      <c r="E198" s="473">
        <v>26</v>
      </c>
      <c r="F198" s="473">
        <v>27</v>
      </c>
      <c r="G198" s="478">
        <v>28</v>
      </c>
      <c r="H198" s="466">
        <v>29</v>
      </c>
      <c r="I198" s="519"/>
      <c r="J198" s="513"/>
      <c r="K198" s="658"/>
      <c r="L198" s="461"/>
      <c r="M198" s="461"/>
      <c r="N198" s="461"/>
      <c r="O198" s="461"/>
      <c r="P198" s="461"/>
      <c r="Q198" s="461"/>
      <c r="R198" s="461"/>
      <c r="S198" s="461"/>
      <c r="T198" s="461"/>
      <c r="U198" s="461"/>
      <c r="V198" s="461"/>
      <c r="W198" s="461"/>
      <c r="X198" s="461"/>
      <c r="Y198" s="461"/>
    </row>
    <row r="199" spans="1:25" ht="20.25" x14ac:dyDescent="0.4">
      <c r="A199" s="461"/>
      <c r="B199" s="516">
        <v>106.39</v>
      </c>
      <c r="C199" s="501">
        <v>12.11</v>
      </c>
      <c r="D199" s="501">
        <v>535.9</v>
      </c>
      <c r="E199" s="501">
        <v>56.19</v>
      </c>
      <c r="F199" s="501">
        <v>119.71</v>
      </c>
      <c r="G199" s="501">
        <v>89.84</v>
      </c>
      <c r="H199" s="502">
        <v>28.67</v>
      </c>
      <c r="I199" s="517">
        <f>SUM(B199:H199)</f>
        <v>948.81</v>
      </c>
      <c r="J199" s="518">
        <f>125-I199</f>
        <v>-823.81</v>
      </c>
      <c r="K199" s="658"/>
      <c r="L199" s="461"/>
      <c r="M199" s="461"/>
      <c r="N199" s="461"/>
      <c r="O199" s="461"/>
      <c r="P199" s="461"/>
      <c r="Q199" s="461"/>
      <c r="R199" s="461"/>
      <c r="S199" s="461"/>
      <c r="T199" s="461"/>
      <c r="U199" s="461"/>
      <c r="V199" s="461"/>
      <c r="W199" s="461"/>
      <c r="X199" s="461"/>
      <c r="Y199" s="461"/>
    </row>
    <row r="200" spans="1:25" ht="20.25" x14ac:dyDescent="0.4">
      <c r="A200" s="461"/>
      <c r="B200" s="472">
        <v>30</v>
      </c>
      <c r="C200" s="473">
        <v>31</v>
      </c>
      <c r="D200" s="465">
        <v>1</v>
      </c>
      <c r="E200" s="465">
        <v>2</v>
      </c>
      <c r="F200" s="465">
        <v>3</v>
      </c>
      <c r="G200" s="465">
        <v>4</v>
      </c>
      <c r="H200" s="480">
        <v>5</v>
      </c>
      <c r="I200" s="520"/>
      <c r="J200" s="520"/>
      <c r="K200" s="658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</row>
    <row r="201" spans="1:25" ht="20.25" x14ac:dyDescent="0.4">
      <c r="A201" s="461"/>
      <c r="B201" s="488">
        <v>26.49</v>
      </c>
      <c r="C201" s="489">
        <v>69.66</v>
      </c>
      <c r="D201" s="490">
        <v>3.79</v>
      </c>
      <c r="E201" s="490">
        <v>32.68</v>
      </c>
      <c r="F201" s="490"/>
      <c r="G201" s="490">
        <v>150.41</v>
      </c>
      <c r="H201" s="521">
        <v>91.41</v>
      </c>
      <c r="I201" s="517">
        <f>SUM(B201:H201)</f>
        <v>374.43999999999994</v>
      </c>
      <c r="J201" s="518">
        <f>125-I201</f>
        <v>-249.43999999999994</v>
      </c>
      <c r="K201" s="659"/>
      <c r="L201" s="461"/>
      <c r="M201" s="461"/>
      <c r="N201" s="461"/>
      <c r="O201" s="461"/>
      <c r="P201" s="461"/>
      <c r="Q201" s="461"/>
      <c r="R201" s="461"/>
      <c r="S201" s="461"/>
      <c r="T201" s="461"/>
      <c r="U201" s="461"/>
      <c r="V201" s="461"/>
      <c r="W201" s="461"/>
      <c r="X201" s="461"/>
      <c r="Y201" s="461"/>
    </row>
    <row r="202" spans="1:25" ht="20.25" x14ac:dyDescent="0.4">
      <c r="A202" s="461"/>
      <c r="B202" s="462"/>
      <c r="C202" s="462"/>
      <c r="D202" s="462"/>
      <c r="E202" s="462"/>
      <c r="F202" s="462"/>
      <c r="G202" s="462"/>
      <c r="H202" s="462"/>
      <c r="I202" s="463"/>
      <c r="J202" s="463"/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61"/>
      <c r="V202" s="461"/>
      <c r="W202" s="461"/>
      <c r="X202" s="461"/>
      <c r="Y202" s="461"/>
    </row>
    <row r="203" spans="1:25" ht="21.75" x14ac:dyDescent="0.4">
      <c r="A203" s="461"/>
      <c r="B203" s="654" t="s">
        <v>87</v>
      </c>
      <c r="C203" s="655"/>
      <c r="D203" s="655"/>
      <c r="E203" s="655"/>
      <c r="F203" s="655"/>
      <c r="G203" s="655"/>
      <c r="H203" s="656"/>
      <c r="I203" s="463"/>
      <c r="J203" s="463"/>
      <c r="K203" s="461"/>
      <c r="L203" s="461"/>
      <c r="M203" s="461"/>
      <c r="N203" s="461"/>
      <c r="O203" s="461"/>
      <c r="P203" s="461"/>
      <c r="Q203" s="461"/>
      <c r="R203" s="461"/>
      <c r="S203" s="461"/>
      <c r="T203" s="461"/>
      <c r="U203" s="461"/>
      <c r="V203" s="461"/>
      <c r="W203" s="461"/>
      <c r="X203" s="461"/>
      <c r="Y203" s="461"/>
    </row>
    <row r="204" spans="1:25" ht="20.25" x14ac:dyDescent="0.4">
      <c r="A204" s="461"/>
      <c r="B204" s="522">
        <v>28</v>
      </c>
      <c r="C204" s="523">
        <v>29</v>
      </c>
      <c r="D204" s="523">
        <v>30</v>
      </c>
      <c r="E204" s="523">
        <v>31</v>
      </c>
      <c r="F204" s="524">
        <v>1</v>
      </c>
      <c r="G204" s="524">
        <v>2</v>
      </c>
      <c r="H204" s="525">
        <v>3</v>
      </c>
      <c r="I204" s="463"/>
      <c r="J204" s="463"/>
      <c r="K204" s="461"/>
      <c r="L204" s="461"/>
      <c r="M204" s="461"/>
      <c r="N204" s="461"/>
      <c r="O204" s="461"/>
      <c r="P204" s="461"/>
      <c r="Q204" s="461"/>
      <c r="R204" s="461"/>
      <c r="S204" s="461"/>
      <c r="T204" s="461"/>
      <c r="U204" s="461"/>
      <c r="V204" s="461"/>
      <c r="W204" s="461"/>
      <c r="X204" s="461"/>
      <c r="Y204" s="461"/>
    </row>
    <row r="205" spans="1:25" ht="20.25" x14ac:dyDescent="0.4">
      <c r="A205" s="461"/>
      <c r="B205" s="526">
        <v>57.4</v>
      </c>
      <c r="C205" s="527">
        <v>45.25</v>
      </c>
      <c r="D205" s="527">
        <v>16.23</v>
      </c>
      <c r="E205" s="527">
        <v>22.25</v>
      </c>
      <c r="F205" s="528">
        <v>45.66</v>
      </c>
      <c r="G205" s="528">
        <v>76.2</v>
      </c>
      <c r="H205" s="529">
        <v>23.73</v>
      </c>
      <c r="I205" s="463">
        <f>SUM(B205:H205)</f>
        <v>286.72000000000003</v>
      </c>
      <c r="J205" s="463">
        <f>125-I205</f>
        <v>-161.72000000000003</v>
      </c>
      <c r="K205" s="657">
        <f>1505-SUM(I205:I213)-97</f>
        <v>-975.07999999999993</v>
      </c>
      <c r="L205" s="461"/>
      <c r="M205" s="461"/>
      <c r="N205" s="461"/>
      <c r="O205" s="461"/>
      <c r="P205" s="461"/>
      <c r="Q205" s="461"/>
      <c r="R205" s="461"/>
      <c r="S205" s="461"/>
      <c r="T205" s="461"/>
      <c r="U205" s="461"/>
      <c r="V205" s="461"/>
      <c r="W205" s="461"/>
      <c r="X205" s="461"/>
      <c r="Y205" s="461"/>
    </row>
    <row r="206" spans="1:25" ht="20.25" x14ac:dyDescent="0.4">
      <c r="A206" s="461"/>
      <c r="B206" s="530">
        <v>4</v>
      </c>
      <c r="C206" s="531">
        <v>5</v>
      </c>
      <c r="D206" s="531">
        <v>6</v>
      </c>
      <c r="E206" s="531">
        <v>7</v>
      </c>
      <c r="F206" s="531">
        <v>8</v>
      </c>
      <c r="G206" s="531">
        <v>9</v>
      </c>
      <c r="H206" s="532">
        <v>10</v>
      </c>
      <c r="I206" s="463"/>
      <c r="J206" s="463"/>
      <c r="K206" s="658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461"/>
      <c r="W206" s="461"/>
      <c r="X206" s="461"/>
      <c r="Y206" s="461"/>
    </row>
    <row r="207" spans="1:25" ht="20.25" x14ac:dyDescent="0.4">
      <c r="A207" s="461"/>
      <c r="B207" s="533">
        <v>29.59</v>
      </c>
      <c r="C207" s="462">
        <v>32.090000000000003</v>
      </c>
      <c r="D207" s="462">
        <v>54.69</v>
      </c>
      <c r="E207" s="462">
        <v>168.22</v>
      </c>
      <c r="F207" s="462">
        <v>11.21</v>
      </c>
      <c r="G207" s="462">
        <v>176.77</v>
      </c>
      <c r="H207" s="534">
        <v>22.15</v>
      </c>
      <c r="I207" s="463">
        <f>SUM(B207:H207)</f>
        <v>494.72</v>
      </c>
      <c r="J207" s="463">
        <f>125-I207</f>
        <v>-369.72</v>
      </c>
      <c r="K207" s="658"/>
      <c r="L207" s="461"/>
      <c r="M207" s="461"/>
      <c r="N207" s="461"/>
      <c r="O207" s="461"/>
      <c r="P207" s="461"/>
      <c r="Q207" s="461"/>
      <c r="R207" s="461"/>
      <c r="S207" s="461"/>
      <c r="T207" s="461"/>
      <c r="U207" s="461"/>
      <c r="V207" s="461"/>
      <c r="W207" s="461"/>
      <c r="X207" s="461"/>
      <c r="Y207" s="461"/>
    </row>
    <row r="208" spans="1:25" ht="20.25" x14ac:dyDescent="0.4">
      <c r="A208" s="461"/>
      <c r="B208" s="530">
        <v>11</v>
      </c>
      <c r="C208" s="531">
        <v>12</v>
      </c>
      <c r="D208" s="531">
        <v>13</v>
      </c>
      <c r="E208" s="531">
        <v>14</v>
      </c>
      <c r="F208" s="531">
        <v>15</v>
      </c>
      <c r="G208" s="531">
        <v>16</v>
      </c>
      <c r="H208" s="532">
        <v>17</v>
      </c>
      <c r="I208" s="463"/>
      <c r="J208" s="463"/>
      <c r="K208" s="658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/>
      <c r="W208" s="461"/>
      <c r="X208" s="461"/>
      <c r="Y208" s="461"/>
    </row>
    <row r="209" spans="1:25" ht="20.25" x14ac:dyDescent="0.4">
      <c r="A209" s="461"/>
      <c r="B209" s="533">
        <v>50.76</v>
      </c>
      <c r="C209" s="462">
        <v>20.51</v>
      </c>
      <c r="D209" s="462">
        <v>31.73</v>
      </c>
      <c r="E209" s="462">
        <v>2.11</v>
      </c>
      <c r="F209" s="462">
        <v>33.81</v>
      </c>
      <c r="G209" s="462">
        <v>50.78</v>
      </c>
      <c r="H209" s="534">
        <v>66.12</v>
      </c>
      <c r="I209" s="463">
        <f>SUM(B209:H209)</f>
        <v>255.82000000000002</v>
      </c>
      <c r="J209" s="463">
        <f>125-I209</f>
        <v>-130.82000000000002</v>
      </c>
      <c r="K209" s="658"/>
      <c r="L209" s="461"/>
      <c r="M209" s="461"/>
      <c r="N209" s="461"/>
      <c r="O209" s="461"/>
      <c r="P209" s="461"/>
      <c r="Q209" s="461"/>
      <c r="R209" s="461"/>
      <c r="S209" s="461"/>
      <c r="T209" s="461"/>
      <c r="U209" s="461"/>
      <c r="V209" s="461"/>
      <c r="W209" s="461"/>
      <c r="X209" s="461"/>
      <c r="Y209" s="461"/>
    </row>
    <row r="210" spans="1:25" ht="20.25" x14ac:dyDescent="0.4">
      <c r="A210" s="461"/>
      <c r="B210" s="530">
        <v>18</v>
      </c>
      <c r="C210" s="531">
        <v>19</v>
      </c>
      <c r="D210" s="531">
        <v>20</v>
      </c>
      <c r="E210" s="531">
        <v>21</v>
      </c>
      <c r="F210" s="531">
        <v>22</v>
      </c>
      <c r="G210" s="531">
        <v>23</v>
      </c>
      <c r="H210" s="532">
        <v>24</v>
      </c>
      <c r="I210" s="463"/>
      <c r="J210" s="463"/>
      <c r="K210" s="658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/>
      <c r="W210" s="461"/>
      <c r="X210" s="461"/>
      <c r="Y210" s="461"/>
    </row>
    <row r="211" spans="1:25" ht="20.25" x14ac:dyDescent="0.4">
      <c r="A211" s="461"/>
      <c r="B211" s="533">
        <v>27.08</v>
      </c>
      <c r="C211" s="462">
        <v>23.49</v>
      </c>
      <c r="D211" s="462">
        <v>22.6</v>
      </c>
      <c r="E211" s="462">
        <v>97.95</v>
      </c>
      <c r="F211" s="462">
        <v>19.100000000000001</v>
      </c>
      <c r="G211" s="462">
        <v>9.5</v>
      </c>
      <c r="H211" s="534">
        <v>58</v>
      </c>
      <c r="I211" s="463">
        <f>SUM(B211:H211)</f>
        <v>257.72000000000003</v>
      </c>
      <c r="J211" s="463">
        <f>125-I211</f>
        <v>-132.72000000000003</v>
      </c>
      <c r="K211" s="658"/>
      <c r="L211" s="461"/>
      <c r="M211" s="461"/>
      <c r="N211" s="461"/>
      <c r="O211" s="461"/>
      <c r="P211" s="461"/>
      <c r="Q211" s="461"/>
      <c r="R211" s="461"/>
      <c r="S211" s="461"/>
      <c r="T211" s="461"/>
      <c r="U211" s="461"/>
      <c r="V211" s="461"/>
      <c r="W211" s="461"/>
      <c r="X211" s="461"/>
      <c r="Y211" s="461"/>
    </row>
    <row r="212" spans="1:25" ht="20.25" x14ac:dyDescent="0.4">
      <c r="A212" s="461"/>
      <c r="B212" s="530">
        <v>25</v>
      </c>
      <c r="C212" s="531">
        <v>26</v>
      </c>
      <c r="D212" s="531">
        <v>27</v>
      </c>
      <c r="E212" s="524">
        <v>28</v>
      </c>
      <c r="F212" s="524">
        <v>29</v>
      </c>
      <c r="G212" s="524">
        <v>30</v>
      </c>
      <c r="H212" s="535">
        <v>1</v>
      </c>
      <c r="I212" s="463"/>
      <c r="J212" s="463"/>
      <c r="K212" s="658"/>
      <c r="L212" s="461"/>
      <c r="M212" s="461"/>
      <c r="N212" s="461"/>
      <c r="O212" s="461"/>
      <c r="P212" s="461"/>
      <c r="Q212" s="461"/>
      <c r="R212" s="461"/>
      <c r="S212" s="461"/>
      <c r="T212" s="461"/>
      <c r="U212" s="461"/>
      <c r="V212" s="461"/>
      <c r="W212" s="461"/>
      <c r="X212" s="461"/>
      <c r="Y212" s="461"/>
    </row>
    <row r="213" spans="1:25" ht="20.25" x14ac:dyDescent="0.4">
      <c r="A213" s="461"/>
      <c r="B213" s="536">
        <v>30.61</v>
      </c>
      <c r="C213" s="537">
        <v>97.27</v>
      </c>
      <c r="D213" s="537">
        <v>55.54</v>
      </c>
      <c r="E213" s="537">
        <v>315.02999999999997</v>
      </c>
      <c r="F213" s="537">
        <v>28.09</v>
      </c>
      <c r="G213" s="537">
        <v>557.17999999999995</v>
      </c>
      <c r="H213" s="538">
        <v>4.38</v>
      </c>
      <c r="I213" s="463">
        <f>SUM(B213:H213)</f>
        <v>1088.0999999999999</v>
      </c>
      <c r="J213" s="463">
        <f>125-I213</f>
        <v>-963.09999999999991</v>
      </c>
      <c r="K213" s="659"/>
      <c r="L213" s="461"/>
      <c r="M213" s="461"/>
      <c r="N213" s="461"/>
      <c r="O213" s="461"/>
      <c r="P213" s="461"/>
      <c r="Q213" s="461"/>
      <c r="R213" s="461"/>
      <c r="S213" s="461"/>
      <c r="T213" s="461"/>
      <c r="U213" s="461"/>
      <c r="V213" s="461"/>
      <c r="W213" s="461"/>
      <c r="X213" s="461"/>
      <c r="Y213" s="461"/>
    </row>
    <row r="214" spans="1:25" ht="20.25" x14ac:dyDescent="0.4">
      <c r="A214" s="461"/>
      <c r="B214" s="462"/>
      <c r="C214" s="462"/>
      <c r="D214" s="462"/>
      <c r="E214" s="462"/>
      <c r="F214" s="462"/>
      <c r="G214" s="462"/>
      <c r="H214" s="462"/>
      <c r="I214" s="463"/>
      <c r="J214" s="463"/>
      <c r="K214" s="461"/>
      <c r="L214" s="461"/>
      <c r="M214" s="461"/>
      <c r="N214" s="461"/>
      <c r="O214" s="461"/>
      <c r="P214" s="461"/>
      <c r="Q214" s="461"/>
      <c r="R214" s="461"/>
      <c r="S214" s="461"/>
      <c r="T214" s="461"/>
      <c r="U214" s="461"/>
      <c r="V214" s="461"/>
      <c r="W214" s="461"/>
      <c r="X214" s="461"/>
      <c r="Y214" s="461"/>
    </row>
    <row r="215" spans="1:25" ht="21.75" x14ac:dyDescent="0.4">
      <c r="A215" s="461"/>
      <c r="B215" s="654" t="s">
        <v>89</v>
      </c>
      <c r="C215" s="655"/>
      <c r="D215" s="655"/>
      <c r="E215" s="655"/>
      <c r="F215" s="655"/>
      <c r="G215" s="655"/>
      <c r="H215" s="656"/>
      <c r="I215" s="463"/>
      <c r="J215" s="463"/>
      <c r="K215" s="461"/>
      <c r="L215" s="461"/>
      <c r="M215" s="461"/>
      <c r="N215" s="461"/>
      <c r="O215" s="461"/>
      <c r="P215" s="461"/>
      <c r="Q215" s="461"/>
      <c r="R215" s="461"/>
      <c r="S215" s="461"/>
      <c r="T215" s="461"/>
      <c r="U215" s="461"/>
      <c r="V215" s="461"/>
      <c r="W215" s="461"/>
      <c r="X215" s="461"/>
      <c r="Y215" s="461"/>
    </row>
    <row r="216" spans="1:25" ht="20.25" x14ac:dyDescent="0.4">
      <c r="A216" s="461"/>
      <c r="B216" s="522">
        <v>30</v>
      </c>
      <c r="C216" s="524">
        <v>1</v>
      </c>
      <c r="D216" s="524">
        <v>2</v>
      </c>
      <c r="E216" s="524">
        <v>3</v>
      </c>
      <c r="F216" s="524">
        <v>4</v>
      </c>
      <c r="G216" s="524">
        <v>5</v>
      </c>
      <c r="H216" s="525">
        <v>6</v>
      </c>
      <c r="I216" s="463"/>
      <c r="J216" s="463"/>
      <c r="K216" s="461"/>
      <c r="L216" s="461"/>
      <c r="M216" s="461"/>
      <c r="N216" s="461"/>
      <c r="O216" s="461"/>
      <c r="P216" s="461"/>
      <c r="Q216" s="461"/>
      <c r="R216" s="461"/>
      <c r="S216" s="461"/>
      <c r="T216" s="461"/>
      <c r="U216" s="461"/>
      <c r="V216" s="461"/>
      <c r="W216" s="461"/>
      <c r="X216" s="461"/>
      <c r="Y216" s="461"/>
    </row>
    <row r="217" spans="1:25" ht="20.25" x14ac:dyDescent="0.4">
      <c r="A217" s="461"/>
      <c r="B217" s="526">
        <v>18.75</v>
      </c>
      <c r="C217" s="528">
        <v>8.75</v>
      </c>
      <c r="D217" s="528">
        <v>23.74</v>
      </c>
      <c r="E217" s="528">
        <v>43.65</v>
      </c>
      <c r="F217" s="528">
        <v>34.74</v>
      </c>
      <c r="G217" s="528">
        <v>190.21</v>
      </c>
      <c r="H217" s="529">
        <v>68.28</v>
      </c>
      <c r="I217" s="463">
        <f>SUM(B217:H217)</f>
        <v>388.12</v>
      </c>
      <c r="J217" s="463">
        <f>125-I217</f>
        <v>-263.12</v>
      </c>
      <c r="K217" s="657">
        <f>1505-SUM(I217:I225)-97</f>
        <v>-227.53999999999996</v>
      </c>
      <c r="L217" s="461"/>
      <c r="M217" s="461"/>
      <c r="N217" s="461"/>
      <c r="O217" s="461"/>
      <c r="P217" s="461"/>
      <c r="Q217" s="461"/>
      <c r="R217" s="461"/>
      <c r="S217" s="461"/>
      <c r="T217" s="461"/>
      <c r="U217" s="461"/>
      <c r="V217" s="461"/>
      <c r="W217" s="461"/>
      <c r="X217" s="461"/>
      <c r="Y217" s="461"/>
    </row>
    <row r="218" spans="1:25" ht="20.25" x14ac:dyDescent="0.4">
      <c r="A218" s="461"/>
      <c r="B218" s="530">
        <v>7</v>
      </c>
      <c r="C218" s="531">
        <v>8</v>
      </c>
      <c r="D218" s="531">
        <v>9</v>
      </c>
      <c r="E218" s="531">
        <v>10</v>
      </c>
      <c r="F218" s="531">
        <v>11</v>
      </c>
      <c r="G218" s="531">
        <v>12</v>
      </c>
      <c r="H218" s="532">
        <v>13</v>
      </c>
      <c r="I218" s="463"/>
      <c r="J218" s="463"/>
      <c r="K218" s="658"/>
      <c r="L218" s="461"/>
      <c r="M218" s="461"/>
      <c r="N218" s="461"/>
      <c r="O218" s="461"/>
      <c r="P218" s="461"/>
      <c r="Q218" s="461"/>
      <c r="R218" s="461"/>
      <c r="S218" s="461"/>
      <c r="T218" s="461"/>
      <c r="U218" s="461"/>
      <c r="V218" s="461"/>
      <c r="W218" s="461"/>
      <c r="X218" s="461"/>
      <c r="Y218" s="461"/>
    </row>
    <row r="219" spans="1:25" ht="20.25" x14ac:dyDescent="0.4">
      <c r="A219" s="461"/>
      <c r="B219" s="533">
        <v>28.04</v>
      </c>
      <c r="C219" s="462">
        <v>57.7</v>
      </c>
      <c r="D219" s="462">
        <v>66.239999999999995</v>
      </c>
      <c r="E219" s="462">
        <v>23.85</v>
      </c>
      <c r="F219" s="462">
        <v>57.21</v>
      </c>
      <c r="G219" s="462">
        <v>117.25</v>
      </c>
      <c r="H219" s="534">
        <v>37.35</v>
      </c>
      <c r="I219" s="463">
        <f>SUM(B219:H219)</f>
        <v>387.64000000000004</v>
      </c>
      <c r="J219" s="463">
        <f>125-I219</f>
        <v>-262.64000000000004</v>
      </c>
      <c r="K219" s="658"/>
      <c r="L219" s="461"/>
      <c r="M219" s="461"/>
      <c r="N219" s="461"/>
      <c r="O219" s="461"/>
      <c r="P219" s="461"/>
      <c r="Q219" s="461"/>
      <c r="R219" s="461"/>
      <c r="S219" s="461"/>
      <c r="T219" s="461"/>
      <c r="U219" s="461"/>
      <c r="V219" s="461"/>
      <c r="W219" s="461"/>
      <c r="X219" s="461"/>
      <c r="Y219" s="461"/>
    </row>
    <row r="220" spans="1:25" ht="20.25" x14ac:dyDescent="0.4">
      <c r="A220" s="461"/>
      <c r="B220" s="530">
        <v>14</v>
      </c>
      <c r="C220" s="531">
        <v>15</v>
      </c>
      <c r="D220" s="531">
        <v>16</v>
      </c>
      <c r="E220" s="531">
        <v>17</v>
      </c>
      <c r="F220" s="531">
        <v>18</v>
      </c>
      <c r="G220" s="531">
        <v>19</v>
      </c>
      <c r="H220" s="532">
        <v>20</v>
      </c>
      <c r="I220" s="463"/>
      <c r="J220" s="463"/>
      <c r="K220" s="658"/>
      <c r="L220" s="461"/>
      <c r="M220" s="461"/>
      <c r="N220" s="461"/>
      <c r="O220" s="461"/>
      <c r="P220" s="461"/>
      <c r="Q220" s="461"/>
      <c r="R220" s="461"/>
      <c r="S220" s="461"/>
      <c r="T220" s="461"/>
      <c r="U220" s="461"/>
      <c r="V220" s="461"/>
      <c r="W220" s="461"/>
      <c r="X220" s="461"/>
      <c r="Y220" s="461"/>
    </row>
    <row r="221" spans="1:25" ht="20.25" x14ac:dyDescent="0.4">
      <c r="A221" s="461"/>
      <c r="B221" s="533">
        <v>52.74</v>
      </c>
      <c r="C221" s="462">
        <v>44.17</v>
      </c>
      <c r="D221" s="462">
        <v>13.91</v>
      </c>
      <c r="E221" s="462">
        <v>40.72</v>
      </c>
      <c r="F221" s="462">
        <v>33.19</v>
      </c>
      <c r="G221" s="462">
        <v>52.84</v>
      </c>
      <c r="H221" s="534">
        <v>15.75</v>
      </c>
      <c r="I221" s="463">
        <f>SUM(B221:H221)</f>
        <v>253.32</v>
      </c>
      <c r="J221" s="463">
        <f>125-I221</f>
        <v>-128.32</v>
      </c>
      <c r="K221" s="658"/>
      <c r="L221" s="461"/>
      <c r="M221" s="461"/>
      <c r="N221" s="461"/>
      <c r="O221" s="461"/>
      <c r="P221" s="461"/>
      <c r="Q221" s="461"/>
      <c r="R221" s="461"/>
      <c r="S221" s="461"/>
      <c r="T221" s="461"/>
      <c r="U221" s="461"/>
      <c r="V221" s="461"/>
      <c r="W221" s="461"/>
      <c r="X221" s="461"/>
      <c r="Y221" s="461"/>
    </row>
    <row r="222" spans="1:25" ht="20.25" x14ac:dyDescent="0.4">
      <c r="A222" s="461"/>
      <c r="B222" s="530">
        <v>21</v>
      </c>
      <c r="C222" s="531">
        <v>22</v>
      </c>
      <c r="D222" s="531">
        <v>23</v>
      </c>
      <c r="E222" s="531">
        <v>24</v>
      </c>
      <c r="F222" s="531">
        <v>25</v>
      </c>
      <c r="G222" s="531">
        <v>26</v>
      </c>
      <c r="H222" s="532">
        <v>27</v>
      </c>
      <c r="I222" s="463"/>
      <c r="J222" s="463"/>
      <c r="K222" s="658"/>
      <c r="L222" s="461"/>
      <c r="M222" s="461"/>
      <c r="N222" s="461"/>
      <c r="O222" s="461"/>
      <c r="P222" s="461"/>
      <c r="Q222" s="461"/>
      <c r="R222" s="461"/>
      <c r="S222" s="461"/>
      <c r="T222" s="461"/>
      <c r="U222" s="461"/>
      <c r="V222" s="461"/>
      <c r="W222" s="461"/>
      <c r="X222" s="461"/>
      <c r="Y222" s="461"/>
    </row>
    <row r="223" spans="1:25" ht="20.25" x14ac:dyDescent="0.4">
      <c r="A223" s="461"/>
      <c r="B223" s="533">
        <v>31.08</v>
      </c>
      <c r="C223" s="462">
        <v>62.75</v>
      </c>
      <c r="D223" s="462">
        <v>37.08</v>
      </c>
      <c r="E223" s="462">
        <v>37.18</v>
      </c>
      <c r="F223" s="462">
        <v>20.65</v>
      </c>
      <c r="G223" s="462">
        <v>43.61</v>
      </c>
      <c r="H223" s="534">
        <v>87.39</v>
      </c>
      <c r="I223" s="463">
        <f>SUM(B223:H223)</f>
        <v>319.74</v>
      </c>
      <c r="J223" s="463">
        <f>125-I223</f>
        <v>-194.74</v>
      </c>
      <c r="K223" s="658"/>
      <c r="L223" s="461"/>
      <c r="M223" s="461"/>
      <c r="N223" s="461"/>
      <c r="O223" s="461"/>
      <c r="P223" s="461"/>
      <c r="Q223" s="461"/>
      <c r="R223" s="461"/>
      <c r="S223" s="461"/>
      <c r="T223" s="461"/>
      <c r="U223" s="461"/>
      <c r="V223" s="461"/>
      <c r="W223" s="461"/>
      <c r="X223" s="461"/>
      <c r="Y223" s="461"/>
    </row>
    <row r="224" spans="1:25" ht="20.25" x14ac:dyDescent="0.4">
      <c r="A224" s="461"/>
      <c r="B224" s="530">
        <v>28</v>
      </c>
      <c r="C224" s="531">
        <v>29</v>
      </c>
      <c r="D224" s="531">
        <v>30</v>
      </c>
      <c r="E224" s="531">
        <v>31</v>
      </c>
      <c r="F224" s="523">
        <v>1</v>
      </c>
      <c r="G224" s="523">
        <v>2</v>
      </c>
      <c r="H224" s="535">
        <v>3</v>
      </c>
      <c r="I224" s="463"/>
      <c r="J224" s="463"/>
      <c r="K224" s="658"/>
      <c r="L224" s="461"/>
      <c r="M224" s="461"/>
      <c r="N224" s="461"/>
      <c r="O224" s="461"/>
      <c r="P224" s="461"/>
      <c r="Q224" s="461"/>
      <c r="R224" s="461"/>
      <c r="S224" s="461"/>
      <c r="T224" s="461"/>
      <c r="U224" s="461"/>
      <c r="V224" s="461"/>
      <c r="W224" s="461"/>
      <c r="X224" s="461"/>
      <c r="Y224" s="461"/>
    </row>
    <row r="225" spans="1:25" ht="20.25" x14ac:dyDescent="0.4">
      <c r="A225" s="461"/>
      <c r="B225" s="536">
        <v>57.4</v>
      </c>
      <c r="C225" s="537">
        <v>45.25</v>
      </c>
      <c r="D225" s="537">
        <v>16.23</v>
      </c>
      <c r="E225" s="537">
        <v>22.25</v>
      </c>
      <c r="F225" s="539">
        <v>45.66</v>
      </c>
      <c r="G225" s="539">
        <v>76.2</v>
      </c>
      <c r="H225" s="538">
        <v>23.73</v>
      </c>
      <c r="I225" s="463">
        <f>SUM(B225:H225)</f>
        <v>286.72000000000003</v>
      </c>
      <c r="J225" s="463">
        <f>125-I225</f>
        <v>-161.72000000000003</v>
      </c>
      <c r="K225" s="659"/>
      <c r="L225" s="461"/>
      <c r="M225" s="461"/>
      <c r="N225" s="461"/>
      <c r="O225" s="461"/>
      <c r="P225" s="461"/>
      <c r="Q225" s="461"/>
      <c r="R225" s="461"/>
      <c r="S225" s="461"/>
      <c r="T225" s="461"/>
      <c r="U225" s="461"/>
      <c r="V225" s="461"/>
      <c r="W225" s="461"/>
      <c r="X225" s="461"/>
      <c r="Y225" s="461"/>
    </row>
    <row r="226" spans="1:25" ht="20.25" x14ac:dyDescent="0.4">
      <c r="A226" s="461"/>
      <c r="B226" s="462"/>
      <c r="C226" s="462"/>
      <c r="D226" s="462"/>
      <c r="E226" s="462"/>
      <c r="F226" s="462"/>
      <c r="G226" s="462"/>
      <c r="H226" s="462"/>
      <c r="I226" s="463"/>
      <c r="J226" s="463"/>
      <c r="K226" s="461"/>
      <c r="L226" s="461"/>
      <c r="M226" s="461"/>
      <c r="N226" s="461"/>
      <c r="O226" s="461"/>
      <c r="P226" s="461"/>
      <c r="Q226" s="461"/>
      <c r="R226" s="461"/>
      <c r="S226" s="461"/>
      <c r="T226" s="461"/>
      <c r="U226" s="461"/>
      <c r="V226" s="461"/>
      <c r="W226" s="461"/>
      <c r="X226" s="461"/>
      <c r="Y226" s="461"/>
    </row>
    <row r="227" spans="1:25" ht="21.75" x14ac:dyDescent="0.4">
      <c r="A227" s="461"/>
      <c r="B227" s="654" t="s">
        <v>90</v>
      </c>
      <c r="C227" s="655"/>
      <c r="D227" s="655"/>
      <c r="E227" s="655"/>
      <c r="F227" s="655"/>
      <c r="G227" s="655"/>
      <c r="H227" s="656"/>
      <c r="I227" s="463"/>
      <c r="J227" s="463"/>
      <c r="K227" s="461"/>
      <c r="L227" s="461"/>
      <c r="M227" s="461"/>
      <c r="N227" s="461"/>
      <c r="O227" s="461"/>
      <c r="P227" s="461"/>
      <c r="Q227" s="461"/>
      <c r="R227" s="461"/>
      <c r="S227" s="461"/>
      <c r="T227" s="461"/>
      <c r="U227" s="461"/>
      <c r="V227" s="461"/>
      <c r="W227" s="461"/>
      <c r="X227" s="461"/>
      <c r="Y227" s="461"/>
    </row>
    <row r="228" spans="1:25" ht="20.25" x14ac:dyDescent="0.4">
      <c r="A228" s="461"/>
      <c r="B228" s="522">
        <v>26</v>
      </c>
      <c r="C228" s="523">
        <v>27</v>
      </c>
      <c r="D228" s="523">
        <v>28</v>
      </c>
      <c r="E228" s="523">
        <v>29</v>
      </c>
      <c r="F228" s="523">
        <v>30</v>
      </c>
      <c r="G228" s="523">
        <v>31</v>
      </c>
      <c r="H228" s="532">
        <v>1</v>
      </c>
      <c r="I228" s="463"/>
      <c r="J228" s="463"/>
      <c r="K228" s="461"/>
      <c r="L228" s="461"/>
      <c r="M228" s="461"/>
      <c r="N228" s="461"/>
      <c r="O228" s="461"/>
      <c r="P228" s="461"/>
      <c r="Q228" s="461"/>
      <c r="R228" s="461"/>
      <c r="S228" s="461"/>
      <c r="T228" s="461"/>
      <c r="U228" s="461"/>
      <c r="V228" s="461"/>
      <c r="W228" s="461"/>
      <c r="X228" s="461"/>
      <c r="Y228" s="461"/>
    </row>
    <row r="229" spans="1:25" ht="20.25" x14ac:dyDescent="0.4">
      <c r="A229" s="461"/>
      <c r="B229" s="526">
        <v>5.8</v>
      </c>
      <c r="C229" s="540">
        <v>14.06</v>
      </c>
      <c r="D229" s="540">
        <v>41.91</v>
      </c>
      <c r="E229" s="540">
        <v>24.22</v>
      </c>
      <c r="F229" s="540">
        <v>23.42</v>
      </c>
      <c r="G229" s="540">
        <v>43.04</v>
      </c>
      <c r="H229" s="534">
        <v>18.850000000000001</v>
      </c>
      <c r="I229" s="463">
        <f>SUM(B229:H229)</f>
        <v>171.29999999999998</v>
      </c>
      <c r="J229" s="463">
        <f>125-I229</f>
        <v>-46.299999999999983</v>
      </c>
      <c r="K229" s="657">
        <f>1505-SUM(I229:I239)-97</f>
        <v>-616.82000000000016</v>
      </c>
      <c r="L229" s="461"/>
      <c r="M229" s="461"/>
      <c r="N229" s="461"/>
      <c r="O229" s="461"/>
      <c r="P229" s="461"/>
      <c r="Q229" s="461"/>
      <c r="R229" s="461"/>
      <c r="S229" s="461"/>
      <c r="T229" s="461"/>
      <c r="U229" s="461"/>
      <c r="V229" s="461"/>
      <c r="W229" s="461"/>
      <c r="X229" s="461"/>
      <c r="Y229" s="461"/>
    </row>
    <row r="230" spans="1:25" ht="20.25" x14ac:dyDescent="0.4">
      <c r="A230" s="461"/>
      <c r="B230" s="530">
        <v>2</v>
      </c>
      <c r="C230" s="531">
        <v>3</v>
      </c>
      <c r="D230" s="531">
        <v>4</v>
      </c>
      <c r="E230" s="531">
        <v>5</v>
      </c>
      <c r="F230" s="531">
        <v>6</v>
      </c>
      <c r="G230" s="531">
        <v>7</v>
      </c>
      <c r="H230" s="532">
        <v>8</v>
      </c>
      <c r="I230" s="463"/>
      <c r="J230" s="463"/>
      <c r="K230" s="658"/>
      <c r="L230" s="461"/>
      <c r="M230" s="461"/>
      <c r="N230" s="461"/>
      <c r="O230" s="461"/>
      <c r="P230" s="461"/>
      <c r="Q230" s="461"/>
      <c r="R230" s="461"/>
      <c r="S230" s="461"/>
      <c r="T230" s="461"/>
      <c r="U230" s="461"/>
      <c r="V230" s="461"/>
      <c r="W230" s="461"/>
      <c r="X230" s="461"/>
      <c r="Y230" s="461"/>
    </row>
    <row r="231" spans="1:25" ht="20.25" x14ac:dyDescent="0.4">
      <c r="A231" s="461"/>
      <c r="B231" s="533">
        <v>10.31</v>
      </c>
      <c r="C231" s="541">
        <v>14.59</v>
      </c>
      <c r="D231" s="462">
        <v>72.959999999999994</v>
      </c>
      <c r="E231" s="462">
        <v>39.57</v>
      </c>
      <c r="F231" s="462">
        <v>26.6</v>
      </c>
      <c r="G231" s="462">
        <v>16.77</v>
      </c>
      <c r="H231" s="534">
        <v>164.6</v>
      </c>
      <c r="I231" s="463">
        <f>SUM(B231:H231)</f>
        <v>345.4</v>
      </c>
      <c r="J231" s="463">
        <f>125-I231</f>
        <v>-220.39999999999998</v>
      </c>
      <c r="K231" s="658"/>
      <c r="L231" s="461"/>
      <c r="M231" s="461"/>
      <c r="N231" s="461"/>
      <c r="O231" s="461"/>
      <c r="P231" s="461"/>
      <c r="Q231" s="461"/>
      <c r="R231" s="461"/>
      <c r="S231" s="461"/>
      <c r="T231" s="461"/>
      <c r="U231" s="461"/>
      <c r="V231" s="461"/>
      <c r="W231" s="461"/>
      <c r="X231" s="461"/>
      <c r="Y231" s="461"/>
    </row>
    <row r="232" spans="1:25" ht="20.25" x14ac:dyDescent="0.4">
      <c r="A232" s="461"/>
      <c r="B232" s="530">
        <v>9</v>
      </c>
      <c r="C232" s="531">
        <v>10</v>
      </c>
      <c r="D232" s="531">
        <v>11</v>
      </c>
      <c r="E232" s="531">
        <v>12</v>
      </c>
      <c r="F232" s="531">
        <v>13</v>
      </c>
      <c r="G232" s="531">
        <v>14</v>
      </c>
      <c r="H232" s="532">
        <v>15</v>
      </c>
      <c r="I232" s="463"/>
      <c r="J232" s="463"/>
      <c r="K232" s="658"/>
      <c r="L232" s="461"/>
      <c r="M232" s="461"/>
      <c r="N232" s="461"/>
      <c r="O232" s="461"/>
      <c r="P232" s="461"/>
      <c r="Q232" s="461"/>
      <c r="R232" s="461"/>
      <c r="S232" s="461"/>
      <c r="T232" s="461"/>
      <c r="U232" s="461"/>
      <c r="V232" s="461"/>
      <c r="W232" s="461"/>
      <c r="X232" s="461"/>
      <c r="Y232" s="461"/>
    </row>
    <row r="233" spans="1:25" ht="20.25" x14ac:dyDescent="0.4">
      <c r="A233" s="461"/>
      <c r="B233" s="533">
        <v>29.27</v>
      </c>
      <c r="C233" s="462">
        <v>7.6</v>
      </c>
      <c r="D233" s="462">
        <v>35.74</v>
      </c>
      <c r="E233" s="462">
        <v>25.48</v>
      </c>
      <c r="F233" s="462">
        <v>51.04</v>
      </c>
      <c r="G233" s="462">
        <v>43.93</v>
      </c>
      <c r="H233" s="534">
        <v>18.98</v>
      </c>
      <c r="I233" s="463">
        <f>SUM(B233:H233)</f>
        <v>212.04</v>
      </c>
      <c r="J233" s="463">
        <f>125-I233</f>
        <v>-87.039999999999992</v>
      </c>
      <c r="K233" s="658"/>
      <c r="L233" s="461"/>
      <c r="M233" s="461"/>
      <c r="N233" s="461"/>
      <c r="O233" s="461"/>
      <c r="P233" s="461"/>
      <c r="Q233" s="461"/>
      <c r="R233" s="461"/>
      <c r="S233" s="461"/>
      <c r="T233" s="461"/>
      <c r="U233" s="461"/>
      <c r="V233" s="461"/>
      <c r="W233" s="461"/>
      <c r="X233" s="461"/>
      <c r="Y233" s="461"/>
    </row>
    <row r="234" spans="1:25" ht="20.25" x14ac:dyDescent="0.4">
      <c r="A234" s="461"/>
      <c r="B234" s="530">
        <v>16</v>
      </c>
      <c r="C234" s="531">
        <v>17</v>
      </c>
      <c r="D234" s="531">
        <v>18</v>
      </c>
      <c r="E234" s="531">
        <v>19</v>
      </c>
      <c r="F234" s="531">
        <v>20</v>
      </c>
      <c r="G234" s="531">
        <v>21</v>
      </c>
      <c r="H234" s="532">
        <v>22</v>
      </c>
      <c r="I234" s="463"/>
      <c r="J234" s="463"/>
      <c r="K234" s="658"/>
      <c r="L234" s="461"/>
      <c r="M234" s="461"/>
      <c r="N234" s="461"/>
      <c r="O234" s="461"/>
      <c r="P234" s="461"/>
      <c r="Q234" s="461"/>
      <c r="R234" s="461"/>
      <c r="S234" s="461"/>
      <c r="T234" s="461"/>
      <c r="U234" s="461"/>
      <c r="V234" s="461"/>
      <c r="W234" s="461"/>
      <c r="X234" s="461"/>
      <c r="Y234" s="461"/>
    </row>
    <row r="235" spans="1:25" ht="20.25" x14ac:dyDescent="0.4">
      <c r="A235" s="461"/>
      <c r="B235" s="533">
        <v>33.89</v>
      </c>
      <c r="C235" s="462">
        <v>49.07</v>
      </c>
      <c r="D235" s="462">
        <v>284.87</v>
      </c>
      <c r="E235" s="462">
        <v>57.33</v>
      </c>
      <c r="F235" s="462">
        <v>220.1</v>
      </c>
      <c r="G235" s="462">
        <v>36.61</v>
      </c>
      <c r="H235" s="534">
        <v>54.91</v>
      </c>
      <c r="I235" s="463">
        <f>SUM(B235:H235)</f>
        <v>736.78</v>
      </c>
      <c r="J235" s="463">
        <f>125-I235</f>
        <v>-611.78</v>
      </c>
      <c r="K235" s="658"/>
      <c r="L235" s="461"/>
      <c r="M235" s="461"/>
      <c r="N235" s="461"/>
      <c r="O235" s="461"/>
      <c r="P235" s="461"/>
      <c r="Q235" s="461"/>
      <c r="R235" s="461"/>
      <c r="S235" s="461"/>
      <c r="T235" s="461"/>
      <c r="U235" s="461"/>
      <c r="V235" s="461"/>
      <c r="W235" s="461"/>
      <c r="X235" s="461"/>
      <c r="Y235" s="461"/>
    </row>
    <row r="236" spans="1:25" ht="20.25" x14ac:dyDescent="0.4">
      <c r="A236" s="461"/>
      <c r="B236" s="530">
        <v>23</v>
      </c>
      <c r="C236" s="531">
        <v>24</v>
      </c>
      <c r="D236" s="531">
        <v>25</v>
      </c>
      <c r="E236" s="531">
        <v>26</v>
      </c>
      <c r="F236" s="531">
        <v>27</v>
      </c>
      <c r="G236" s="531">
        <v>28</v>
      </c>
      <c r="H236" s="532">
        <v>29</v>
      </c>
      <c r="I236" s="463"/>
      <c r="J236" s="463"/>
      <c r="K236" s="658"/>
      <c r="L236" s="461"/>
      <c r="M236" s="461"/>
      <c r="N236" s="461"/>
      <c r="O236" s="461"/>
      <c r="P236" s="461"/>
      <c r="Q236" s="461"/>
      <c r="R236" s="461"/>
      <c r="S236" s="461"/>
      <c r="T236" s="461"/>
      <c r="U236" s="461"/>
      <c r="V236" s="461"/>
      <c r="W236" s="461"/>
      <c r="X236" s="461"/>
      <c r="Y236" s="461"/>
    </row>
    <row r="237" spans="1:25" ht="20.25" x14ac:dyDescent="0.4">
      <c r="A237" s="461"/>
      <c r="B237" s="533">
        <v>26.2</v>
      </c>
      <c r="C237" s="462">
        <v>34.29</v>
      </c>
      <c r="D237" s="462">
        <v>5.6</v>
      </c>
      <c r="E237" s="462">
        <v>36.049999999999997</v>
      </c>
      <c r="F237" s="462">
        <v>32.56</v>
      </c>
      <c r="G237" s="462">
        <v>11.2</v>
      </c>
      <c r="H237" s="534">
        <v>25.28</v>
      </c>
      <c r="I237" s="463">
        <f>SUM(B237:H237)</f>
        <v>171.17999999999998</v>
      </c>
      <c r="J237" s="463">
        <f>125-I237</f>
        <v>-46.179999999999978</v>
      </c>
      <c r="K237" s="658"/>
      <c r="L237" s="461"/>
      <c r="M237" s="461"/>
      <c r="N237" s="461"/>
      <c r="O237" s="461"/>
      <c r="P237" s="461"/>
      <c r="Q237" s="461"/>
      <c r="R237" s="461"/>
      <c r="S237" s="461"/>
      <c r="T237" s="461"/>
      <c r="U237" s="461"/>
      <c r="V237" s="461"/>
      <c r="W237" s="461"/>
      <c r="X237" s="461"/>
      <c r="Y237" s="461"/>
    </row>
    <row r="238" spans="1:25" ht="20.25" x14ac:dyDescent="0.4">
      <c r="A238" s="461"/>
      <c r="B238" s="530">
        <v>30</v>
      </c>
      <c r="C238" s="523">
        <v>1</v>
      </c>
      <c r="D238" s="523">
        <v>2</v>
      </c>
      <c r="E238" s="523">
        <v>3</v>
      </c>
      <c r="F238" s="523">
        <v>4</v>
      </c>
      <c r="G238" s="523">
        <v>5</v>
      </c>
      <c r="H238" s="535">
        <v>6</v>
      </c>
      <c r="I238" s="463"/>
      <c r="J238" s="463"/>
      <c r="K238" s="658"/>
      <c r="L238" s="461"/>
      <c r="M238" s="461"/>
      <c r="N238" s="461"/>
      <c r="O238" s="461"/>
      <c r="P238" s="461"/>
      <c r="Q238" s="461"/>
      <c r="R238" s="461"/>
      <c r="S238" s="461"/>
      <c r="T238" s="461"/>
      <c r="U238" s="461"/>
      <c r="V238" s="461"/>
      <c r="W238" s="461"/>
      <c r="X238" s="461"/>
      <c r="Y238" s="461"/>
    </row>
    <row r="239" spans="1:25" ht="20.25" x14ac:dyDescent="0.4">
      <c r="A239" s="461"/>
      <c r="B239" s="536">
        <v>18.75</v>
      </c>
      <c r="C239" s="542">
        <v>8.75</v>
      </c>
      <c r="D239" s="542">
        <v>23.74</v>
      </c>
      <c r="E239" s="542">
        <v>43.65</v>
      </c>
      <c r="F239" s="542">
        <v>34.74</v>
      </c>
      <c r="G239" s="542">
        <v>190.21</v>
      </c>
      <c r="H239" s="543">
        <v>68.28</v>
      </c>
      <c r="I239" s="463">
        <f>SUM(B239:H239)</f>
        <v>388.12</v>
      </c>
      <c r="J239" s="463">
        <f>125-I239</f>
        <v>-263.12</v>
      </c>
      <c r="K239" s="659"/>
      <c r="L239" s="461"/>
      <c r="M239" s="461"/>
      <c r="N239" s="461"/>
      <c r="O239" s="461"/>
      <c r="P239" s="461"/>
      <c r="Q239" s="461"/>
      <c r="R239" s="461"/>
      <c r="S239" s="461"/>
      <c r="T239" s="461"/>
      <c r="U239" s="461"/>
      <c r="V239" s="461"/>
      <c r="W239" s="461"/>
      <c r="X239" s="461"/>
      <c r="Y239" s="461"/>
    </row>
    <row r="240" spans="1:25" ht="20.25" x14ac:dyDescent="0.4">
      <c r="A240" s="461"/>
      <c r="B240" s="461"/>
      <c r="C240" s="461"/>
      <c r="D240" s="461"/>
      <c r="E240" s="461"/>
      <c r="F240" s="461"/>
      <c r="G240" s="461"/>
      <c r="H240" s="461"/>
      <c r="I240" s="463"/>
      <c r="J240" s="463"/>
      <c r="K240" s="461"/>
      <c r="L240" s="461"/>
      <c r="M240" s="461"/>
      <c r="N240" s="461"/>
      <c r="O240" s="461"/>
      <c r="P240" s="461"/>
      <c r="Q240" s="461"/>
      <c r="R240" s="461"/>
      <c r="S240" s="461"/>
      <c r="T240" s="461"/>
      <c r="U240" s="461"/>
      <c r="V240" s="461"/>
      <c r="W240" s="461"/>
      <c r="X240" s="461"/>
      <c r="Y240" s="461"/>
    </row>
    <row r="241" spans="1:25" ht="20.25" x14ac:dyDescent="0.4">
      <c r="A241" s="461"/>
      <c r="B241" s="461"/>
      <c r="C241" s="461"/>
      <c r="D241" s="461"/>
      <c r="E241" s="461"/>
      <c r="F241" s="461"/>
      <c r="G241" s="461"/>
      <c r="H241" s="461"/>
      <c r="I241" s="463"/>
      <c r="J241" s="463"/>
      <c r="K241" s="461"/>
      <c r="L241" s="461"/>
      <c r="M241" s="461"/>
      <c r="N241" s="461"/>
      <c r="O241" s="461"/>
      <c r="P241" s="461"/>
      <c r="Q241" s="461"/>
      <c r="R241" s="461"/>
      <c r="S241" s="461"/>
      <c r="T241" s="461"/>
      <c r="U241" s="461"/>
      <c r="V241" s="461"/>
      <c r="W241" s="461"/>
      <c r="X241" s="461"/>
      <c r="Y241" s="461"/>
    </row>
    <row r="242" spans="1:25" ht="20.25" x14ac:dyDescent="0.4">
      <c r="A242" s="461"/>
      <c r="B242" s="461"/>
      <c r="C242" s="461"/>
      <c r="D242" s="461"/>
      <c r="E242" s="461"/>
      <c r="F242" s="461"/>
      <c r="G242" s="461"/>
      <c r="H242" s="461"/>
      <c r="I242" s="463"/>
      <c r="J242" s="463"/>
      <c r="K242" s="461"/>
      <c r="L242" s="461"/>
      <c r="M242" s="461"/>
      <c r="N242" s="461"/>
      <c r="O242" s="461"/>
      <c r="P242" s="461"/>
      <c r="Q242" s="461"/>
      <c r="R242" s="461"/>
      <c r="S242" s="461"/>
      <c r="T242" s="461"/>
      <c r="U242" s="461"/>
      <c r="V242" s="461"/>
      <c r="W242" s="461"/>
      <c r="X242" s="461"/>
      <c r="Y242" s="461"/>
    </row>
    <row r="243" spans="1:25" ht="20.25" x14ac:dyDescent="0.4">
      <c r="A243" s="461"/>
      <c r="B243" s="461"/>
      <c r="C243" s="461"/>
      <c r="D243" s="461"/>
      <c r="E243" s="461"/>
      <c r="F243" s="461"/>
      <c r="G243" s="461"/>
      <c r="H243" s="461"/>
      <c r="I243" s="463"/>
      <c r="J243" s="463"/>
      <c r="K243" s="461"/>
      <c r="L243" s="461"/>
      <c r="M243" s="461"/>
      <c r="N243" s="461"/>
      <c r="O243" s="461"/>
      <c r="P243" s="461"/>
      <c r="Q243" s="461"/>
      <c r="R243" s="461"/>
      <c r="S243" s="461"/>
      <c r="T243" s="461"/>
      <c r="U243" s="461"/>
      <c r="V243" s="461"/>
      <c r="W243" s="461"/>
      <c r="X243" s="461"/>
      <c r="Y243" s="461"/>
    </row>
    <row r="244" spans="1:25" ht="20.25" x14ac:dyDescent="0.4">
      <c r="A244" s="461"/>
      <c r="B244" s="461"/>
      <c r="C244" s="461"/>
      <c r="D244" s="461"/>
      <c r="E244" s="461"/>
      <c r="F244" s="461"/>
      <c r="G244" s="461"/>
      <c r="H244" s="461"/>
      <c r="I244" s="463"/>
      <c r="J244" s="463"/>
      <c r="K244" s="461"/>
      <c r="L244" s="461"/>
      <c r="M244" s="461"/>
      <c r="N244" s="461"/>
      <c r="O244" s="461"/>
      <c r="P244" s="461"/>
      <c r="Q244" s="461"/>
      <c r="R244" s="461"/>
      <c r="S244" s="461"/>
      <c r="T244" s="461"/>
      <c r="U244" s="461"/>
      <c r="V244" s="461"/>
      <c r="W244" s="461"/>
      <c r="X244" s="461"/>
      <c r="Y244" s="461"/>
    </row>
    <row r="245" spans="1:25" ht="20.25" x14ac:dyDescent="0.4">
      <c r="A245" s="461"/>
      <c r="B245" s="461"/>
      <c r="C245" s="461"/>
      <c r="D245" s="461"/>
      <c r="E245" s="461"/>
      <c r="F245" s="461"/>
      <c r="G245" s="461"/>
      <c r="H245" s="461"/>
      <c r="I245" s="463"/>
      <c r="J245" s="463"/>
      <c r="K245" s="461"/>
      <c r="L245" s="461"/>
      <c r="M245" s="461"/>
      <c r="N245" s="461"/>
      <c r="O245" s="461"/>
      <c r="P245" s="461"/>
      <c r="Q245" s="461"/>
      <c r="R245" s="461"/>
      <c r="S245" s="461"/>
      <c r="T245" s="461"/>
      <c r="U245" s="461"/>
      <c r="V245" s="461"/>
      <c r="W245" s="461"/>
      <c r="X245" s="461"/>
      <c r="Y245" s="461"/>
    </row>
    <row r="246" spans="1:25" ht="20.25" x14ac:dyDescent="0.4">
      <c r="A246" s="461"/>
      <c r="B246" s="461"/>
      <c r="C246" s="461"/>
      <c r="D246" s="461"/>
      <c r="E246" s="461"/>
      <c r="F246" s="461"/>
      <c r="G246" s="461"/>
      <c r="H246" s="461"/>
      <c r="I246" s="463"/>
      <c r="J246" s="463"/>
      <c r="K246" s="461"/>
      <c r="L246" s="461"/>
      <c r="M246" s="461"/>
      <c r="N246" s="461"/>
      <c r="O246" s="461"/>
      <c r="P246" s="461"/>
      <c r="Q246" s="461"/>
      <c r="R246" s="461"/>
      <c r="S246" s="461"/>
      <c r="T246" s="461"/>
      <c r="U246" s="461"/>
      <c r="V246" s="461"/>
      <c r="W246" s="461"/>
      <c r="X246" s="461"/>
      <c r="Y246" s="461"/>
    </row>
    <row r="247" spans="1:25" ht="20.25" x14ac:dyDescent="0.4">
      <c r="A247" s="461"/>
      <c r="B247" s="461"/>
      <c r="C247" s="461"/>
      <c r="D247" s="461"/>
      <c r="E247" s="461"/>
      <c r="F247" s="461"/>
      <c r="G247" s="461"/>
      <c r="H247" s="461"/>
      <c r="I247" s="463"/>
      <c r="J247" s="463"/>
      <c r="K247" s="461"/>
      <c r="L247" s="461"/>
      <c r="M247" s="461"/>
      <c r="N247" s="461"/>
      <c r="O247" s="461"/>
      <c r="P247" s="461"/>
      <c r="Q247" s="461"/>
      <c r="R247" s="461"/>
      <c r="S247" s="461"/>
      <c r="T247" s="461"/>
      <c r="U247" s="461"/>
      <c r="V247" s="461"/>
      <c r="W247" s="461"/>
      <c r="X247" s="461"/>
      <c r="Y247" s="461"/>
    </row>
    <row r="248" spans="1:25" ht="20.25" x14ac:dyDescent="0.4">
      <c r="A248" s="461"/>
      <c r="B248" s="461"/>
      <c r="C248" s="461"/>
      <c r="D248" s="461"/>
      <c r="E248" s="461"/>
      <c r="F248" s="461"/>
      <c r="G248" s="461"/>
      <c r="H248" s="461"/>
      <c r="I248" s="463"/>
      <c r="J248" s="463"/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1"/>
      <c r="X248" s="461"/>
      <c r="Y248" s="461"/>
    </row>
    <row r="249" spans="1:25" ht="20.25" x14ac:dyDescent="0.4">
      <c r="A249" s="461"/>
      <c r="B249" s="461"/>
      <c r="C249" s="461"/>
      <c r="D249" s="461"/>
      <c r="E249" s="461"/>
      <c r="F249" s="461"/>
      <c r="G249" s="461"/>
      <c r="H249" s="461"/>
      <c r="I249" s="463"/>
      <c r="J249" s="463"/>
      <c r="K249" s="461"/>
      <c r="L249" s="461"/>
      <c r="M249" s="461"/>
      <c r="N249" s="461"/>
      <c r="O249" s="461"/>
      <c r="P249" s="461"/>
      <c r="Q249" s="461"/>
      <c r="R249" s="461"/>
      <c r="S249" s="461"/>
      <c r="T249" s="461"/>
      <c r="U249" s="461"/>
      <c r="V249" s="461"/>
      <c r="W249" s="461"/>
      <c r="X249" s="461"/>
      <c r="Y249" s="461"/>
    </row>
    <row r="250" spans="1:25" ht="20.25" x14ac:dyDescent="0.4">
      <c r="A250" s="461"/>
      <c r="B250" s="461"/>
      <c r="C250" s="461"/>
      <c r="D250" s="461"/>
      <c r="E250" s="461"/>
      <c r="F250" s="461"/>
      <c r="G250" s="461"/>
      <c r="H250" s="461"/>
      <c r="I250" s="463"/>
      <c r="J250" s="463"/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</row>
    <row r="251" spans="1:25" ht="20.25" x14ac:dyDescent="0.4">
      <c r="A251" s="461"/>
      <c r="B251" s="461"/>
      <c r="C251" s="461"/>
      <c r="D251" s="461"/>
      <c r="E251" s="461"/>
      <c r="F251" s="461"/>
      <c r="G251" s="461"/>
      <c r="H251" s="461"/>
      <c r="I251" s="463"/>
      <c r="J251" s="463"/>
      <c r="K251" s="461"/>
      <c r="L251" s="461"/>
      <c r="M251" s="461"/>
      <c r="N251" s="461"/>
      <c r="O251" s="461"/>
      <c r="P251" s="461"/>
      <c r="Q251" s="461"/>
      <c r="R251" s="461"/>
      <c r="S251" s="461"/>
      <c r="T251" s="461"/>
      <c r="U251" s="461"/>
      <c r="V251" s="461"/>
      <c r="W251" s="461"/>
      <c r="X251" s="461"/>
      <c r="Y251" s="461"/>
    </row>
    <row r="252" spans="1:25" ht="20.25" x14ac:dyDescent="0.4">
      <c r="A252" s="461"/>
      <c r="B252" s="461"/>
      <c r="C252" s="461"/>
      <c r="D252" s="461"/>
      <c r="E252" s="461"/>
      <c r="F252" s="461"/>
      <c r="G252" s="461"/>
      <c r="H252" s="461"/>
      <c r="I252" s="463"/>
      <c r="J252" s="463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1"/>
      <c r="X252" s="461"/>
      <c r="Y252" s="461"/>
    </row>
    <row r="253" spans="1:25" ht="20.25" x14ac:dyDescent="0.4">
      <c r="A253" s="461"/>
      <c r="B253" s="461"/>
      <c r="C253" s="461"/>
      <c r="D253" s="461"/>
      <c r="E253" s="461"/>
      <c r="F253" s="461"/>
      <c r="G253" s="461"/>
      <c r="H253" s="461"/>
      <c r="I253" s="463"/>
      <c r="J253" s="463"/>
      <c r="K253" s="461"/>
      <c r="L253" s="461"/>
      <c r="M253" s="461"/>
      <c r="N253" s="461"/>
      <c r="O253" s="461"/>
      <c r="P253" s="461"/>
      <c r="Q253" s="461"/>
      <c r="R253" s="461"/>
      <c r="S253" s="461"/>
      <c r="T253" s="461"/>
      <c r="U253" s="461"/>
      <c r="V253" s="461"/>
      <c r="W253" s="461"/>
      <c r="X253" s="461"/>
      <c r="Y253" s="461"/>
    </row>
    <row r="254" spans="1:25" ht="20.25" x14ac:dyDescent="0.4">
      <c r="A254" s="461"/>
      <c r="B254" s="461"/>
      <c r="C254" s="461"/>
      <c r="D254" s="461"/>
      <c r="E254" s="461"/>
      <c r="F254" s="461"/>
      <c r="G254" s="461"/>
      <c r="H254" s="461"/>
      <c r="I254" s="463"/>
      <c r="J254" s="463"/>
      <c r="K254" s="461"/>
      <c r="L254" s="461"/>
      <c r="M254" s="461"/>
      <c r="N254" s="461"/>
      <c r="O254" s="461"/>
      <c r="P254" s="461"/>
      <c r="Q254" s="461"/>
      <c r="R254" s="461"/>
      <c r="S254" s="461"/>
      <c r="T254" s="461"/>
      <c r="U254" s="461"/>
      <c r="V254" s="461"/>
      <c r="W254" s="461"/>
      <c r="X254" s="461"/>
      <c r="Y254" s="461"/>
    </row>
    <row r="255" spans="1:25" ht="20.25" x14ac:dyDescent="0.4">
      <c r="A255" s="461"/>
      <c r="B255" s="461"/>
      <c r="C255" s="461"/>
      <c r="D255" s="461"/>
      <c r="E255" s="461"/>
      <c r="F255" s="461"/>
      <c r="G255" s="461"/>
      <c r="H255" s="461"/>
      <c r="I255" s="463"/>
      <c r="J255" s="463"/>
      <c r="K255" s="461"/>
      <c r="L255" s="461"/>
      <c r="M255" s="461"/>
      <c r="N255" s="461"/>
      <c r="O255" s="461"/>
      <c r="P255" s="461"/>
      <c r="Q255" s="461"/>
      <c r="R255" s="461"/>
      <c r="S255" s="461"/>
      <c r="T255" s="461"/>
      <c r="U255" s="461"/>
      <c r="V255" s="461"/>
      <c r="W255" s="461"/>
      <c r="X255" s="461"/>
      <c r="Y255" s="461"/>
    </row>
    <row r="256" spans="1:25" ht="20.25" x14ac:dyDescent="0.4">
      <c r="A256" s="461"/>
      <c r="B256" s="461"/>
      <c r="C256" s="461"/>
      <c r="D256" s="461"/>
      <c r="E256" s="461"/>
      <c r="F256" s="461"/>
      <c r="G256" s="461"/>
      <c r="H256" s="461"/>
      <c r="I256" s="463"/>
      <c r="J256" s="463"/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1"/>
      <c r="X256" s="461"/>
      <c r="Y256" s="461"/>
    </row>
    <row r="257" spans="1:25" ht="20.25" x14ac:dyDescent="0.4">
      <c r="A257" s="461"/>
      <c r="B257" s="461"/>
      <c r="C257" s="461"/>
      <c r="D257" s="461"/>
      <c r="E257" s="461"/>
      <c r="F257" s="461"/>
      <c r="G257" s="461"/>
      <c r="H257" s="461"/>
      <c r="I257" s="463"/>
      <c r="J257" s="463"/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1"/>
      <c r="X257" s="461"/>
      <c r="Y257" s="461"/>
    </row>
    <row r="258" spans="1:25" ht="20.25" x14ac:dyDescent="0.4">
      <c r="A258" s="461"/>
      <c r="B258" s="461"/>
      <c r="C258" s="461"/>
      <c r="D258" s="461"/>
      <c r="E258" s="461"/>
      <c r="F258" s="461"/>
      <c r="G258" s="461"/>
      <c r="H258" s="461"/>
      <c r="I258" s="463"/>
      <c r="J258" s="463"/>
      <c r="K258" s="461"/>
      <c r="L258" s="461"/>
      <c r="M258" s="461"/>
      <c r="N258" s="461"/>
      <c r="O258" s="461"/>
      <c r="P258" s="461"/>
      <c r="Q258" s="461"/>
      <c r="R258" s="461"/>
      <c r="S258" s="461"/>
      <c r="T258" s="461"/>
      <c r="U258" s="461"/>
      <c r="V258" s="461"/>
      <c r="W258" s="461"/>
      <c r="X258" s="461"/>
      <c r="Y258" s="461"/>
    </row>
    <row r="259" spans="1:25" ht="20.25" x14ac:dyDescent="0.4">
      <c r="A259" s="461"/>
      <c r="B259" s="461"/>
      <c r="C259" s="461"/>
      <c r="D259" s="461"/>
      <c r="E259" s="461"/>
      <c r="F259" s="461"/>
      <c r="G259" s="461"/>
      <c r="H259" s="461"/>
      <c r="I259" s="463"/>
      <c r="J259" s="463"/>
      <c r="K259" s="461"/>
      <c r="L259" s="461"/>
      <c r="M259" s="461"/>
      <c r="N259" s="461"/>
      <c r="O259" s="461"/>
      <c r="P259" s="461"/>
      <c r="Q259" s="461"/>
      <c r="R259" s="461"/>
      <c r="S259" s="461"/>
      <c r="T259" s="461"/>
      <c r="U259" s="461"/>
      <c r="V259" s="461"/>
      <c r="W259" s="461"/>
      <c r="X259" s="461"/>
      <c r="Y259" s="461"/>
    </row>
    <row r="260" spans="1:25" ht="20.25" x14ac:dyDescent="0.4">
      <c r="A260" s="461"/>
      <c r="B260" s="461"/>
      <c r="C260" s="461"/>
      <c r="D260" s="461"/>
      <c r="E260" s="461"/>
      <c r="F260" s="461"/>
      <c r="G260" s="461"/>
      <c r="H260" s="461"/>
      <c r="I260" s="463"/>
      <c r="J260" s="463"/>
      <c r="K260" s="461"/>
      <c r="L260" s="461"/>
      <c r="M260" s="461"/>
      <c r="N260" s="461"/>
      <c r="O260" s="461"/>
      <c r="P260" s="461"/>
      <c r="Q260" s="461"/>
      <c r="R260" s="461"/>
      <c r="S260" s="461"/>
      <c r="T260" s="461"/>
      <c r="U260" s="461"/>
      <c r="V260" s="461"/>
      <c r="W260" s="461"/>
      <c r="X260" s="461"/>
      <c r="Y260" s="461"/>
    </row>
    <row r="261" spans="1:25" ht="20.25" x14ac:dyDescent="0.4">
      <c r="A261" s="461"/>
      <c r="B261" s="461"/>
      <c r="C261" s="461"/>
      <c r="D261" s="461"/>
      <c r="E261" s="461"/>
      <c r="F261" s="461"/>
      <c r="G261" s="461"/>
      <c r="H261" s="461"/>
      <c r="I261" s="463"/>
      <c r="J261" s="463"/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1"/>
      <c r="X261" s="461"/>
      <c r="Y261" s="461"/>
    </row>
    <row r="262" spans="1:25" ht="20.25" x14ac:dyDescent="0.4">
      <c r="A262" s="461"/>
      <c r="B262" s="461"/>
      <c r="C262" s="461"/>
      <c r="D262" s="461"/>
      <c r="E262" s="461"/>
      <c r="F262" s="461"/>
      <c r="G262" s="461"/>
      <c r="H262" s="461"/>
      <c r="I262" s="463"/>
      <c r="J262" s="463"/>
      <c r="K262" s="461"/>
      <c r="L262" s="461"/>
      <c r="M262" s="461"/>
      <c r="N262" s="461"/>
      <c r="O262" s="461"/>
      <c r="P262" s="461"/>
      <c r="Q262" s="461"/>
      <c r="R262" s="461"/>
      <c r="S262" s="461"/>
      <c r="T262" s="461"/>
      <c r="U262" s="461"/>
      <c r="V262" s="461"/>
      <c r="W262" s="461"/>
      <c r="X262" s="461"/>
      <c r="Y262" s="461"/>
    </row>
    <row r="263" spans="1:25" ht="20.25" x14ac:dyDescent="0.4">
      <c r="A263" s="461"/>
      <c r="B263" s="461"/>
      <c r="C263" s="461"/>
      <c r="D263" s="461"/>
      <c r="E263" s="461"/>
      <c r="F263" s="461"/>
      <c r="G263" s="461"/>
      <c r="H263" s="461"/>
      <c r="I263" s="463"/>
      <c r="J263" s="463"/>
      <c r="K263" s="461"/>
      <c r="L263" s="461"/>
      <c r="M263" s="461"/>
      <c r="N263" s="461"/>
      <c r="O263" s="461"/>
      <c r="P263" s="461"/>
      <c r="Q263" s="461"/>
      <c r="R263" s="461"/>
      <c r="S263" s="461"/>
      <c r="T263" s="461"/>
      <c r="U263" s="461"/>
      <c r="V263" s="461"/>
      <c r="W263" s="461"/>
      <c r="X263" s="461"/>
      <c r="Y263" s="461"/>
    </row>
    <row r="264" spans="1:25" ht="20.25" x14ac:dyDescent="0.4">
      <c r="A264" s="461"/>
      <c r="B264" s="461"/>
      <c r="C264" s="461"/>
      <c r="D264" s="461"/>
      <c r="E264" s="461"/>
      <c r="F264" s="461"/>
      <c r="G264" s="461"/>
      <c r="H264" s="461"/>
      <c r="I264" s="463"/>
      <c r="J264" s="463"/>
      <c r="K264" s="461"/>
      <c r="L264" s="461"/>
      <c r="M264" s="461"/>
      <c r="N264" s="461"/>
      <c r="O264" s="461"/>
      <c r="P264" s="461"/>
      <c r="Q264" s="461"/>
      <c r="R264" s="461"/>
      <c r="S264" s="461"/>
      <c r="T264" s="461"/>
      <c r="U264" s="461"/>
      <c r="V264" s="461"/>
      <c r="W264" s="461"/>
      <c r="X264" s="461"/>
      <c r="Y264" s="461"/>
    </row>
    <row r="265" spans="1:25" ht="20.25" x14ac:dyDescent="0.4">
      <c r="A265" s="461"/>
      <c r="B265" s="461"/>
      <c r="C265" s="461"/>
      <c r="D265" s="461"/>
      <c r="E265" s="461"/>
      <c r="F265" s="461"/>
      <c r="G265" s="461"/>
      <c r="H265" s="461"/>
      <c r="I265" s="463"/>
      <c r="J265" s="463"/>
      <c r="K265" s="461"/>
      <c r="L265" s="461"/>
      <c r="M265" s="461"/>
      <c r="N265" s="461"/>
      <c r="O265" s="461"/>
      <c r="P265" s="461"/>
      <c r="Q265" s="461"/>
      <c r="R265" s="461"/>
      <c r="S265" s="461"/>
      <c r="T265" s="461"/>
      <c r="U265" s="461"/>
      <c r="V265" s="461"/>
      <c r="W265" s="461"/>
      <c r="X265" s="461"/>
      <c r="Y265" s="461"/>
    </row>
    <row r="266" spans="1:25" ht="20.25" x14ac:dyDescent="0.4">
      <c r="A266" s="461"/>
      <c r="B266" s="461"/>
      <c r="C266" s="461"/>
      <c r="D266" s="461"/>
      <c r="E266" s="461"/>
      <c r="F266" s="461"/>
      <c r="G266" s="461"/>
      <c r="H266" s="461"/>
      <c r="I266" s="463"/>
      <c r="J266" s="463"/>
      <c r="K266" s="461"/>
      <c r="L266" s="461"/>
      <c r="M266" s="461"/>
      <c r="N266" s="461"/>
      <c r="O266" s="461"/>
      <c r="P266" s="461"/>
      <c r="Q266" s="461"/>
      <c r="R266" s="461"/>
      <c r="S266" s="461"/>
      <c r="T266" s="461"/>
      <c r="U266" s="461"/>
      <c r="V266" s="461"/>
      <c r="W266" s="461"/>
      <c r="X266" s="461"/>
      <c r="Y266" s="461"/>
    </row>
    <row r="267" spans="1:25" ht="20.25" x14ac:dyDescent="0.4">
      <c r="A267" s="461"/>
      <c r="B267" s="461"/>
      <c r="C267" s="461"/>
      <c r="D267" s="461"/>
      <c r="E267" s="461"/>
      <c r="F267" s="461"/>
      <c r="G267" s="461"/>
      <c r="H267" s="461"/>
      <c r="I267" s="463"/>
      <c r="J267" s="463"/>
      <c r="K267" s="461"/>
      <c r="L267" s="461"/>
      <c r="M267" s="461"/>
      <c r="N267" s="461"/>
      <c r="O267" s="461"/>
      <c r="P267" s="461"/>
      <c r="Q267" s="461"/>
      <c r="R267" s="461"/>
      <c r="S267" s="461"/>
      <c r="T267" s="461"/>
      <c r="U267" s="461"/>
      <c r="V267" s="461"/>
      <c r="W267" s="461"/>
      <c r="X267" s="461"/>
      <c r="Y267" s="461"/>
    </row>
    <row r="268" spans="1:25" ht="20.25" x14ac:dyDescent="0.4">
      <c r="A268" s="461"/>
      <c r="B268" s="461"/>
      <c r="C268" s="461"/>
      <c r="D268" s="461"/>
      <c r="E268" s="461"/>
      <c r="F268" s="461"/>
      <c r="G268" s="461"/>
      <c r="H268" s="461"/>
      <c r="I268" s="463"/>
      <c r="J268" s="463"/>
      <c r="K268" s="461"/>
      <c r="L268" s="461"/>
      <c r="M268" s="461"/>
      <c r="N268" s="461"/>
      <c r="O268" s="461"/>
      <c r="P268" s="461"/>
      <c r="Q268" s="461"/>
      <c r="R268" s="461"/>
      <c r="S268" s="461"/>
      <c r="T268" s="461"/>
      <c r="U268" s="461"/>
      <c r="V268" s="461"/>
      <c r="W268" s="461"/>
      <c r="X268" s="461"/>
      <c r="Y268" s="461"/>
    </row>
    <row r="269" spans="1:25" ht="20.25" x14ac:dyDescent="0.4">
      <c r="A269" s="461"/>
      <c r="B269" s="461"/>
      <c r="C269" s="461"/>
      <c r="D269" s="461"/>
      <c r="E269" s="461"/>
      <c r="F269" s="461"/>
      <c r="G269" s="461"/>
      <c r="H269" s="461"/>
      <c r="I269" s="463"/>
      <c r="J269" s="463"/>
      <c r="K269" s="461"/>
      <c r="L269" s="461"/>
      <c r="M269" s="461"/>
      <c r="N269" s="461"/>
      <c r="O269" s="461"/>
      <c r="P269" s="461"/>
      <c r="Q269" s="461"/>
      <c r="R269" s="461"/>
      <c r="S269" s="461"/>
      <c r="T269" s="461"/>
      <c r="U269" s="461"/>
      <c r="V269" s="461"/>
      <c r="W269" s="461"/>
      <c r="X269" s="461"/>
      <c r="Y269" s="461"/>
    </row>
    <row r="270" spans="1:25" ht="20.25" x14ac:dyDescent="0.4">
      <c r="A270" s="461"/>
      <c r="B270" s="461"/>
      <c r="C270" s="461"/>
      <c r="D270" s="461"/>
      <c r="E270" s="461"/>
      <c r="F270" s="461"/>
      <c r="G270" s="461"/>
      <c r="H270" s="461"/>
      <c r="I270" s="463"/>
      <c r="J270" s="463"/>
      <c r="K270" s="461"/>
      <c r="L270" s="461"/>
      <c r="M270" s="461"/>
      <c r="N270" s="461"/>
      <c r="O270" s="461"/>
      <c r="P270" s="461"/>
      <c r="Q270" s="461"/>
      <c r="R270" s="461"/>
      <c r="S270" s="461"/>
      <c r="T270" s="461"/>
      <c r="U270" s="461"/>
      <c r="V270" s="461"/>
      <c r="W270" s="461"/>
      <c r="X270" s="461"/>
      <c r="Y270" s="461"/>
    </row>
    <row r="271" spans="1:25" ht="20.25" x14ac:dyDescent="0.4">
      <c r="A271" s="461"/>
      <c r="B271" s="461"/>
      <c r="C271" s="461"/>
      <c r="D271" s="461"/>
      <c r="E271" s="461"/>
      <c r="F271" s="461"/>
      <c r="G271" s="461"/>
      <c r="H271" s="461"/>
      <c r="I271" s="463"/>
      <c r="J271" s="463"/>
      <c r="K271" s="461"/>
      <c r="L271" s="461"/>
      <c r="M271" s="461"/>
      <c r="N271" s="461"/>
      <c r="O271" s="461"/>
      <c r="P271" s="461"/>
      <c r="Q271" s="461"/>
      <c r="R271" s="461"/>
      <c r="S271" s="461"/>
      <c r="T271" s="461"/>
      <c r="U271" s="461"/>
      <c r="V271" s="461"/>
      <c r="W271" s="461"/>
      <c r="X271" s="461"/>
      <c r="Y271" s="461"/>
    </row>
    <row r="272" spans="1:25" ht="20.25" x14ac:dyDescent="0.4">
      <c r="A272" s="461"/>
      <c r="B272" s="461"/>
      <c r="C272" s="461"/>
      <c r="D272" s="461"/>
      <c r="E272" s="461"/>
      <c r="F272" s="461"/>
      <c r="G272" s="461"/>
      <c r="H272" s="461"/>
      <c r="I272" s="463"/>
      <c r="J272" s="463"/>
      <c r="K272" s="461"/>
      <c r="L272" s="461"/>
      <c r="M272" s="461"/>
      <c r="N272" s="461"/>
      <c r="O272" s="461"/>
      <c r="P272" s="461"/>
      <c r="Q272" s="461"/>
      <c r="R272" s="461"/>
      <c r="S272" s="461"/>
      <c r="T272" s="461"/>
      <c r="U272" s="461"/>
      <c r="V272" s="461"/>
      <c r="W272" s="461"/>
      <c r="X272" s="461"/>
      <c r="Y272" s="461"/>
    </row>
    <row r="273" spans="1:25" ht="20.25" x14ac:dyDescent="0.4">
      <c r="A273" s="461"/>
      <c r="B273" s="461"/>
      <c r="C273" s="461"/>
      <c r="D273" s="461"/>
      <c r="E273" s="461"/>
      <c r="F273" s="461"/>
      <c r="G273" s="461"/>
      <c r="H273" s="461"/>
      <c r="I273" s="463"/>
      <c r="J273" s="463"/>
      <c r="K273" s="461"/>
      <c r="L273" s="461"/>
      <c r="M273" s="461"/>
      <c r="N273" s="461"/>
      <c r="O273" s="461"/>
      <c r="P273" s="461"/>
      <c r="Q273" s="461"/>
      <c r="R273" s="461"/>
      <c r="S273" s="461"/>
      <c r="T273" s="461"/>
      <c r="U273" s="461"/>
      <c r="V273" s="461"/>
      <c r="W273" s="461"/>
      <c r="X273" s="461"/>
      <c r="Y273" s="461"/>
    </row>
    <row r="274" spans="1:25" ht="20.25" x14ac:dyDescent="0.4">
      <c r="A274" s="461"/>
      <c r="B274" s="461"/>
      <c r="C274" s="461"/>
      <c r="D274" s="461"/>
      <c r="E274" s="461"/>
      <c r="F274" s="461"/>
      <c r="G274" s="461"/>
      <c r="H274" s="461"/>
      <c r="I274" s="463"/>
      <c r="J274" s="463"/>
      <c r="K274" s="461"/>
      <c r="L274" s="461"/>
      <c r="M274" s="461"/>
      <c r="N274" s="461"/>
      <c r="O274" s="461"/>
      <c r="P274" s="461"/>
      <c r="Q274" s="461"/>
      <c r="R274" s="461"/>
      <c r="S274" s="461"/>
      <c r="T274" s="461"/>
      <c r="U274" s="461"/>
      <c r="V274" s="461"/>
      <c r="W274" s="461"/>
      <c r="X274" s="461"/>
      <c r="Y274" s="461"/>
    </row>
    <row r="275" spans="1:25" ht="20.25" x14ac:dyDescent="0.4">
      <c r="A275" s="461"/>
      <c r="B275" s="461"/>
      <c r="C275" s="461"/>
      <c r="D275" s="461"/>
      <c r="E275" s="461"/>
      <c r="F275" s="461"/>
      <c r="G275" s="461"/>
      <c r="H275" s="461"/>
      <c r="I275" s="463"/>
      <c r="J275" s="463"/>
      <c r="K275" s="461"/>
      <c r="L275" s="461"/>
      <c r="M275" s="461"/>
      <c r="N275" s="461"/>
      <c r="O275" s="461"/>
      <c r="P275" s="461"/>
      <c r="Q275" s="461"/>
      <c r="R275" s="461"/>
      <c r="S275" s="461"/>
      <c r="T275" s="461"/>
      <c r="U275" s="461"/>
      <c r="V275" s="461"/>
      <c r="W275" s="461"/>
      <c r="X275" s="461"/>
      <c r="Y275" s="461"/>
    </row>
    <row r="276" spans="1:25" ht="20.25" x14ac:dyDescent="0.4">
      <c r="A276" s="461"/>
      <c r="B276" s="461"/>
      <c r="C276" s="461"/>
      <c r="D276" s="461"/>
      <c r="E276" s="461"/>
      <c r="F276" s="461"/>
      <c r="G276" s="461"/>
      <c r="H276" s="461"/>
      <c r="I276" s="463"/>
      <c r="J276" s="463"/>
      <c r="K276" s="461"/>
      <c r="L276" s="461"/>
      <c r="M276" s="461"/>
      <c r="N276" s="461"/>
      <c r="O276" s="461"/>
      <c r="P276" s="461"/>
      <c r="Q276" s="461"/>
      <c r="R276" s="461"/>
      <c r="S276" s="461"/>
      <c r="T276" s="461"/>
      <c r="U276" s="461"/>
      <c r="V276" s="461"/>
      <c r="W276" s="461"/>
      <c r="X276" s="461"/>
      <c r="Y276" s="461"/>
    </row>
    <row r="277" spans="1:25" ht="20.25" x14ac:dyDescent="0.4">
      <c r="A277" s="461"/>
      <c r="B277" s="461"/>
      <c r="C277" s="461"/>
      <c r="D277" s="461"/>
      <c r="E277" s="461"/>
      <c r="F277" s="461"/>
      <c r="G277" s="461"/>
      <c r="H277" s="461"/>
      <c r="I277" s="463"/>
      <c r="J277" s="463"/>
      <c r="K277" s="461"/>
      <c r="L277" s="461"/>
      <c r="M277" s="461"/>
      <c r="N277" s="461"/>
      <c r="O277" s="461"/>
      <c r="P277" s="461"/>
      <c r="Q277" s="461"/>
      <c r="R277" s="461"/>
      <c r="S277" s="461"/>
      <c r="T277" s="461"/>
      <c r="U277" s="461"/>
      <c r="V277" s="461"/>
      <c r="W277" s="461"/>
      <c r="X277" s="461"/>
      <c r="Y277" s="461"/>
    </row>
    <row r="278" spans="1:25" ht="20.25" x14ac:dyDescent="0.4">
      <c r="A278" s="461"/>
      <c r="B278" s="461"/>
      <c r="C278" s="461"/>
      <c r="D278" s="461"/>
      <c r="E278" s="461"/>
      <c r="F278" s="461"/>
      <c r="G278" s="461"/>
      <c r="H278" s="461"/>
      <c r="I278" s="463"/>
      <c r="J278" s="463"/>
      <c r="K278" s="461"/>
      <c r="L278" s="461"/>
      <c r="M278" s="461"/>
      <c r="N278" s="461"/>
      <c r="O278" s="461"/>
      <c r="P278" s="461"/>
      <c r="Q278" s="461"/>
      <c r="R278" s="461"/>
      <c r="S278" s="461"/>
      <c r="T278" s="461"/>
      <c r="U278" s="461"/>
      <c r="V278" s="461"/>
      <c r="W278" s="461"/>
      <c r="X278" s="461"/>
      <c r="Y278" s="461"/>
    </row>
    <row r="279" spans="1:25" ht="20.25" x14ac:dyDescent="0.4">
      <c r="A279" s="461"/>
      <c r="B279" s="461"/>
      <c r="C279" s="461"/>
      <c r="D279" s="461"/>
      <c r="E279" s="461"/>
      <c r="F279" s="461"/>
      <c r="G279" s="461"/>
      <c r="H279" s="461"/>
      <c r="I279" s="463"/>
      <c r="J279" s="463"/>
      <c r="K279" s="461"/>
      <c r="L279" s="461"/>
      <c r="M279" s="461"/>
      <c r="N279" s="461"/>
      <c r="O279" s="461"/>
      <c r="P279" s="461"/>
      <c r="Q279" s="461"/>
      <c r="R279" s="461"/>
      <c r="S279" s="461"/>
      <c r="T279" s="461"/>
      <c r="U279" s="461"/>
      <c r="V279" s="461"/>
      <c r="W279" s="461"/>
      <c r="X279" s="461"/>
      <c r="Y279" s="461"/>
    </row>
    <row r="280" spans="1:25" ht="20.25" x14ac:dyDescent="0.4">
      <c r="A280" s="461"/>
      <c r="B280" s="461"/>
      <c r="C280" s="461"/>
      <c r="D280" s="461"/>
      <c r="E280" s="461"/>
      <c r="F280" s="461"/>
      <c r="G280" s="461"/>
      <c r="H280" s="461"/>
      <c r="I280" s="463"/>
      <c r="J280" s="463"/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</row>
    <row r="281" spans="1:25" ht="20.25" x14ac:dyDescent="0.4">
      <c r="A281" s="461"/>
      <c r="B281" s="461"/>
      <c r="C281" s="461"/>
      <c r="D281" s="461"/>
      <c r="E281" s="461"/>
      <c r="F281" s="461"/>
      <c r="G281" s="461"/>
      <c r="H281" s="461"/>
      <c r="I281" s="463"/>
      <c r="J281" s="463"/>
      <c r="K281" s="461"/>
      <c r="L281" s="461"/>
      <c r="M281" s="461"/>
      <c r="N281" s="461"/>
      <c r="O281" s="461"/>
      <c r="P281" s="461"/>
      <c r="Q281" s="461"/>
      <c r="R281" s="461"/>
      <c r="S281" s="461"/>
      <c r="T281" s="461"/>
      <c r="U281" s="461"/>
      <c r="V281" s="461"/>
      <c r="W281" s="461"/>
      <c r="X281" s="461"/>
      <c r="Y281" s="461"/>
    </row>
    <row r="282" spans="1:25" ht="20.25" x14ac:dyDescent="0.4">
      <c r="A282" s="461"/>
      <c r="B282" s="461"/>
      <c r="C282" s="461"/>
      <c r="D282" s="461"/>
      <c r="E282" s="461"/>
      <c r="F282" s="461"/>
      <c r="G282" s="461"/>
      <c r="H282" s="461"/>
      <c r="I282" s="463"/>
      <c r="J282" s="463"/>
      <c r="K282" s="461"/>
      <c r="L282" s="461"/>
      <c r="M282" s="461"/>
      <c r="N282" s="461"/>
      <c r="O282" s="461"/>
      <c r="P282" s="461"/>
      <c r="Q282" s="461"/>
      <c r="R282" s="461"/>
      <c r="S282" s="461"/>
      <c r="T282" s="461"/>
      <c r="U282" s="461"/>
      <c r="V282" s="461"/>
      <c r="W282" s="461"/>
      <c r="X282" s="461"/>
      <c r="Y282" s="461"/>
    </row>
    <row r="283" spans="1:25" ht="20.25" x14ac:dyDescent="0.4">
      <c r="A283" s="461"/>
      <c r="B283" s="461"/>
      <c r="C283" s="461"/>
      <c r="D283" s="461"/>
      <c r="E283" s="461"/>
      <c r="F283" s="461"/>
      <c r="G283" s="461"/>
      <c r="H283" s="461"/>
      <c r="I283" s="463"/>
      <c r="J283" s="463"/>
      <c r="K283" s="461"/>
      <c r="L283" s="461"/>
      <c r="M283" s="461"/>
      <c r="N283" s="461"/>
      <c r="O283" s="461"/>
      <c r="P283" s="461"/>
      <c r="Q283" s="461"/>
      <c r="R283" s="461"/>
      <c r="S283" s="461"/>
      <c r="T283" s="461"/>
      <c r="U283" s="461"/>
      <c r="V283" s="461"/>
      <c r="W283" s="461"/>
      <c r="X283" s="461"/>
      <c r="Y283" s="461"/>
    </row>
    <row r="284" spans="1:25" ht="20.25" x14ac:dyDescent="0.4">
      <c r="A284" s="461"/>
      <c r="B284" s="461"/>
      <c r="C284" s="461"/>
      <c r="D284" s="461"/>
      <c r="E284" s="461"/>
      <c r="F284" s="461"/>
      <c r="G284" s="461"/>
      <c r="H284" s="461"/>
      <c r="I284" s="463"/>
      <c r="J284" s="463"/>
      <c r="K284" s="461"/>
      <c r="L284" s="461"/>
      <c r="M284" s="461"/>
      <c r="N284" s="461"/>
      <c r="O284" s="461"/>
      <c r="P284" s="461"/>
      <c r="Q284" s="461"/>
      <c r="R284" s="461"/>
      <c r="S284" s="461"/>
      <c r="T284" s="461"/>
      <c r="U284" s="461"/>
      <c r="V284" s="461"/>
      <c r="W284" s="461"/>
      <c r="X284" s="461"/>
      <c r="Y284" s="461"/>
    </row>
    <row r="285" spans="1:25" ht="20.25" x14ac:dyDescent="0.4">
      <c r="A285" s="461"/>
      <c r="B285" s="461"/>
      <c r="C285" s="461"/>
      <c r="D285" s="461"/>
      <c r="E285" s="461"/>
      <c r="F285" s="461"/>
      <c r="G285" s="461"/>
      <c r="H285" s="461"/>
      <c r="I285" s="463"/>
      <c r="J285" s="463"/>
      <c r="K285" s="461"/>
      <c r="L285" s="461"/>
      <c r="M285" s="461"/>
      <c r="N285" s="461"/>
      <c r="O285" s="461"/>
      <c r="P285" s="461"/>
      <c r="Q285" s="461"/>
      <c r="R285" s="461"/>
      <c r="S285" s="461"/>
      <c r="T285" s="461"/>
      <c r="U285" s="461"/>
      <c r="V285" s="461"/>
      <c r="W285" s="461"/>
      <c r="X285" s="461"/>
      <c r="Y285" s="461"/>
    </row>
    <row r="286" spans="1:25" ht="20.25" x14ac:dyDescent="0.4">
      <c r="A286" s="461"/>
      <c r="B286" s="461"/>
      <c r="C286" s="461"/>
      <c r="D286" s="461"/>
      <c r="E286" s="461"/>
      <c r="F286" s="461"/>
      <c r="G286" s="461"/>
      <c r="H286" s="461"/>
      <c r="I286" s="463"/>
      <c r="J286" s="463"/>
      <c r="K286" s="461"/>
      <c r="L286" s="461"/>
      <c r="M286" s="461"/>
      <c r="N286" s="461"/>
      <c r="O286" s="461"/>
      <c r="P286" s="461"/>
      <c r="Q286" s="461"/>
      <c r="R286" s="461"/>
      <c r="S286" s="461"/>
      <c r="T286" s="461"/>
      <c r="U286" s="461"/>
      <c r="V286" s="461"/>
      <c r="W286" s="461"/>
      <c r="X286" s="461"/>
      <c r="Y286" s="461"/>
    </row>
    <row r="287" spans="1:25" ht="20.25" x14ac:dyDescent="0.4">
      <c r="A287" s="461"/>
      <c r="B287" s="461"/>
      <c r="C287" s="461"/>
      <c r="D287" s="461"/>
      <c r="E287" s="461"/>
      <c r="F287" s="461"/>
      <c r="G287" s="461"/>
      <c r="H287" s="461"/>
      <c r="I287" s="463"/>
      <c r="J287" s="463"/>
      <c r="K287" s="461"/>
      <c r="L287" s="461"/>
      <c r="M287" s="461"/>
      <c r="N287" s="461"/>
      <c r="O287" s="461"/>
      <c r="P287" s="461"/>
      <c r="Q287" s="461"/>
      <c r="R287" s="461"/>
      <c r="S287" s="461"/>
      <c r="T287" s="461"/>
      <c r="U287" s="461"/>
      <c r="V287" s="461"/>
      <c r="W287" s="461"/>
      <c r="X287" s="461"/>
      <c r="Y287" s="461"/>
    </row>
    <row r="288" spans="1:25" ht="20.25" x14ac:dyDescent="0.4">
      <c r="A288" s="461"/>
      <c r="B288" s="461"/>
      <c r="C288" s="461"/>
      <c r="D288" s="461"/>
      <c r="E288" s="461"/>
      <c r="F288" s="461"/>
      <c r="G288" s="461"/>
      <c r="H288" s="461"/>
      <c r="I288" s="463"/>
      <c r="J288" s="463"/>
      <c r="K288" s="461"/>
      <c r="L288" s="461"/>
      <c r="M288" s="461"/>
      <c r="N288" s="46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</row>
    <row r="289" spans="1:25" ht="20.25" x14ac:dyDescent="0.4">
      <c r="A289" s="461"/>
      <c r="B289" s="461"/>
      <c r="C289" s="461"/>
      <c r="D289" s="461"/>
      <c r="E289" s="461"/>
      <c r="F289" s="461"/>
      <c r="G289" s="461"/>
      <c r="H289" s="461"/>
      <c r="I289" s="463"/>
      <c r="J289" s="463"/>
      <c r="K289" s="461"/>
      <c r="L289" s="461"/>
      <c r="M289" s="461"/>
      <c r="N289" s="461"/>
      <c r="O289" s="461"/>
      <c r="P289" s="461"/>
      <c r="Q289" s="461"/>
      <c r="R289" s="461"/>
      <c r="S289" s="461"/>
      <c r="T289" s="461"/>
      <c r="U289" s="461"/>
      <c r="V289" s="461"/>
      <c r="W289" s="461"/>
      <c r="X289" s="461"/>
      <c r="Y289" s="461"/>
    </row>
    <row r="290" spans="1:25" ht="20.25" x14ac:dyDescent="0.4">
      <c r="A290" s="461"/>
      <c r="B290" s="461"/>
      <c r="C290" s="461"/>
      <c r="D290" s="461"/>
      <c r="E290" s="461"/>
      <c r="F290" s="461"/>
      <c r="G290" s="461"/>
      <c r="H290" s="461"/>
      <c r="I290" s="463"/>
      <c r="J290" s="463"/>
      <c r="K290" s="461"/>
      <c r="L290" s="461"/>
      <c r="M290" s="461"/>
      <c r="N290" s="461"/>
      <c r="O290" s="461"/>
      <c r="P290" s="461"/>
      <c r="Q290" s="461"/>
      <c r="R290" s="461"/>
      <c r="S290" s="461"/>
      <c r="T290" s="461"/>
      <c r="U290" s="461"/>
      <c r="V290" s="461"/>
      <c r="W290" s="461"/>
      <c r="X290" s="461"/>
      <c r="Y290" s="461"/>
    </row>
    <row r="291" spans="1:25" ht="20.25" x14ac:dyDescent="0.4">
      <c r="A291" s="461"/>
      <c r="B291" s="461"/>
      <c r="C291" s="461"/>
      <c r="D291" s="461"/>
      <c r="E291" s="461"/>
      <c r="F291" s="461"/>
      <c r="G291" s="461"/>
      <c r="H291" s="461"/>
      <c r="I291" s="463"/>
      <c r="J291" s="463"/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1"/>
      <c r="X291" s="461"/>
      <c r="Y291" s="461"/>
    </row>
    <row r="292" spans="1:25" ht="20.25" x14ac:dyDescent="0.4">
      <c r="A292" s="461"/>
      <c r="B292" s="461"/>
      <c r="C292" s="461"/>
      <c r="D292" s="461"/>
      <c r="E292" s="461"/>
      <c r="F292" s="461"/>
      <c r="G292" s="461"/>
      <c r="H292" s="461"/>
      <c r="I292" s="463"/>
      <c r="J292" s="463"/>
      <c r="K292" s="461"/>
      <c r="L292" s="461"/>
      <c r="M292" s="461"/>
      <c r="N292" s="46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</row>
    <row r="293" spans="1:25" ht="20.25" x14ac:dyDescent="0.4">
      <c r="A293" s="461"/>
      <c r="B293" s="461"/>
      <c r="C293" s="461"/>
      <c r="D293" s="461"/>
      <c r="E293" s="461"/>
      <c r="F293" s="461"/>
      <c r="G293" s="461"/>
      <c r="H293" s="461"/>
      <c r="I293" s="463"/>
      <c r="J293" s="463"/>
      <c r="K293" s="461"/>
      <c r="L293" s="461"/>
      <c r="M293" s="461"/>
      <c r="N293" s="461"/>
      <c r="O293" s="461"/>
      <c r="P293" s="461"/>
      <c r="Q293" s="461"/>
      <c r="R293" s="461"/>
      <c r="S293" s="461"/>
      <c r="T293" s="461"/>
      <c r="U293" s="461"/>
      <c r="V293" s="461"/>
      <c r="W293" s="461"/>
      <c r="X293" s="461"/>
      <c r="Y293" s="461"/>
    </row>
    <row r="294" spans="1:25" ht="20.25" x14ac:dyDescent="0.4">
      <c r="A294" s="461"/>
      <c r="B294" s="461"/>
      <c r="C294" s="461"/>
      <c r="D294" s="461"/>
      <c r="E294" s="461"/>
      <c r="F294" s="461"/>
      <c r="G294" s="461"/>
      <c r="H294" s="461"/>
      <c r="I294" s="463"/>
      <c r="J294" s="463"/>
      <c r="K294" s="461"/>
      <c r="L294" s="461"/>
      <c r="M294" s="461"/>
      <c r="N294" s="461"/>
      <c r="O294" s="461"/>
      <c r="P294" s="461"/>
      <c r="Q294" s="461"/>
      <c r="R294" s="461"/>
      <c r="S294" s="461"/>
      <c r="T294" s="461"/>
      <c r="U294" s="461"/>
      <c r="V294" s="461"/>
      <c r="W294" s="461"/>
      <c r="X294" s="461"/>
      <c r="Y294" s="461"/>
    </row>
    <row r="295" spans="1:25" ht="20.25" x14ac:dyDescent="0.4">
      <c r="A295" s="461"/>
      <c r="B295" s="461"/>
      <c r="C295" s="461"/>
      <c r="D295" s="461"/>
      <c r="E295" s="461"/>
      <c r="F295" s="461"/>
      <c r="G295" s="461"/>
      <c r="H295" s="461"/>
      <c r="I295" s="463"/>
      <c r="J295" s="463"/>
      <c r="K295" s="461"/>
      <c r="L295" s="461"/>
      <c r="M295" s="461"/>
      <c r="N295" s="461"/>
      <c r="O295" s="461"/>
      <c r="P295" s="461"/>
      <c r="Q295" s="461"/>
      <c r="R295" s="461"/>
      <c r="S295" s="461"/>
      <c r="T295" s="461"/>
      <c r="U295" s="461"/>
      <c r="V295" s="461"/>
      <c r="W295" s="461"/>
      <c r="X295" s="461"/>
      <c r="Y295" s="461"/>
    </row>
    <row r="296" spans="1:25" ht="20.25" x14ac:dyDescent="0.4">
      <c r="A296" s="461"/>
      <c r="B296" s="461"/>
      <c r="C296" s="461"/>
      <c r="D296" s="461"/>
      <c r="E296" s="461"/>
      <c r="F296" s="461"/>
      <c r="G296" s="461"/>
      <c r="H296" s="461"/>
      <c r="I296" s="463"/>
      <c r="J296" s="463"/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1"/>
      <c r="X296" s="461"/>
      <c r="Y296" s="461"/>
    </row>
    <row r="297" spans="1:25" ht="20.25" x14ac:dyDescent="0.4">
      <c r="A297" s="461"/>
      <c r="B297" s="461"/>
      <c r="C297" s="461"/>
      <c r="D297" s="461"/>
      <c r="E297" s="461"/>
      <c r="F297" s="461"/>
      <c r="G297" s="461"/>
      <c r="H297" s="461"/>
      <c r="I297" s="463"/>
      <c r="J297" s="463"/>
      <c r="K297" s="461"/>
      <c r="L297" s="461"/>
      <c r="M297" s="461"/>
      <c r="N297" s="461"/>
      <c r="O297" s="461"/>
      <c r="P297" s="461"/>
      <c r="Q297" s="461"/>
      <c r="R297" s="461"/>
      <c r="S297" s="461"/>
      <c r="T297" s="461"/>
      <c r="U297" s="461"/>
      <c r="V297" s="461"/>
      <c r="W297" s="461"/>
      <c r="X297" s="461"/>
      <c r="Y297" s="461"/>
    </row>
    <row r="298" spans="1:25" ht="20.25" x14ac:dyDescent="0.4">
      <c r="A298" s="461"/>
      <c r="B298" s="461"/>
      <c r="C298" s="461"/>
      <c r="D298" s="461"/>
      <c r="E298" s="461"/>
      <c r="F298" s="461"/>
      <c r="G298" s="461"/>
      <c r="H298" s="461"/>
      <c r="I298" s="463"/>
      <c r="J298" s="463"/>
      <c r="K298" s="461"/>
      <c r="L298" s="461"/>
      <c r="M298" s="461"/>
      <c r="N298" s="461"/>
      <c r="O298" s="461"/>
      <c r="P298" s="461"/>
      <c r="Q298" s="461"/>
      <c r="R298" s="461"/>
      <c r="S298" s="461"/>
      <c r="T298" s="461"/>
      <c r="U298" s="461"/>
      <c r="V298" s="461"/>
      <c r="W298" s="461"/>
      <c r="X298" s="461"/>
      <c r="Y298" s="461"/>
    </row>
    <row r="299" spans="1:25" ht="20.25" x14ac:dyDescent="0.4">
      <c r="A299" s="461"/>
      <c r="B299" s="461"/>
      <c r="C299" s="461"/>
      <c r="D299" s="461"/>
      <c r="E299" s="461"/>
      <c r="F299" s="461"/>
      <c r="G299" s="461"/>
      <c r="H299" s="461"/>
      <c r="I299" s="463"/>
      <c r="J299" s="463"/>
      <c r="K299" s="461"/>
      <c r="L299" s="461"/>
      <c r="M299" s="461"/>
      <c r="N299" s="461"/>
      <c r="O299" s="461"/>
      <c r="P299" s="461"/>
      <c r="Q299" s="461"/>
      <c r="R299" s="461"/>
      <c r="S299" s="461"/>
      <c r="T299" s="461"/>
      <c r="U299" s="461"/>
      <c r="V299" s="461"/>
      <c r="W299" s="461"/>
      <c r="X299" s="461"/>
      <c r="Y299" s="461"/>
    </row>
    <row r="300" spans="1:25" ht="20.25" x14ac:dyDescent="0.4">
      <c r="A300" s="461"/>
      <c r="B300" s="461"/>
      <c r="C300" s="461"/>
      <c r="D300" s="461"/>
      <c r="E300" s="461"/>
      <c r="F300" s="461"/>
      <c r="G300" s="461"/>
      <c r="H300" s="461"/>
      <c r="I300" s="463"/>
      <c r="J300" s="463"/>
      <c r="K300" s="461"/>
      <c r="L300" s="461"/>
      <c r="M300" s="461"/>
      <c r="N300" s="461"/>
      <c r="O300" s="461"/>
      <c r="P300" s="461"/>
      <c r="Q300" s="461"/>
      <c r="R300" s="461"/>
      <c r="S300" s="461"/>
      <c r="T300" s="461"/>
      <c r="U300" s="461"/>
      <c r="V300" s="461"/>
      <c r="W300" s="461"/>
      <c r="X300" s="461"/>
      <c r="Y300" s="461"/>
    </row>
    <row r="301" spans="1:25" ht="20.25" x14ac:dyDescent="0.4">
      <c r="A301" s="461"/>
      <c r="B301" s="461"/>
      <c r="C301" s="461"/>
      <c r="D301" s="461"/>
      <c r="E301" s="461"/>
      <c r="F301" s="461"/>
      <c r="G301" s="461"/>
      <c r="H301" s="461"/>
      <c r="I301" s="463"/>
      <c r="J301" s="463"/>
      <c r="K301" s="461"/>
      <c r="L301" s="461"/>
      <c r="M301" s="461"/>
      <c r="N301" s="461"/>
      <c r="O301" s="461"/>
      <c r="P301" s="461"/>
      <c r="Q301" s="461"/>
      <c r="R301" s="461"/>
      <c r="S301" s="461"/>
      <c r="T301" s="461"/>
      <c r="U301" s="461"/>
      <c r="V301" s="461"/>
      <c r="W301" s="461"/>
      <c r="X301" s="461"/>
      <c r="Y301" s="461"/>
    </row>
    <row r="302" spans="1:25" ht="20.25" x14ac:dyDescent="0.4">
      <c r="A302" s="461"/>
      <c r="B302" s="461"/>
      <c r="C302" s="461"/>
      <c r="D302" s="461"/>
      <c r="E302" s="461"/>
      <c r="F302" s="461"/>
      <c r="G302" s="461"/>
      <c r="H302" s="461"/>
      <c r="I302" s="463"/>
      <c r="J302" s="463"/>
      <c r="K302" s="461"/>
      <c r="L302" s="461"/>
      <c r="M302" s="461"/>
      <c r="N302" s="461"/>
      <c r="O302" s="461"/>
      <c r="P302" s="461"/>
      <c r="Q302" s="461"/>
      <c r="R302" s="461"/>
      <c r="S302" s="461"/>
      <c r="T302" s="461"/>
      <c r="U302" s="461"/>
      <c r="V302" s="461"/>
      <c r="W302" s="461"/>
      <c r="X302" s="461"/>
      <c r="Y302" s="461"/>
    </row>
    <row r="303" spans="1:25" ht="20.25" x14ac:dyDescent="0.4">
      <c r="A303" s="461"/>
      <c r="B303" s="461"/>
      <c r="C303" s="461"/>
      <c r="D303" s="461"/>
      <c r="E303" s="461"/>
      <c r="F303" s="461"/>
      <c r="G303" s="461"/>
      <c r="H303" s="461"/>
      <c r="I303" s="463"/>
      <c r="J303" s="463"/>
      <c r="K303" s="461"/>
      <c r="L303" s="461"/>
      <c r="M303" s="461"/>
      <c r="N303" s="461"/>
      <c r="O303" s="461"/>
      <c r="P303" s="461"/>
      <c r="Q303" s="461"/>
      <c r="R303" s="461"/>
      <c r="S303" s="461"/>
      <c r="T303" s="461"/>
      <c r="U303" s="461"/>
      <c r="V303" s="461"/>
      <c r="W303" s="461"/>
      <c r="X303" s="461"/>
      <c r="Y303" s="461"/>
    </row>
    <row r="304" spans="1:25" ht="20.25" x14ac:dyDescent="0.4">
      <c r="A304" s="461"/>
      <c r="B304" s="461"/>
      <c r="C304" s="461"/>
      <c r="D304" s="461"/>
      <c r="E304" s="461"/>
      <c r="F304" s="461"/>
      <c r="G304" s="461"/>
      <c r="H304" s="461"/>
      <c r="I304" s="463"/>
      <c r="J304" s="463"/>
      <c r="K304" s="461"/>
      <c r="L304" s="461"/>
      <c r="M304" s="461"/>
      <c r="N304" s="461"/>
      <c r="O304" s="461"/>
      <c r="P304" s="461"/>
      <c r="Q304" s="461"/>
      <c r="R304" s="461"/>
      <c r="S304" s="461"/>
      <c r="T304" s="461"/>
      <c r="U304" s="461"/>
      <c r="V304" s="461"/>
      <c r="W304" s="461"/>
      <c r="X304" s="461"/>
      <c r="Y304" s="461"/>
    </row>
    <row r="305" spans="1:25" ht="20.25" x14ac:dyDescent="0.4">
      <c r="A305" s="461"/>
      <c r="B305" s="461"/>
      <c r="C305" s="461"/>
      <c r="D305" s="461"/>
      <c r="E305" s="461"/>
      <c r="F305" s="461"/>
      <c r="G305" s="461"/>
      <c r="H305" s="461"/>
      <c r="I305" s="463"/>
      <c r="J305" s="463"/>
      <c r="K305" s="461"/>
      <c r="L305" s="461"/>
      <c r="M305" s="461"/>
      <c r="N305" s="461"/>
      <c r="O305" s="461"/>
      <c r="P305" s="461"/>
      <c r="Q305" s="461"/>
      <c r="R305" s="461"/>
      <c r="S305" s="461"/>
      <c r="T305" s="461"/>
      <c r="U305" s="461"/>
      <c r="V305" s="461"/>
      <c r="W305" s="461"/>
      <c r="X305" s="461"/>
      <c r="Y305" s="461"/>
    </row>
    <row r="306" spans="1:25" ht="20.25" x14ac:dyDescent="0.4">
      <c r="A306" s="461"/>
      <c r="B306" s="461"/>
      <c r="C306" s="461"/>
      <c r="D306" s="461"/>
      <c r="E306" s="461"/>
      <c r="F306" s="461"/>
      <c r="G306" s="461"/>
      <c r="H306" s="461"/>
      <c r="I306" s="463"/>
      <c r="J306" s="463"/>
      <c r="K306" s="461"/>
      <c r="L306" s="461"/>
      <c r="M306" s="461"/>
      <c r="N306" s="461"/>
      <c r="O306" s="461"/>
      <c r="P306" s="461"/>
      <c r="Q306" s="461"/>
      <c r="R306" s="461"/>
      <c r="S306" s="461"/>
      <c r="T306" s="461"/>
      <c r="U306" s="461"/>
      <c r="V306" s="461"/>
      <c r="W306" s="461"/>
      <c r="X306" s="461"/>
      <c r="Y306" s="461"/>
    </row>
    <row r="307" spans="1:25" ht="20.25" x14ac:dyDescent="0.4">
      <c r="A307" s="461"/>
      <c r="B307" s="461"/>
      <c r="C307" s="461"/>
      <c r="D307" s="461"/>
      <c r="E307" s="461"/>
      <c r="F307" s="461"/>
      <c r="G307" s="461"/>
      <c r="H307" s="461"/>
      <c r="I307" s="463"/>
      <c r="J307" s="463"/>
      <c r="K307" s="461"/>
      <c r="L307" s="461"/>
      <c r="M307" s="461"/>
      <c r="N307" s="461"/>
      <c r="O307" s="461"/>
      <c r="P307" s="461"/>
      <c r="Q307" s="461"/>
      <c r="R307" s="461"/>
      <c r="S307" s="461"/>
      <c r="T307" s="461"/>
      <c r="U307" s="461"/>
      <c r="V307" s="461"/>
      <c r="W307" s="461"/>
      <c r="X307" s="461"/>
      <c r="Y307" s="461"/>
    </row>
    <row r="308" spans="1:25" ht="20.25" x14ac:dyDescent="0.4">
      <c r="A308" s="461"/>
      <c r="B308" s="461"/>
      <c r="C308" s="461"/>
      <c r="D308" s="461"/>
      <c r="E308" s="461"/>
      <c r="F308" s="461"/>
      <c r="G308" s="461"/>
      <c r="H308" s="461"/>
      <c r="I308" s="463"/>
      <c r="J308" s="463"/>
      <c r="K308" s="461"/>
      <c r="L308" s="461"/>
      <c r="M308" s="461"/>
      <c r="N308" s="461"/>
      <c r="O308" s="461"/>
      <c r="P308" s="461"/>
      <c r="Q308" s="461"/>
      <c r="R308" s="461"/>
      <c r="S308" s="461"/>
      <c r="T308" s="461"/>
      <c r="U308" s="461"/>
      <c r="V308" s="461"/>
      <c r="W308" s="461"/>
      <c r="X308" s="461"/>
      <c r="Y308" s="461"/>
    </row>
    <row r="309" spans="1:25" ht="20.25" x14ac:dyDescent="0.4">
      <c r="A309" s="461"/>
      <c r="B309" s="461"/>
      <c r="C309" s="461"/>
      <c r="D309" s="461"/>
      <c r="E309" s="461"/>
      <c r="F309" s="461"/>
      <c r="G309" s="461"/>
      <c r="H309" s="461"/>
      <c r="I309" s="463"/>
      <c r="J309" s="463"/>
      <c r="K309" s="461"/>
      <c r="L309" s="461"/>
      <c r="M309" s="461"/>
      <c r="N309" s="461"/>
      <c r="O309" s="461"/>
      <c r="P309" s="461"/>
      <c r="Q309" s="461"/>
      <c r="R309" s="461"/>
      <c r="S309" s="461"/>
      <c r="T309" s="461"/>
      <c r="U309" s="461"/>
      <c r="V309" s="461"/>
      <c r="W309" s="461"/>
      <c r="X309" s="461"/>
      <c r="Y309" s="461"/>
    </row>
    <row r="310" spans="1:25" ht="20.25" x14ac:dyDescent="0.4">
      <c r="A310" s="461"/>
      <c r="B310" s="461"/>
      <c r="C310" s="461"/>
      <c r="D310" s="461"/>
      <c r="E310" s="461"/>
      <c r="F310" s="461"/>
      <c r="G310" s="461"/>
      <c r="H310" s="461"/>
      <c r="I310" s="463"/>
      <c r="J310" s="463"/>
      <c r="K310" s="461"/>
      <c r="L310" s="461"/>
      <c r="M310" s="461"/>
      <c r="N310" s="461"/>
      <c r="O310" s="461"/>
      <c r="P310" s="461"/>
      <c r="Q310" s="461"/>
      <c r="R310" s="461"/>
      <c r="S310" s="461"/>
      <c r="T310" s="461"/>
      <c r="U310" s="461"/>
      <c r="V310" s="461"/>
      <c r="W310" s="461"/>
      <c r="X310" s="461"/>
      <c r="Y310" s="461"/>
    </row>
    <row r="311" spans="1:25" ht="20.25" x14ac:dyDescent="0.4">
      <c r="A311" s="461"/>
      <c r="B311" s="461"/>
      <c r="C311" s="461"/>
      <c r="D311" s="461"/>
      <c r="E311" s="461"/>
      <c r="F311" s="461"/>
      <c r="G311" s="461"/>
      <c r="H311" s="461"/>
      <c r="I311" s="463"/>
      <c r="J311" s="463"/>
      <c r="K311" s="461"/>
      <c r="L311" s="461"/>
      <c r="M311" s="461"/>
      <c r="N311" s="461"/>
      <c r="O311" s="461"/>
      <c r="P311" s="461"/>
      <c r="Q311" s="461"/>
      <c r="R311" s="461"/>
      <c r="S311" s="461"/>
      <c r="T311" s="461"/>
      <c r="U311" s="461"/>
      <c r="V311" s="461"/>
      <c r="W311" s="461"/>
      <c r="X311" s="461"/>
      <c r="Y311" s="461"/>
    </row>
    <row r="312" spans="1:25" ht="20.25" x14ac:dyDescent="0.4">
      <c r="A312" s="461"/>
      <c r="B312" s="461"/>
      <c r="C312" s="461"/>
      <c r="D312" s="461"/>
      <c r="E312" s="461"/>
      <c r="F312" s="461"/>
      <c r="G312" s="461"/>
      <c r="H312" s="461"/>
      <c r="I312" s="463"/>
      <c r="J312" s="463"/>
      <c r="K312" s="461"/>
      <c r="L312" s="461"/>
      <c r="M312" s="461"/>
      <c r="N312" s="461"/>
      <c r="O312" s="461"/>
      <c r="P312" s="461"/>
      <c r="Q312" s="461"/>
      <c r="R312" s="461"/>
      <c r="S312" s="461"/>
      <c r="T312" s="461"/>
      <c r="U312" s="461"/>
      <c r="V312" s="461"/>
      <c r="W312" s="461"/>
      <c r="X312" s="461"/>
      <c r="Y312" s="461"/>
    </row>
    <row r="313" spans="1:25" ht="20.25" x14ac:dyDescent="0.4">
      <c r="A313" s="461"/>
      <c r="B313" s="461"/>
      <c r="C313" s="461"/>
      <c r="D313" s="461"/>
      <c r="E313" s="461"/>
      <c r="F313" s="461"/>
      <c r="G313" s="461"/>
      <c r="H313" s="461"/>
      <c r="I313" s="463"/>
      <c r="J313" s="463"/>
      <c r="K313" s="461"/>
      <c r="L313" s="461"/>
      <c r="M313" s="461"/>
      <c r="N313" s="461"/>
      <c r="O313" s="461"/>
      <c r="P313" s="461"/>
      <c r="Q313" s="461"/>
      <c r="R313" s="461"/>
      <c r="S313" s="461"/>
      <c r="T313" s="461"/>
      <c r="U313" s="461"/>
      <c r="V313" s="461"/>
      <c r="W313" s="461"/>
      <c r="X313" s="461"/>
      <c r="Y313" s="461"/>
    </row>
    <row r="314" spans="1:25" ht="20.25" x14ac:dyDescent="0.4">
      <c r="A314" s="461"/>
      <c r="B314" s="461"/>
      <c r="C314" s="461"/>
      <c r="D314" s="461"/>
      <c r="E314" s="461"/>
      <c r="F314" s="461"/>
      <c r="G314" s="461"/>
      <c r="H314" s="461"/>
      <c r="I314" s="463"/>
      <c r="J314" s="463"/>
      <c r="K314" s="461"/>
      <c r="L314" s="461"/>
      <c r="M314" s="461"/>
      <c r="N314" s="461"/>
      <c r="O314" s="461"/>
      <c r="P314" s="461"/>
      <c r="Q314" s="461"/>
      <c r="R314" s="461"/>
      <c r="S314" s="461"/>
      <c r="T314" s="461"/>
      <c r="U314" s="461"/>
      <c r="V314" s="461"/>
      <c r="W314" s="461"/>
      <c r="X314" s="461"/>
      <c r="Y314" s="461"/>
    </row>
    <row r="315" spans="1:25" ht="20.25" x14ac:dyDescent="0.4">
      <c r="A315" s="461"/>
      <c r="B315" s="461"/>
      <c r="C315" s="461"/>
      <c r="D315" s="461"/>
      <c r="E315" s="461"/>
      <c r="F315" s="461"/>
      <c r="G315" s="461"/>
      <c r="H315" s="461"/>
      <c r="I315" s="463"/>
      <c r="J315" s="463"/>
      <c r="K315" s="461"/>
      <c r="L315" s="461"/>
      <c r="M315" s="461"/>
      <c r="N315" s="461"/>
      <c r="O315" s="461"/>
      <c r="P315" s="461"/>
      <c r="Q315" s="461"/>
      <c r="R315" s="461"/>
      <c r="S315" s="461"/>
      <c r="T315" s="461"/>
      <c r="U315" s="461"/>
      <c r="V315" s="461"/>
      <c r="W315" s="461"/>
      <c r="X315" s="461"/>
      <c r="Y315" s="461"/>
    </row>
    <row r="316" spans="1:25" ht="20.25" x14ac:dyDescent="0.4">
      <c r="A316" s="461"/>
      <c r="B316" s="461"/>
      <c r="C316" s="461"/>
      <c r="D316" s="461"/>
      <c r="E316" s="461"/>
      <c r="F316" s="461"/>
      <c r="G316" s="461"/>
      <c r="H316" s="461"/>
      <c r="I316" s="463"/>
      <c r="J316" s="463"/>
      <c r="K316" s="461"/>
      <c r="L316" s="461"/>
      <c r="M316" s="461"/>
      <c r="N316" s="461"/>
      <c r="O316" s="461"/>
      <c r="P316" s="461"/>
      <c r="Q316" s="461"/>
      <c r="R316" s="461"/>
      <c r="S316" s="461"/>
      <c r="T316" s="461"/>
      <c r="U316" s="461"/>
      <c r="V316" s="461"/>
      <c r="W316" s="461"/>
      <c r="X316" s="461"/>
      <c r="Y316" s="461"/>
    </row>
    <row r="317" spans="1:25" ht="20.25" x14ac:dyDescent="0.4">
      <c r="A317" s="461"/>
      <c r="B317" s="461"/>
      <c r="C317" s="461"/>
      <c r="D317" s="461"/>
      <c r="E317" s="461"/>
      <c r="F317" s="461"/>
      <c r="G317" s="461"/>
      <c r="H317" s="461"/>
      <c r="I317" s="463"/>
      <c r="J317" s="463"/>
      <c r="K317" s="461"/>
      <c r="L317" s="461"/>
      <c r="M317" s="461"/>
      <c r="N317" s="461"/>
      <c r="O317" s="461"/>
      <c r="P317" s="461"/>
      <c r="Q317" s="461"/>
      <c r="R317" s="461"/>
      <c r="S317" s="461"/>
      <c r="T317" s="461"/>
      <c r="U317" s="461"/>
      <c r="V317" s="461"/>
      <c r="W317" s="461"/>
      <c r="X317" s="461"/>
      <c r="Y317" s="461"/>
    </row>
    <row r="318" spans="1:25" ht="20.25" x14ac:dyDescent="0.4">
      <c r="A318" s="461"/>
      <c r="B318" s="461"/>
      <c r="C318" s="461"/>
      <c r="D318" s="461"/>
      <c r="E318" s="461"/>
      <c r="F318" s="461"/>
      <c r="G318" s="461"/>
      <c r="H318" s="461"/>
      <c r="I318" s="463"/>
      <c r="J318" s="463"/>
      <c r="K318" s="461"/>
      <c r="L318" s="461"/>
      <c r="M318" s="461"/>
      <c r="N318" s="461"/>
      <c r="O318" s="461"/>
      <c r="P318" s="461"/>
      <c r="Q318" s="461"/>
      <c r="R318" s="461"/>
      <c r="S318" s="461"/>
      <c r="T318" s="461"/>
      <c r="U318" s="461"/>
      <c r="V318" s="461"/>
      <c r="W318" s="461"/>
      <c r="X318" s="461"/>
      <c r="Y318" s="461"/>
    </row>
    <row r="319" spans="1:25" ht="20.25" x14ac:dyDescent="0.4">
      <c r="A319" s="461"/>
      <c r="B319" s="461"/>
      <c r="C319" s="461"/>
      <c r="D319" s="461"/>
      <c r="E319" s="461"/>
      <c r="F319" s="461"/>
      <c r="G319" s="461"/>
      <c r="H319" s="461"/>
      <c r="I319" s="463"/>
      <c r="J319" s="463"/>
      <c r="K319" s="461"/>
      <c r="L319" s="461"/>
      <c r="M319" s="461"/>
      <c r="N319" s="461"/>
      <c r="O319" s="461"/>
      <c r="P319" s="461"/>
      <c r="Q319" s="461"/>
      <c r="R319" s="461"/>
      <c r="S319" s="461"/>
      <c r="T319" s="461"/>
      <c r="U319" s="461"/>
      <c r="V319" s="461"/>
      <c r="W319" s="461"/>
      <c r="X319" s="461"/>
      <c r="Y319" s="461"/>
    </row>
    <row r="320" spans="1:25" ht="20.25" x14ac:dyDescent="0.4">
      <c r="A320" s="461"/>
      <c r="B320" s="461"/>
      <c r="C320" s="461"/>
      <c r="D320" s="461"/>
      <c r="E320" s="461"/>
      <c r="F320" s="461"/>
      <c r="G320" s="461"/>
      <c r="H320" s="461"/>
      <c r="I320" s="463"/>
      <c r="J320" s="463"/>
      <c r="K320" s="461"/>
      <c r="L320" s="461"/>
      <c r="M320" s="461"/>
      <c r="N320" s="461"/>
      <c r="O320" s="461"/>
      <c r="P320" s="461"/>
      <c r="Q320" s="461"/>
      <c r="R320" s="461"/>
      <c r="S320" s="461"/>
      <c r="T320" s="461"/>
      <c r="U320" s="461"/>
      <c r="V320" s="461"/>
      <c r="W320" s="461"/>
      <c r="X320" s="461"/>
      <c r="Y320" s="461"/>
    </row>
    <row r="321" spans="1:25" ht="20.25" x14ac:dyDescent="0.4">
      <c r="A321" s="461"/>
      <c r="B321" s="461"/>
      <c r="C321" s="461"/>
      <c r="D321" s="461"/>
      <c r="E321" s="461"/>
      <c r="F321" s="461"/>
      <c r="G321" s="461"/>
      <c r="H321" s="461"/>
      <c r="I321" s="463"/>
      <c r="J321" s="463"/>
      <c r="K321" s="461"/>
      <c r="L321" s="461"/>
      <c r="M321" s="461"/>
      <c r="N321" s="461"/>
      <c r="O321" s="461"/>
      <c r="P321" s="461"/>
      <c r="Q321" s="461"/>
      <c r="R321" s="461"/>
      <c r="S321" s="461"/>
      <c r="T321" s="461"/>
      <c r="U321" s="461"/>
      <c r="V321" s="461"/>
      <c r="W321" s="461"/>
      <c r="X321" s="461"/>
      <c r="Y321" s="461"/>
    </row>
    <row r="322" spans="1:25" ht="20.25" x14ac:dyDescent="0.4">
      <c r="A322" s="461"/>
      <c r="B322" s="461"/>
      <c r="C322" s="461"/>
      <c r="D322" s="461"/>
      <c r="E322" s="461"/>
      <c r="F322" s="461"/>
      <c r="G322" s="461"/>
      <c r="H322" s="461"/>
      <c r="I322" s="463"/>
      <c r="J322" s="463"/>
      <c r="K322" s="461"/>
      <c r="L322" s="461"/>
      <c r="M322" s="461"/>
      <c r="N322" s="461"/>
      <c r="O322" s="461"/>
      <c r="P322" s="461"/>
      <c r="Q322" s="461"/>
      <c r="R322" s="461"/>
      <c r="S322" s="461"/>
      <c r="T322" s="461"/>
      <c r="U322" s="461"/>
      <c r="V322" s="461"/>
      <c r="W322" s="461"/>
      <c r="X322" s="461"/>
      <c r="Y322" s="461"/>
    </row>
    <row r="323" spans="1:25" ht="20.25" x14ac:dyDescent="0.4">
      <c r="A323" s="461"/>
      <c r="B323" s="461"/>
      <c r="C323" s="461"/>
      <c r="D323" s="461"/>
      <c r="E323" s="461"/>
      <c r="F323" s="461"/>
      <c r="G323" s="461"/>
      <c r="H323" s="461"/>
      <c r="I323" s="463"/>
      <c r="J323" s="463"/>
      <c r="K323" s="461"/>
      <c r="L323" s="461"/>
      <c r="M323" s="461"/>
      <c r="N323" s="461"/>
      <c r="O323" s="461"/>
      <c r="P323" s="461"/>
      <c r="Q323" s="461"/>
      <c r="R323" s="461"/>
      <c r="S323" s="461"/>
      <c r="T323" s="461"/>
      <c r="U323" s="461"/>
      <c r="V323" s="461"/>
      <c r="W323" s="461"/>
      <c r="X323" s="461"/>
      <c r="Y323" s="461"/>
    </row>
    <row r="324" spans="1:25" ht="20.25" x14ac:dyDescent="0.4">
      <c r="A324" s="461"/>
      <c r="B324" s="461"/>
      <c r="C324" s="461"/>
      <c r="D324" s="461"/>
      <c r="E324" s="461"/>
      <c r="F324" s="461"/>
      <c r="G324" s="461"/>
      <c r="H324" s="461"/>
      <c r="I324" s="463"/>
      <c r="J324" s="463"/>
      <c r="K324" s="461"/>
      <c r="L324" s="461"/>
      <c r="M324" s="461"/>
      <c r="N324" s="461"/>
      <c r="O324" s="461"/>
      <c r="P324" s="461"/>
      <c r="Q324" s="461"/>
      <c r="R324" s="461"/>
      <c r="S324" s="461"/>
      <c r="T324" s="461"/>
      <c r="U324" s="461"/>
      <c r="V324" s="461"/>
      <c r="W324" s="461"/>
      <c r="X324" s="461"/>
      <c r="Y324" s="461"/>
    </row>
    <row r="325" spans="1:25" ht="20.25" x14ac:dyDescent="0.4">
      <c r="A325" s="461"/>
      <c r="B325" s="461"/>
      <c r="C325" s="461"/>
      <c r="D325" s="461"/>
      <c r="E325" s="461"/>
      <c r="F325" s="461"/>
      <c r="G325" s="461"/>
      <c r="H325" s="461"/>
      <c r="I325" s="463"/>
      <c r="J325" s="463"/>
      <c r="K325" s="461"/>
      <c r="L325" s="461"/>
      <c r="M325" s="461"/>
      <c r="N325" s="461"/>
      <c r="O325" s="461"/>
      <c r="P325" s="461"/>
      <c r="Q325" s="461"/>
      <c r="R325" s="461"/>
      <c r="S325" s="461"/>
      <c r="T325" s="461"/>
      <c r="U325" s="461"/>
      <c r="V325" s="461"/>
      <c r="W325" s="461"/>
      <c r="X325" s="461"/>
      <c r="Y325" s="461"/>
    </row>
    <row r="326" spans="1:25" ht="20.25" x14ac:dyDescent="0.4">
      <c r="A326" s="461"/>
      <c r="B326" s="461"/>
      <c r="C326" s="461"/>
      <c r="D326" s="461"/>
      <c r="E326" s="461"/>
      <c r="F326" s="461"/>
      <c r="G326" s="461"/>
      <c r="H326" s="461"/>
      <c r="I326" s="463"/>
      <c r="J326" s="463"/>
      <c r="K326" s="461"/>
      <c r="L326" s="461"/>
      <c r="M326" s="461"/>
      <c r="N326" s="461"/>
      <c r="O326" s="461"/>
      <c r="P326" s="461"/>
      <c r="Q326" s="461"/>
      <c r="R326" s="461"/>
      <c r="S326" s="461"/>
      <c r="T326" s="461"/>
      <c r="U326" s="461"/>
      <c r="V326" s="461"/>
      <c r="W326" s="461"/>
      <c r="X326" s="461"/>
      <c r="Y326" s="461"/>
    </row>
    <row r="327" spans="1:25" ht="20.25" x14ac:dyDescent="0.4">
      <c r="A327" s="461"/>
      <c r="B327" s="461"/>
      <c r="C327" s="461"/>
      <c r="D327" s="461"/>
      <c r="E327" s="461"/>
      <c r="F327" s="461"/>
      <c r="G327" s="461"/>
      <c r="H327" s="461"/>
      <c r="I327" s="463"/>
      <c r="J327" s="463"/>
      <c r="K327" s="461"/>
      <c r="L327" s="461"/>
      <c r="M327" s="461"/>
      <c r="N327" s="461"/>
      <c r="O327" s="461"/>
      <c r="P327" s="461"/>
      <c r="Q327" s="461"/>
      <c r="R327" s="461"/>
      <c r="S327" s="461"/>
      <c r="T327" s="461"/>
      <c r="U327" s="461"/>
      <c r="V327" s="461"/>
      <c r="W327" s="461"/>
      <c r="X327" s="461"/>
      <c r="Y327" s="461"/>
    </row>
    <row r="328" spans="1:25" ht="20.25" x14ac:dyDescent="0.4">
      <c r="A328" s="461"/>
      <c r="B328" s="461"/>
      <c r="C328" s="461"/>
      <c r="D328" s="461"/>
      <c r="E328" s="461"/>
      <c r="F328" s="461"/>
      <c r="G328" s="461"/>
      <c r="H328" s="461"/>
      <c r="I328" s="463"/>
      <c r="J328" s="463"/>
      <c r="K328" s="461"/>
      <c r="L328" s="461"/>
      <c r="M328" s="461"/>
      <c r="N328" s="461"/>
      <c r="O328" s="461"/>
      <c r="P328" s="461"/>
      <c r="Q328" s="461"/>
      <c r="R328" s="461"/>
      <c r="S328" s="461"/>
      <c r="T328" s="461"/>
      <c r="U328" s="461"/>
      <c r="V328" s="461"/>
      <c r="W328" s="461"/>
      <c r="X328" s="461"/>
      <c r="Y328" s="461"/>
    </row>
    <row r="329" spans="1:25" ht="20.25" x14ac:dyDescent="0.4">
      <c r="A329" s="461"/>
      <c r="B329" s="461"/>
      <c r="C329" s="461"/>
      <c r="D329" s="461"/>
      <c r="E329" s="461"/>
      <c r="F329" s="461"/>
      <c r="G329" s="461"/>
      <c r="H329" s="461"/>
      <c r="I329" s="463"/>
      <c r="J329" s="463"/>
      <c r="K329" s="461"/>
      <c r="L329" s="461"/>
      <c r="M329" s="461"/>
      <c r="N329" s="461"/>
      <c r="O329" s="461"/>
      <c r="P329" s="461"/>
      <c r="Q329" s="461"/>
      <c r="R329" s="461"/>
      <c r="S329" s="461"/>
      <c r="T329" s="461"/>
      <c r="U329" s="461"/>
      <c r="V329" s="461"/>
      <c r="W329" s="461"/>
      <c r="X329" s="461"/>
      <c r="Y329" s="461"/>
    </row>
    <row r="330" spans="1:25" ht="20.25" x14ac:dyDescent="0.4">
      <c r="A330" s="461"/>
      <c r="B330" s="461"/>
      <c r="C330" s="461"/>
      <c r="D330" s="461"/>
      <c r="E330" s="461"/>
      <c r="F330" s="461"/>
      <c r="G330" s="461"/>
      <c r="H330" s="461"/>
      <c r="I330" s="463"/>
      <c r="J330" s="463"/>
      <c r="K330" s="461"/>
      <c r="L330" s="461"/>
      <c r="M330" s="461"/>
      <c r="N330" s="461"/>
      <c r="O330" s="461"/>
      <c r="P330" s="461"/>
      <c r="Q330" s="461"/>
      <c r="R330" s="461"/>
      <c r="S330" s="461"/>
      <c r="T330" s="461"/>
      <c r="U330" s="461"/>
      <c r="V330" s="461"/>
      <c r="W330" s="461"/>
      <c r="X330" s="461"/>
      <c r="Y330" s="461"/>
    </row>
    <row r="331" spans="1:25" ht="20.25" x14ac:dyDescent="0.4">
      <c r="A331" s="461"/>
      <c r="B331" s="461"/>
      <c r="C331" s="461"/>
      <c r="D331" s="461"/>
      <c r="E331" s="461"/>
      <c r="F331" s="461"/>
      <c r="G331" s="461"/>
      <c r="H331" s="461"/>
      <c r="I331" s="463"/>
      <c r="J331" s="463"/>
      <c r="K331" s="461"/>
      <c r="L331" s="461"/>
      <c r="M331" s="461"/>
      <c r="N331" s="461"/>
      <c r="O331" s="461"/>
      <c r="P331" s="461"/>
      <c r="Q331" s="461"/>
      <c r="R331" s="461"/>
      <c r="S331" s="461"/>
      <c r="T331" s="461"/>
      <c r="U331" s="461"/>
      <c r="V331" s="461"/>
      <c r="W331" s="461"/>
      <c r="X331" s="461"/>
      <c r="Y331" s="461"/>
    </row>
    <row r="332" spans="1:25" ht="20.25" x14ac:dyDescent="0.4">
      <c r="A332" s="461"/>
      <c r="B332" s="461"/>
      <c r="C332" s="461"/>
      <c r="D332" s="461"/>
      <c r="E332" s="461"/>
      <c r="F332" s="461"/>
      <c r="G332" s="461"/>
      <c r="H332" s="461"/>
      <c r="I332" s="463"/>
      <c r="J332" s="463"/>
      <c r="K332" s="461"/>
      <c r="L332" s="461"/>
      <c r="M332" s="461"/>
      <c r="N332" s="461"/>
      <c r="O332" s="461"/>
      <c r="P332" s="461"/>
      <c r="Q332" s="461"/>
      <c r="R332" s="461"/>
      <c r="S332" s="461"/>
      <c r="T332" s="461"/>
      <c r="U332" s="461"/>
      <c r="V332" s="461"/>
      <c r="W332" s="461"/>
      <c r="X332" s="461"/>
      <c r="Y332" s="461"/>
    </row>
    <row r="333" spans="1:25" ht="20.25" x14ac:dyDescent="0.4">
      <c r="A333" s="461"/>
      <c r="B333" s="461"/>
      <c r="C333" s="461"/>
      <c r="D333" s="461"/>
      <c r="E333" s="461"/>
      <c r="F333" s="461"/>
      <c r="G333" s="461"/>
      <c r="H333" s="461"/>
      <c r="I333" s="463"/>
      <c r="J333" s="463"/>
      <c r="K333" s="461"/>
      <c r="L333" s="461"/>
      <c r="M333" s="461"/>
      <c r="N333" s="461"/>
      <c r="O333" s="461"/>
      <c r="P333" s="461"/>
      <c r="Q333" s="461"/>
      <c r="R333" s="461"/>
      <c r="S333" s="461"/>
      <c r="T333" s="461"/>
      <c r="U333" s="461"/>
      <c r="V333" s="461"/>
      <c r="W333" s="461"/>
      <c r="X333" s="461"/>
      <c r="Y333" s="461"/>
    </row>
    <row r="334" spans="1:25" ht="20.25" x14ac:dyDescent="0.4">
      <c r="A334" s="461"/>
      <c r="B334" s="461"/>
      <c r="C334" s="461"/>
      <c r="D334" s="461"/>
      <c r="E334" s="461"/>
      <c r="F334" s="461"/>
      <c r="G334" s="461"/>
      <c r="H334" s="461"/>
      <c r="I334" s="463"/>
      <c r="J334" s="463"/>
      <c r="K334" s="461"/>
      <c r="L334" s="461"/>
      <c r="M334" s="461"/>
      <c r="N334" s="461"/>
      <c r="O334" s="461"/>
      <c r="P334" s="461"/>
      <c r="Q334" s="461"/>
      <c r="R334" s="461"/>
      <c r="S334" s="461"/>
      <c r="T334" s="461"/>
      <c r="U334" s="461"/>
      <c r="V334" s="461"/>
      <c r="W334" s="461"/>
      <c r="X334" s="461"/>
      <c r="Y334" s="461"/>
    </row>
    <row r="335" spans="1:25" ht="20.25" x14ac:dyDescent="0.4">
      <c r="A335" s="461"/>
      <c r="B335" s="461"/>
      <c r="C335" s="461"/>
      <c r="D335" s="461"/>
      <c r="E335" s="461"/>
      <c r="F335" s="461"/>
      <c r="G335" s="461"/>
      <c r="H335" s="461"/>
      <c r="I335" s="463"/>
      <c r="J335" s="463"/>
      <c r="K335" s="461"/>
      <c r="L335" s="461"/>
      <c r="M335" s="461"/>
      <c r="N335" s="461"/>
      <c r="O335" s="461"/>
      <c r="P335" s="461"/>
      <c r="Q335" s="461"/>
      <c r="R335" s="461"/>
      <c r="S335" s="461"/>
      <c r="T335" s="461"/>
      <c r="U335" s="461"/>
      <c r="V335" s="461"/>
      <c r="W335" s="461"/>
      <c r="X335" s="461"/>
      <c r="Y335" s="461"/>
    </row>
    <row r="336" spans="1:25" ht="20.25" x14ac:dyDescent="0.4">
      <c r="A336" s="461"/>
      <c r="B336" s="461"/>
      <c r="C336" s="461"/>
      <c r="D336" s="461"/>
      <c r="E336" s="461"/>
      <c r="F336" s="461"/>
      <c r="G336" s="461"/>
      <c r="H336" s="461"/>
      <c r="I336" s="463"/>
      <c r="J336" s="463"/>
      <c r="K336" s="461"/>
      <c r="L336" s="461"/>
      <c r="M336" s="461"/>
      <c r="N336" s="461"/>
      <c r="O336" s="461"/>
      <c r="P336" s="461"/>
      <c r="Q336" s="461"/>
      <c r="R336" s="461"/>
      <c r="S336" s="461"/>
      <c r="T336" s="461"/>
      <c r="U336" s="461"/>
      <c r="V336" s="461"/>
      <c r="W336" s="461"/>
      <c r="X336" s="461"/>
      <c r="Y336" s="461"/>
    </row>
    <row r="337" spans="1:25" ht="20.25" x14ac:dyDescent="0.4">
      <c r="A337" s="461"/>
      <c r="B337" s="461"/>
      <c r="C337" s="461"/>
      <c r="D337" s="461"/>
      <c r="E337" s="461"/>
      <c r="F337" s="461"/>
      <c r="G337" s="461"/>
      <c r="H337" s="461"/>
      <c r="I337" s="463"/>
      <c r="J337" s="463"/>
      <c r="K337" s="461"/>
      <c r="L337" s="461"/>
      <c r="M337" s="461"/>
      <c r="N337" s="461"/>
      <c r="O337" s="461"/>
      <c r="P337" s="461"/>
      <c r="Q337" s="461"/>
      <c r="R337" s="461"/>
      <c r="S337" s="461"/>
      <c r="T337" s="461"/>
      <c r="U337" s="461"/>
      <c r="V337" s="461"/>
      <c r="W337" s="461"/>
      <c r="X337" s="461"/>
      <c r="Y337" s="461"/>
    </row>
    <row r="338" spans="1:25" ht="20.25" x14ac:dyDescent="0.4">
      <c r="A338" s="461"/>
      <c r="B338" s="461"/>
      <c r="C338" s="461"/>
      <c r="D338" s="461"/>
      <c r="E338" s="461"/>
      <c r="F338" s="461"/>
      <c r="G338" s="461"/>
      <c r="H338" s="461"/>
      <c r="I338" s="463"/>
      <c r="J338" s="463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</row>
    <row r="339" spans="1:25" ht="20.25" x14ac:dyDescent="0.4">
      <c r="A339" s="461"/>
      <c r="B339" s="461"/>
      <c r="C339" s="461"/>
      <c r="D339" s="461"/>
      <c r="E339" s="461"/>
      <c r="F339" s="461"/>
      <c r="G339" s="461"/>
      <c r="H339" s="461"/>
      <c r="I339" s="463"/>
      <c r="J339" s="463"/>
      <c r="K339" s="461"/>
      <c r="L339" s="461"/>
      <c r="M339" s="461"/>
      <c r="N339" s="461"/>
      <c r="O339" s="461"/>
      <c r="P339" s="461"/>
      <c r="Q339" s="461"/>
      <c r="R339" s="461"/>
      <c r="S339" s="461"/>
      <c r="T339" s="461"/>
      <c r="U339" s="461"/>
      <c r="V339" s="461"/>
      <c r="W339" s="461"/>
      <c r="X339" s="461"/>
      <c r="Y339" s="461"/>
    </row>
    <row r="340" spans="1:25" ht="20.25" x14ac:dyDescent="0.4">
      <c r="A340" s="461"/>
      <c r="B340" s="461"/>
      <c r="C340" s="461"/>
      <c r="D340" s="461"/>
      <c r="E340" s="461"/>
      <c r="F340" s="461"/>
      <c r="G340" s="461"/>
      <c r="H340" s="461"/>
      <c r="I340" s="463"/>
      <c r="J340" s="463"/>
      <c r="K340" s="461"/>
      <c r="L340" s="461"/>
      <c r="M340" s="461"/>
      <c r="N340" s="461"/>
      <c r="O340" s="461"/>
      <c r="P340" s="461"/>
      <c r="Q340" s="461"/>
      <c r="R340" s="461"/>
      <c r="S340" s="461"/>
      <c r="T340" s="461"/>
      <c r="U340" s="461"/>
      <c r="V340" s="461"/>
      <c r="W340" s="461"/>
      <c r="X340" s="461"/>
      <c r="Y340" s="461"/>
    </row>
    <row r="341" spans="1:25" ht="20.25" x14ac:dyDescent="0.4">
      <c r="A341" s="461"/>
      <c r="B341" s="461"/>
      <c r="C341" s="461"/>
      <c r="D341" s="461"/>
      <c r="E341" s="461"/>
      <c r="F341" s="461"/>
      <c r="G341" s="461"/>
      <c r="H341" s="461"/>
      <c r="I341" s="463"/>
      <c r="J341" s="463"/>
      <c r="K341" s="461"/>
      <c r="L341" s="461"/>
      <c r="M341" s="461"/>
      <c r="N341" s="461"/>
      <c r="O341" s="461"/>
      <c r="P341" s="461"/>
      <c r="Q341" s="461"/>
      <c r="R341" s="461"/>
      <c r="S341" s="461"/>
      <c r="T341" s="461"/>
      <c r="U341" s="461"/>
      <c r="V341" s="461"/>
      <c r="W341" s="461"/>
      <c r="X341" s="461"/>
      <c r="Y341" s="461"/>
    </row>
    <row r="342" spans="1:25" ht="20.25" x14ac:dyDescent="0.4">
      <c r="A342" s="461"/>
      <c r="B342" s="461"/>
      <c r="C342" s="461"/>
      <c r="D342" s="461"/>
      <c r="E342" s="461"/>
      <c r="F342" s="461"/>
      <c r="G342" s="461"/>
      <c r="H342" s="461"/>
      <c r="I342" s="463"/>
      <c r="J342" s="463"/>
      <c r="K342" s="461"/>
      <c r="L342" s="461"/>
      <c r="M342" s="461"/>
      <c r="N342" s="461"/>
      <c r="O342" s="461"/>
      <c r="P342" s="461"/>
      <c r="Q342" s="461"/>
      <c r="R342" s="461"/>
      <c r="S342" s="461"/>
      <c r="T342" s="461"/>
      <c r="U342" s="461"/>
      <c r="V342" s="461"/>
      <c r="W342" s="461"/>
      <c r="X342" s="461"/>
      <c r="Y342" s="461"/>
    </row>
    <row r="343" spans="1:25" ht="20.25" x14ac:dyDescent="0.4">
      <c r="A343" s="461"/>
      <c r="B343" s="461"/>
      <c r="C343" s="461"/>
      <c r="D343" s="461"/>
      <c r="E343" s="461"/>
      <c r="F343" s="461"/>
      <c r="G343" s="461"/>
      <c r="H343" s="461"/>
      <c r="I343" s="463"/>
      <c r="J343" s="463"/>
      <c r="K343" s="461"/>
      <c r="L343" s="461"/>
      <c r="M343" s="461"/>
      <c r="N343" s="461"/>
      <c r="O343" s="461"/>
      <c r="P343" s="461"/>
      <c r="Q343" s="461"/>
      <c r="R343" s="461"/>
      <c r="S343" s="461"/>
      <c r="T343" s="461"/>
      <c r="U343" s="461"/>
      <c r="V343" s="461"/>
      <c r="W343" s="461"/>
      <c r="X343" s="461"/>
      <c r="Y343" s="461"/>
    </row>
    <row r="344" spans="1:25" ht="20.25" x14ac:dyDescent="0.4">
      <c r="A344" s="461"/>
      <c r="B344" s="461"/>
      <c r="C344" s="461"/>
      <c r="D344" s="461"/>
      <c r="E344" s="461"/>
      <c r="F344" s="461"/>
      <c r="G344" s="461"/>
      <c r="H344" s="461"/>
      <c r="I344" s="463"/>
      <c r="J344" s="463"/>
      <c r="K344" s="461"/>
      <c r="L344" s="461"/>
      <c r="M344" s="461"/>
      <c r="N344" s="461"/>
      <c r="O344" s="461"/>
      <c r="P344" s="461"/>
      <c r="Q344" s="461"/>
      <c r="R344" s="461"/>
      <c r="S344" s="461"/>
      <c r="T344" s="461"/>
      <c r="U344" s="461"/>
      <c r="V344" s="461"/>
      <c r="W344" s="461"/>
      <c r="X344" s="461"/>
      <c r="Y344" s="461"/>
    </row>
    <row r="345" spans="1:25" ht="20.25" x14ac:dyDescent="0.4">
      <c r="A345" s="461"/>
      <c r="B345" s="461"/>
      <c r="C345" s="461"/>
      <c r="D345" s="461"/>
      <c r="E345" s="461"/>
      <c r="F345" s="461"/>
      <c r="G345" s="461"/>
      <c r="H345" s="461"/>
      <c r="I345" s="463"/>
      <c r="J345" s="463"/>
      <c r="K345" s="461"/>
      <c r="L345" s="461"/>
      <c r="M345" s="461"/>
      <c r="N345" s="461"/>
      <c r="O345" s="461"/>
      <c r="P345" s="461"/>
      <c r="Q345" s="461"/>
      <c r="R345" s="461"/>
      <c r="S345" s="461"/>
      <c r="T345" s="461"/>
      <c r="U345" s="461"/>
      <c r="V345" s="461"/>
      <c r="W345" s="461"/>
      <c r="X345" s="461"/>
      <c r="Y345" s="461"/>
    </row>
    <row r="346" spans="1:25" ht="20.25" x14ac:dyDescent="0.4">
      <c r="A346" s="461"/>
      <c r="B346" s="461"/>
      <c r="C346" s="461"/>
      <c r="D346" s="461"/>
      <c r="E346" s="461"/>
      <c r="F346" s="461"/>
      <c r="G346" s="461"/>
      <c r="H346" s="461"/>
      <c r="I346" s="463"/>
      <c r="J346" s="463"/>
      <c r="K346" s="461"/>
      <c r="L346" s="461"/>
      <c r="M346" s="461"/>
      <c r="N346" s="461"/>
      <c r="O346" s="461"/>
      <c r="P346" s="461"/>
      <c r="Q346" s="461"/>
      <c r="R346" s="461"/>
      <c r="S346" s="461"/>
      <c r="T346" s="461"/>
      <c r="U346" s="461"/>
      <c r="V346" s="461"/>
      <c r="W346" s="461"/>
      <c r="X346" s="461"/>
      <c r="Y346" s="461"/>
    </row>
    <row r="347" spans="1:25" ht="20.25" x14ac:dyDescent="0.4">
      <c r="A347" s="461"/>
      <c r="B347" s="461"/>
      <c r="C347" s="461"/>
      <c r="D347" s="461"/>
      <c r="E347" s="461"/>
      <c r="F347" s="461"/>
      <c r="G347" s="461"/>
      <c r="H347" s="461"/>
      <c r="I347" s="463"/>
      <c r="J347" s="463"/>
      <c r="K347" s="461"/>
      <c r="L347" s="461"/>
      <c r="M347" s="461"/>
      <c r="N347" s="461"/>
      <c r="O347" s="461"/>
      <c r="P347" s="461"/>
      <c r="Q347" s="461"/>
      <c r="R347" s="461"/>
      <c r="S347" s="461"/>
      <c r="T347" s="461"/>
      <c r="U347" s="461"/>
      <c r="V347" s="461"/>
      <c r="W347" s="461"/>
      <c r="X347" s="461"/>
      <c r="Y347" s="461"/>
    </row>
    <row r="348" spans="1:25" ht="20.25" x14ac:dyDescent="0.4">
      <c r="A348" s="461"/>
      <c r="B348" s="461"/>
      <c r="C348" s="461"/>
      <c r="D348" s="461"/>
      <c r="E348" s="461"/>
      <c r="F348" s="461"/>
      <c r="G348" s="461"/>
      <c r="H348" s="461"/>
      <c r="I348" s="463"/>
      <c r="J348" s="463"/>
      <c r="K348" s="461"/>
      <c r="L348" s="461"/>
      <c r="M348" s="461"/>
      <c r="N348" s="461"/>
      <c r="O348" s="461"/>
      <c r="P348" s="461"/>
      <c r="Q348" s="461"/>
      <c r="R348" s="461"/>
      <c r="S348" s="461"/>
      <c r="T348" s="461"/>
      <c r="U348" s="461"/>
      <c r="V348" s="461"/>
      <c r="W348" s="461"/>
      <c r="X348" s="461"/>
      <c r="Y348" s="461"/>
    </row>
    <row r="349" spans="1:25" ht="20.25" x14ac:dyDescent="0.4">
      <c r="A349" s="461"/>
      <c r="B349" s="461"/>
      <c r="C349" s="461"/>
      <c r="D349" s="461"/>
      <c r="E349" s="461"/>
      <c r="F349" s="461"/>
      <c r="G349" s="461"/>
      <c r="H349" s="461"/>
      <c r="I349" s="463"/>
      <c r="J349" s="463"/>
      <c r="K349" s="461"/>
      <c r="L349" s="461"/>
      <c r="M349" s="461"/>
      <c r="N349" s="461"/>
      <c r="O349" s="461"/>
      <c r="P349" s="461"/>
      <c r="Q349" s="461"/>
      <c r="R349" s="461"/>
      <c r="S349" s="461"/>
      <c r="T349" s="461"/>
      <c r="U349" s="461"/>
      <c r="V349" s="461"/>
      <c r="W349" s="461"/>
      <c r="X349" s="461"/>
      <c r="Y349" s="461"/>
    </row>
    <row r="350" spans="1:25" ht="20.25" x14ac:dyDescent="0.4">
      <c r="A350" s="461"/>
      <c r="B350" s="461"/>
      <c r="C350" s="461"/>
      <c r="D350" s="461"/>
      <c r="E350" s="461"/>
      <c r="F350" s="461"/>
      <c r="G350" s="461"/>
      <c r="H350" s="461"/>
      <c r="I350" s="463"/>
      <c r="J350" s="463"/>
      <c r="K350" s="461"/>
      <c r="L350" s="461"/>
      <c r="M350" s="461"/>
      <c r="N350" s="461"/>
      <c r="O350" s="461"/>
      <c r="P350" s="461"/>
      <c r="Q350" s="461"/>
      <c r="R350" s="461"/>
      <c r="S350" s="461"/>
      <c r="T350" s="461"/>
      <c r="U350" s="461"/>
      <c r="V350" s="461"/>
      <c r="W350" s="461"/>
      <c r="X350" s="461"/>
      <c r="Y350" s="461"/>
    </row>
    <row r="351" spans="1:25" ht="20.25" x14ac:dyDescent="0.4">
      <c r="A351" s="461"/>
      <c r="B351" s="461"/>
      <c r="C351" s="461"/>
      <c r="D351" s="461"/>
      <c r="E351" s="461"/>
      <c r="F351" s="461"/>
      <c r="G351" s="461"/>
      <c r="H351" s="461"/>
      <c r="I351" s="463"/>
      <c r="J351" s="463"/>
      <c r="K351" s="461"/>
      <c r="L351" s="461"/>
      <c r="M351" s="461"/>
      <c r="N351" s="461"/>
      <c r="O351" s="461"/>
      <c r="P351" s="461"/>
      <c r="Q351" s="461"/>
      <c r="R351" s="461"/>
      <c r="S351" s="461"/>
      <c r="T351" s="461"/>
      <c r="U351" s="461"/>
      <c r="V351" s="461"/>
      <c r="W351" s="461"/>
      <c r="X351" s="461"/>
      <c r="Y351" s="461"/>
    </row>
    <row r="352" spans="1:25" ht="20.25" x14ac:dyDescent="0.4">
      <c r="A352" s="461"/>
      <c r="B352" s="461"/>
      <c r="C352" s="461"/>
      <c r="D352" s="461"/>
      <c r="E352" s="461"/>
      <c r="F352" s="461"/>
      <c r="G352" s="461"/>
      <c r="H352" s="461"/>
      <c r="I352" s="463"/>
      <c r="J352" s="463"/>
      <c r="K352" s="461"/>
      <c r="L352" s="461"/>
      <c r="M352" s="461"/>
      <c r="N352" s="461"/>
      <c r="O352" s="461"/>
      <c r="P352" s="461"/>
      <c r="Q352" s="461"/>
      <c r="R352" s="461"/>
      <c r="S352" s="461"/>
      <c r="T352" s="461"/>
      <c r="U352" s="461"/>
      <c r="V352" s="461"/>
      <c r="W352" s="461"/>
      <c r="X352" s="461"/>
      <c r="Y352" s="461"/>
    </row>
    <row r="353" spans="1:25" ht="20.25" x14ac:dyDescent="0.4">
      <c r="A353" s="461"/>
      <c r="B353" s="461"/>
      <c r="C353" s="461"/>
      <c r="D353" s="461"/>
      <c r="E353" s="461"/>
      <c r="F353" s="461"/>
      <c r="G353" s="461"/>
      <c r="H353" s="461"/>
      <c r="I353" s="463"/>
      <c r="J353" s="463"/>
      <c r="K353" s="461"/>
      <c r="L353" s="461"/>
      <c r="M353" s="461"/>
      <c r="N353" s="461"/>
      <c r="O353" s="461"/>
      <c r="P353" s="461"/>
      <c r="Q353" s="461"/>
      <c r="R353" s="461"/>
      <c r="S353" s="461"/>
      <c r="T353" s="461"/>
      <c r="U353" s="461"/>
      <c r="V353" s="461"/>
      <c r="W353" s="461"/>
      <c r="X353" s="461"/>
      <c r="Y353" s="461"/>
    </row>
    <row r="354" spans="1:25" ht="20.25" x14ac:dyDescent="0.4">
      <c r="A354" s="461"/>
      <c r="B354" s="461"/>
      <c r="C354" s="461"/>
      <c r="D354" s="461"/>
      <c r="E354" s="461"/>
      <c r="F354" s="461"/>
      <c r="G354" s="461"/>
      <c r="H354" s="461"/>
      <c r="I354" s="463"/>
      <c r="J354" s="463"/>
      <c r="K354" s="461"/>
      <c r="L354" s="461"/>
      <c r="M354" s="461"/>
      <c r="N354" s="461"/>
      <c r="O354" s="461"/>
      <c r="P354" s="461"/>
      <c r="Q354" s="461"/>
      <c r="R354" s="461"/>
      <c r="S354" s="461"/>
      <c r="T354" s="461"/>
      <c r="U354" s="461"/>
      <c r="V354" s="461"/>
      <c r="W354" s="461"/>
      <c r="X354" s="461"/>
      <c r="Y354" s="461"/>
    </row>
    <row r="355" spans="1:25" ht="20.25" x14ac:dyDescent="0.4">
      <c r="A355" s="461"/>
      <c r="B355" s="461"/>
      <c r="C355" s="461"/>
      <c r="D355" s="461"/>
      <c r="E355" s="461"/>
      <c r="F355" s="461"/>
      <c r="G355" s="461"/>
      <c r="H355" s="461"/>
      <c r="I355" s="463"/>
      <c r="J355" s="463"/>
      <c r="K355" s="461"/>
      <c r="L355" s="461"/>
      <c r="M355" s="461"/>
      <c r="N355" s="461"/>
      <c r="O355" s="461"/>
      <c r="P355" s="461"/>
      <c r="Q355" s="461"/>
      <c r="R355" s="461"/>
      <c r="S355" s="461"/>
      <c r="T355" s="461"/>
      <c r="U355" s="461"/>
      <c r="V355" s="461"/>
      <c r="W355" s="461"/>
      <c r="X355" s="461"/>
      <c r="Y355" s="461"/>
    </row>
    <row r="356" spans="1:25" ht="20.25" x14ac:dyDescent="0.4">
      <c r="A356" s="461"/>
      <c r="B356" s="461"/>
      <c r="C356" s="461"/>
      <c r="D356" s="461"/>
      <c r="E356" s="461"/>
      <c r="F356" s="461"/>
      <c r="G356" s="461"/>
      <c r="H356" s="461"/>
      <c r="I356" s="463"/>
      <c r="J356" s="463"/>
      <c r="K356" s="461"/>
      <c r="L356" s="461"/>
      <c r="M356" s="461"/>
      <c r="N356" s="461"/>
      <c r="O356" s="461"/>
      <c r="P356" s="461"/>
      <c r="Q356" s="461"/>
      <c r="R356" s="461"/>
      <c r="S356" s="461"/>
      <c r="T356" s="461"/>
      <c r="U356" s="461"/>
      <c r="V356" s="461"/>
      <c r="W356" s="461"/>
      <c r="X356" s="461"/>
      <c r="Y356" s="461"/>
    </row>
    <row r="357" spans="1:25" ht="20.25" x14ac:dyDescent="0.4">
      <c r="A357" s="461"/>
      <c r="B357" s="461"/>
      <c r="C357" s="461"/>
      <c r="D357" s="461"/>
      <c r="E357" s="461"/>
      <c r="F357" s="461"/>
      <c r="G357" s="461"/>
      <c r="H357" s="461"/>
      <c r="I357" s="463"/>
      <c r="J357" s="463"/>
      <c r="K357" s="461"/>
      <c r="L357" s="461"/>
      <c r="M357" s="461"/>
      <c r="N357" s="461"/>
      <c r="O357" s="461"/>
      <c r="P357" s="461"/>
      <c r="Q357" s="461"/>
      <c r="R357" s="461"/>
      <c r="S357" s="461"/>
      <c r="T357" s="461"/>
      <c r="U357" s="461"/>
      <c r="V357" s="461"/>
      <c r="W357" s="461"/>
      <c r="X357" s="461"/>
      <c r="Y357" s="461"/>
    </row>
    <row r="358" spans="1:25" ht="20.25" x14ac:dyDescent="0.4">
      <c r="A358" s="461"/>
      <c r="B358" s="461"/>
      <c r="C358" s="461"/>
      <c r="D358" s="461"/>
      <c r="E358" s="461"/>
      <c r="F358" s="461"/>
      <c r="G358" s="461"/>
      <c r="H358" s="461"/>
      <c r="I358" s="463"/>
      <c r="J358" s="463"/>
      <c r="K358" s="461"/>
      <c r="L358" s="461"/>
      <c r="M358" s="461"/>
      <c r="N358" s="461"/>
      <c r="O358" s="461"/>
      <c r="P358" s="461"/>
      <c r="Q358" s="461"/>
      <c r="R358" s="461"/>
      <c r="S358" s="461"/>
      <c r="T358" s="461"/>
      <c r="U358" s="461"/>
      <c r="V358" s="461"/>
      <c r="W358" s="461"/>
      <c r="X358" s="461"/>
      <c r="Y358" s="461"/>
    </row>
    <row r="359" spans="1:25" ht="20.25" x14ac:dyDescent="0.4">
      <c r="A359" s="461"/>
      <c r="B359" s="461"/>
      <c r="C359" s="461"/>
      <c r="D359" s="461"/>
      <c r="E359" s="461"/>
      <c r="F359" s="461"/>
      <c r="G359" s="461"/>
      <c r="H359" s="461"/>
      <c r="I359" s="463"/>
      <c r="J359" s="463"/>
      <c r="K359" s="461"/>
      <c r="L359" s="461"/>
      <c r="M359" s="461"/>
      <c r="N359" s="461"/>
      <c r="O359" s="461"/>
      <c r="P359" s="461"/>
      <c r="Q359" s="461"/>
      <c r="R359" s="461"/>
      <c r="S359" s="461"/>
      <c r="T359" s="461"/>
      <c r="U359" s="461"/>
      <c r="V359" s="461"/>
      <c r="W359" s="461"/>
      <c r="X359" s="461"/>
      <c r="Y359" s="461"/>
    </row>
    <row r="360" spans="1:25" ht="20.25" x14ac:dyDescent="0.4">
      <c r="A360" s="461"/>
      <c r="B360" s="461"/>
      <c r="C360" s="461"/>
      <c r="D360" s="461"/>
      <c r="E360" s="461"/>
      <c r="F360" s="461"/>
      <c r="G360" s="461"/>
      <c r="H360" s="461"/>
      <c r="I360" s="463"/>
      <c r="J360" s="463"/>
      <c r="K360" s="461"/>
      <c r="L360" s="461"/>
      <c r="M360" s="461"/>
      <c r="N360" s="461"/>
      <c r="O360" s="461"/>
      <c r="P360" s="461"/>
      <c r="Q360" s="461"/>
      <c r="R360" s="461"/>
      <c r="S360" s="461"/>
      <c r="T360" s="461"/>
      <c r="U360" s="461"/>
      <c r="V360" s="461"/>
      <c r="W360" s="461"/>
      <c r="X360" s="461"/>
      <c r="Y360" s="461"/>
    </row>
    <row r="361" spans="1:25" ht="20.25" x14ac:dyDescent="0.4">
      <c r="A361" s="461"/>
      <c r="B361" s="461"/>
      <c r="C361" s="461"/>
      <c r="D361" s="461"/>
      <c r="E361" s="461"/>
      <c r="F361" s="461"/>
      <c r="G361" s="461"/>
      <c r="H361" s="461"/>
      <c r="I361" s="463"/>
      <c r="J361" s="463"/>
      <c r="K361" s="461"/>
      <c r="L361" s="461"/>
      <c r="M361" s="461"/>
      <c r="N361" s="461"/>
      <c r="O361" s="461"/>
      <c r="P361" s="461"/>
      <c r="Q361" s="461"/>
      <c r="R361" s="461"/>
      <c r="S361" s="461"/>
      <c r="T361" s="461"/>
      <c r="U361" s="461"/>
      <c r="V361" s="461"/>
      <c r="W361" s="461"/>
      <c r="X361" s="461"/>
      <c r="Y361" s="461"/>
    </row>
    <row r="362" spans="1:25" ht="20.25" x14ac:dyDescent="0.4">
      <c r="A362" s="461"/>
      <c r="B362" s="461"/>
      <c r="C362" s="461"/>
      <c r="D362" s="461"/>
      <c r="E362" s="461"/>
      <c r="F362" s="461"/>
      <c r="G362" s="461"/>
      <c r="H362" s="461"/>
      <c r="I362" s="463"/>
      <c r="J362" s="463"/>
      <c r="K362" s="461"/>
      <c r="L362" s="461"/>
      <c r="M362" s="461"/>
      <c r="N362" s="461"/>
      <c r="O362" s="461"/>
      <c r="P362" s="461"/>
      <c r="Q362" s="461"/>
      <c r="R362" s="461"/>
      <c r="S362" s="461"/>
      <c r="T362" s="461"/>
      <c r="U362" s="461"/>
      <c r="V362" s="461"/>
      <c r="W362" s="461"/>
      <c r="X362" s="461"/>
      <c r="Y362" s="461"/>
    </row>
    <row r="363" spans="1:25" ht="20.25" x14ac:dyDescent="0.4">
      <c r="A363" s="461"/>
      <c r="B363" s="461"/>
      <c r="C363" s="461"/>
      <c r="D363" s="461"/>
      <c r="E363" s="461"/>
      <c r="F363" s="461"/>
      <c r="G363" s="461"/>
      <c r="H363" s="461"/>
      <c r="I363" s="463"/>
      <c r="J363" s="463"/>
      <c r="K363" s="461"/>
      <c r="L363" s="461"/>
      <c r="M363" s="461"/>
      <c r="N363" s="461"/>
      <c r="O363" s="461"/>
      <c r="P363" s="461"/>
      <c r="Q363" s="461"/>
      <c r="R363" s="461"/>
      <c r="S363" s="461"/>
      <c r="T363" s="461"/>
      <c r="U363" s="461"/>
      <c r="V363" s="461"/>
      <c r="W363" s="461"/>
      <c r="X363" s="461"/>
      <c r="Y363" s="461"/>
    </row>
    <row r="364" spans="1:25" ht="20.25" x14ac:dyDescent="0.4">
      <c r="A364" s="461"/>
      <c r="B364" s="461"/>
      <c r="C364" s="461"/>
      <c r="D364" s="461"/>
      <c r="E364" s="461"/>
      <c r="F364" s="461"/>
      <c r="G364" s="461"/>
      <c r="H364" s="461"/>
      <c r="I364" s="463"/>
      <c r="J364" s="463"/>
      <c r="K364" s="461"/>
      <c r="L364" s="461"/>
      <c r="M364" s="461"/>
      <c r="N364" s="461"/>
      <c r="O364" s="461"/>
      <c r="P364" s="461"/>
      <c r="Q364" s="461"/>
      <c r="R364" s="461"/>
      <c r="S364" s="461"/>
      <c r="T364" s="461"/>
      <c r="U364" s="461"/>
      <c r="V364" s="461"/>
      <c r="W364" s="461"/>
      <c r="X364" s="461"/>
      <c r="Y364" s="461"/>
    </row>
    <row r="365" spans="1:25" ht="20.25" x14ac:dyDescent="0.4">
      <c r="A365" s="461"/>
      <c r="B365" s="461"/>
      <c r="C365" s="461"/>
      <c r="D365" s="461"/>
      <c r="E365" s="461"/>
      <c r="F365" s="461"/>
      <c r="G365" s="461"/>
      <c r="H365" s="461"/>
      <c r="I365" s="463"/>
      <c r="J365" s="463"/>
      <c r="K365" s="461"/>
      <c r="L365" s="461"/>
      <c r="M365" s="461"/>
      <c r="N365" s="461"/>
      <c r="O365" s="461"/>
      <c r="P365" s="461"/>
      <c r="Q365" s="461"/>
      <c r="R365" s="461"/>
      <c r="S365" s="461"/>
      <c r="T365" s="461"/>
      <c r="U365" s="461"/>
      <c r="V365" s="461"/>
      <c r="W365" s="461"/>
      <c r="X365" s="461"/>
      <c r="Y365" s="461"/>
    </row>
    <row r="366" spans="1:25" ht="20.25" x14ac:dyDescent="0.4">
      <c r="A366" s="461"/>
      <c r="B366" s="461"/>
      <c r="C366" s="461"/>
      <c r="D366" s="461"/>
      <c r="E366" s="461"/>
      <c r="F366" s="461"/>
      <c r="G366" s="461"/>
      <c r="H366" s="461"/>
      <c r="I366" s="463"/>
      <c r="J366" s="463"/>
      <c r="K366" s="461"/>
      <c r="L366" s="461"/>
      <c r="M366" s="461"/>
      <c r="N366" s="461"/>
      <c r="O366" s="461"/>
      <c r="P366" s="461"/>
      <c r="Q366" s="461"/>
      <c r="R366" s="461"/>
      <c r="S366" s="461"/>
      <c r="T366" s="461"/>
      <c r="U366" s="461"/>
      <c r="V366" s="461"/>
      <c r="W366" s="461"/>
      <c r="X366" s="461"/>
      <c r="Y366" s="461"/>
    </row>
    <row r="367" spans="1:25" ht="20.25" x14ac:dyDescent="0.4">
      <c r="A367" s="461"/>
      <c r="B367" s="461"/>
      <c r="C367" s="461"/>
      <c r="D367" s="461"/>
      <c r="E367" s="461"/>
      <c r="F367" s="461"/>
      <c r="G367" s="461"/>
      <c r="H367" s="461"/>
      <c r="I367" s="463"/>
      <c r="J367" s="463"/>
      <c r="K367" s="461"/>
      <c r="L367" s="461"/>
      <c r="M367" s="461"/>
      <c r="N367" s="461"/>
      <c r="O367" s="461"/>
      <c r="P367" s="461"/>
      <c r="Q367" s="461"/>
      <c r="R367" s="461"/>
      <c r="S367" s="461"/>
      <c r="T367" s="461"/>
      <c r="U367" s="461"/>
      <c r="V367" s="461"/>
      <c r="W367" s="461"/>
      <c r="X367" s="461"/>
      <c r="Y367" s="461"/>
    </row>
    <row r="368" spans="1:25" ht="20.25" x14ac:dyDescent="0.4">
      <c r="A368" s="461"/>
      <c r="B368" s="461"/>
      <c r="C368" s="461"/>
      <c r="D368" s="461"/>
      <c r="E368" s="461"/>
      <c r="F368" s="461"/>
      <c r="G368" s="461"/>
      <c r="H368" s="461"/>
      <c r="I368" s="463"/>
      <c r="J368" s="463"/>
      <c r="K368" s="461"/>
      <c r="L368" s="461"/>
      <c r="M368" s="461"/>
      <c r="N368" s="461"/>
      <c r="O368" s="461"/>
      <c r="P368" s="461"/>
      <c r="Q368" s="461"/>
      <c r="R368" s="461"/>
      <c r="S368" s="461"/>
      <c r="T368" s="461"/>
      <c r="U368" s="461"/>
      <c r="V368" s="461"/>
      <c r="W368" s="461"/>
      <c r="X368" s="461"/>
      <c r="Y368" s="461"/>
    </row>
    <row r="369" spans="1:25" ht="20.25" x14ac:dyDescent="0.4">
      <c r="A369" s="461"/>
      <c r="B369" s="461"/>
      <c r="C369" s="461"/>
      <c r="D369" s="461"/>
      <c r="E369" s="461"/>
      <c r="F369" s="461"/>
      <c r="G369" s="461"/>
      <c r="H369" s="461"/>
      <c r="I369" s="463"/>
      <c r="J369" s="463"/>
      <c r="K369" s="461"/>
      <c r="L369" s="461"/>
      <c r="M369" s="461"/>
      <c r="N369" s="461"/>
      <c r="O369" s="461"/>
      <c r="P369" s="461"/>
      <c r="Q369" s="461"/>
      <c r="R369" s="461"/>
      <c r="S369" s="461"/>
      <c r="T369" s="461"/>
      <c r="U369" s="461"/>
      <c r="V369" s="461"/>
      <c r="W369" s="461"/>
      <c r="X369" s="461"/>
      <c r="Y369" s="461"/>
    </row>
    <row r="370" spans="1:25" ht="20.25" x14ac:dyDescent="0.4">
      <c r="A370" s="461"/>
      <c r="B370" s="461"/>
      <c r="C370" s="461"/>
      <c r="D370" s="461"/>
      <c r="E370" s="461"/>
      <c r="F370" s="461"/>
      <c r="G370" s="461"/>
      <c r="H370" s="461"/>
      <c r="I370" s="463"/>
      <c r="J370" s="463"/>
      <c r="K370" s="461"/>
      <c r="L370" s="461"/>
      <c r="M370" s="461"/>
      <c r="N370" s="461"/>
      <c r="O370" s="461"/>
      <c r="P370" s="461"/>
      <c r="Q370" s="461"/>
      <c r="R370" s="461"/>
      <c r="S370" s="461"/>
      <c r="T370" s="461"/>
      <c r="U370" s="461"/>
      <c r="V370" s="461"/>
      <c r="W370" s="461"/>
      <c r="X370" s="461"/>
      <c r="Y370" s="461"/>
    </row>
    <row r="371" spans="1:25" ht="20.25" x14ac:dyDescent="0.4">
      <c r="A371" s="461"/>
      <c r="B371" s="461"/>
      <c r="C371" s="461"/>
      <c r="D371" s="461"/>
      <c r="E371" s="461"/>
      <c r="F371" s="461"/>
      <c r="G371" s="461"/>
      <c r="H371" s="461"/>
      <c r="I371" s="463"/>
      <c r="J371" s="463"/>
      <c r="K371" s="461"/>
      <c r="L371" s="461"/>
      <c r="M371" s="461"/>
      <c r="N371" s="461"/>
      <c r="O371" s="461"/>
      <c r="P371" s="461"/>
      <c r="Q371" s="461"/>
      <c r="R371" s="461"/>
      <c r="S371" s="461"/>
      <c r="T371" s="461"/>
      <c r="U371" s="461"/>
      <c r="V371" s="461"/>
      <c r="W371" s="461"/>
      <c r="X371" s="461"/>
      <c r="Y371" s="461"/>
    </row>
    <row r="372" spans="1:25" ht="20.25" x14ac:dyDescent="0.4">
      <c r="A372" s="461"/>
      <c r="B372" s="461"/>
      <c r="C372" s="461"/>
      <c r="D372" s="461"/>
      <c r="E372" s="461"/>
      <c r="F372" s="461"/>
      <c r="G372" s="461"/>
      <c r="H372" s="461"/>
      <c r="I372" s="463"/>
      <c r="J372" s="463"/>
      <c r="K372" s="461"/>
      <c r="L372" s="461"/>
      <c r="M372" s="461"/>
      <c r="N372" s="461"/>
      <c r="O372" s="461"/>
      <c r="P372" s="461"/>
      <c r="Q372" s="461"/>
      <c r="R372" s="461"/>
      <c r="S372" s="461"/>
      <c r="T372" s="461"/>
      <c r="U372" s="461"/>
      <c r="V372" s="461"/>
      <c r="W372" s="461"/>
      <c r="X372" s="461"/>
      <c r="Y372" s="461"/>
    </row>
    <row r="373" spans="1:25" ht="20.25" x14ac:dyDescent="0.4">
      <c r="A373" s="461"/>
      <c r="B373" s="461"/>
      <c r="C373" s="461"/>
      <c r="D373" s="461"/>
      <c r="E373" s="461"/>
      <c r="F373" s="461"/>
      <c r="G373" s="461"/>
      <c r="H373" s="461"/>
      <c r="I373" s="463"/>
      <c r="J373" s="463"/>
      <c r="K373" s="461"/>
      <c r="L373" s="461"/>
      <c r="M373" s="461"/>
      <c r="N373" s="461"/>
      <c r="O373" s="461"/>
      <c r="P373" s="461"/>
      <c r="Q373" s="461"/>
      <c r="R373" s="461"/>
      <c r="S373" s="461"/>
      <c r="T373" s="461"/>
      <c r="U373" s="461"/>
      <c r="V373" s="461"/>
      <c r="W373" s="461"/>
      <c r="X373" s="461"/>
      <c r="Y373" s="461"/>
    </row>
    <row r="374" spans="1:25" ht="20.25" x14ac:dyDescent="0.4">
      <c r="A374" s="461"/>
      <c r="B374" s="461"/>
      <c r="C374" s="461"/>
      <c r="D374" s="461"/>
      <c r="E374" s="461"/>
      <c r="F374" s="461"/>
      <c r="G374" s="461"/>
      <c r="H374" s="461"/>
      <c r="I374" s="463"/>
      <c r="J374" s="463"/>
      <c r="K374" s="461"/>
      <c r="L374" s="461"/>
      <c r="M374" s="461"/>
      <c r="N374" s="461"/>
      <c r="O374" s="461"/>
      <c r="P374" s="461"/>
      <c r="Q374" s="461"/>
      <c r="R374" s="461"/>
      <c r="S374" s="461"/>
      <c r="T374" s="461"/>
      <c r="U374" s="461"/>
      <c r="V374" s="461"/>
      <c r="W374" s="461"/>
      <c r="X374" s="461"/>
      <c r="Y374" s="461"/>
    </row>
    <row r="375" spans="1:25" ht="20.25" x14ac:dyDescent="0.4">
      <c r="A375" s="461"/>
      <c r="B375" s="461"/>
      <c r="C375" s="461"/>
      <c r="D375" s="461"/>
      <c r="E375" s="461"/>
      <c r="F375" s="461"/>
      <c r="G375" s="461"/>
      <c r="H375" s="461"/>
      <c r="I375" s="463"/>
      <c r="J375" s="463"/>
      <c r="K375" s="461"/>
      <c r="L375" s="461"/>
      <c r="M375" s="461"/>
      <c r="N375" s="461"/>
      <c r="O375" s="461"/>
      <c r="P375" s="461"/>
      <c r="Q375" s="461"/>
      <c r="R375" s="461"/>
      <c r="S375" s="461"/>
      <c r="T375" s="461"/>
      <c r="U375" s="461"/>
      <c r="V375" s="461"/>
      <c r="W375" s="461"/>
      <c r="X375" s="461"/>
      <c r="Y375" s="461"/>
    </row>
    <row r="376" spans="1:25" ht="20.25" x14ac:dyDescent="0.4">
      <c r="A376" s="461"/>
      <c r="B376" s="461"/>
      <c r="C376" s="461"/>
      <c r="D376" s="461"/>
      <c r="E376" s="461"/>
      <c r="F376" s="461"/>
      <c r="G376" s="461"/>
      <c r="H376" s="461"/>
      <c r="I376" s="463"/>
      <c r="J376" s="463"/>
      <c r="K376" s="461"/>
      <c r="L376" s="461"/>
      <c r="M376" s="461"/>
      <c r="N376" s="461"/>
      <c r="O376" s="461"/>
      <c r="P376" s="461"/>
      <c r="Q376" s="461"/>
      <c r="R376" s="461"/>
      <c r="S376" s="461"/>
      <c r="T376" s="461"/>
      <c r="U376" s="461"/>
      <c r="V376" s="461"/>
      <c r="W376" s="461"/>
      <c r="X376" s="461"/>
      <c r="Y376" s="461"/>
    </row>
    <row r="377" spans="1:25" ht="20.25" x14ac:dyDescent="0.4">
      <c r="A377" s="461"/>
      <c r="B377" s="461"/>
      <c r="C377" s="461"/>
      <c r="D377" s="461"/>
      <c r="E377" s="461"/>
      <c r="F377" s="461"/>
      <c r="G377" s="461"/>
      <c r="H377" s="461"/>
      <c r="I377" s="463"/>
      <c r="J377" s="463"/>
      <c r="K377" s="461"/>
      <c r="L377" s="461"/>
      <c r="M377" s="461"/>
      <c r="N377" s="461"/>
      <c r="O377" s="461"/>
      <c r="P377" s="461"/>
      <c r="Q377" s="461"/>
      <c r="R377" s="461"/>
      <c r="S377" s="461"/>
      <c r="T377" s="461"/>
      <c r="U377" s="461"/>
      <c r="V377" s="461"/>
      <c r="W377" s="461"/>
      <c r="X377" s="461"/>
      <c r="Y377" s="461"/>
    </row>
    <row r="378" spans="1:25" ht="20.25" x14ac:dyDescent="0.4">
      <c r="A378" s="461"/>
      <c r="B378" s="461"/>
      <c r="C378" s="461"/>
      <c r="D378" s="461"/>
      <c r="E378" s="461"/>
      <c r="F378" s="461"/>
      <c r="G378" s="461"/>
      <c r="H378" s="461"/>
      <c r="I378" s="463"/>
      <c r="J378" s="463"/>
      <c r="K378" s="461"/>
      <c r="L378" s="461"/>
      <c r="M378" s="461"/>
      <c r="N378" s="461"/>
      <c r="O378" s="461"/>
      <c r="P378" s="461"/>
      <c r="Q378" s="461"/>
      <c r="R378" s="461"/>
      <c r="S378" s="461"/>
      <c r="T378" s="461"/>
      <c r="U378" s="461"/>
      <c r="V378" s="461"/>
      <c r="W378" s="461"/>
      <c r="X378" s="461"/>
      <c r="Y378" s="461"/>
    </row>
    <row r="379" spans="1:25" ht="20.25" x14ac:dyDescent="0.4">
      <c r="A379" s="461"/>
      <c r="B379" s="461"/>
      <c r="C379" s="461"/>
      <c r="D379" s="461"/>
      <c r="E379" s="461"/>
      <c r="F379" s="461"/>
      <c r="G379" s="461"/>
      <c r="H379" s="461"/>
      <c r="I379" s="463"/>
      <c r="J379" s="463"/>
      <c r="K379" s="461"/>
      <c r="L379" s="461"/>
      <c r="M379" s="461"/>
      <c r="N379" s="461"/>
      <c r="O379" s="461"/>
      <c r="P379" s="461"/>
      <c r="Q379" s="461"/>
      <c r="R379" s="461"/>
      <c r="S379" s="461"/>
      <c r="T379" s="461"/>
      <c r="U379" s="461"/>
      <c r="V379" s="461"/>
      <c r="W379" s="461"/>
      <c r="X379" s="461"/>
      <c r="Y379" s="461"/>
    </row>
    <row r="380" spans="1:25" ht="20.25" x14ac:dyDescent="0.4">
      <c r="A380" s="461"/>
      <c r="B380" s="461"/>
      <c r="C380" s="461"/>
      <c r="D380" s="461"/>
      <c r="E380" s="461"/>
      <c r="F380" s="461"/>
      <c r="G380" s="461"/>
      <c r="H380" s="461"/>
      <c r="I380" s="463"/>
      <c r="J380" s="463"/>
      <c r="K380" s="461"/>
      <c r="L380" s="461"/>
      <c r="M380" s="461"/>
      <c r="N380" s="461"/>
      <c r="O380" s="461"/>
      <c r="P380" s="461"/>
      <c r="Q380" s="461"/>
      <c r="R380" s="461"/>
      <c r="S380" s="461"/>
      <c r="T380" s="461"/>
      <c r="U380" s="461"/>
      <c r="V380" s="461"/>
      <c r="W380" s="461"/>
      <c r="X380" s="461"/>
      <c r="Y380" s="461"/>
    </row>
    <row r="381" spans="1:25" ht="20.25" x14ac:dyDescent="0.4">
      <c r="A381" s="461"/>
      <c r="B381" s="461"/>
      <c r="C381" s="461"/>
      <c r="D381" s="461"/>
      <c r="E381" s="461"/>
      <c r="F381" s="461"/>
      <c r="G381" s="461"/>
      <c r="H381" s="461"/>
      <c r="I381" s="463"/>
      <c r="J381" s="463"/>
      <c r="K381" s="461"/>
      <c r="L381" s="461"/>
      <c r="M381" s="461"/>
      <c r="N381" s="461"/>
      <c r="O381" s="461"/>
      <c r="P381" s="461"/>
      <c r="Q381" s="461"/>
      <c r="R381" s="461"/>
      <c r="S381" s="461"/>
      <c r="T381" s="461"/>
      <c r="U381" s="461"/>
      <c r="V381" s="461"/>
      <c r="W381" s="461"/>
      <c r="X381" s="461"/>
      <c r="Y381" s="461"/>
    </row>
    <row r="382" spans="1:25" ht="20.25" x14ac:dyDescent="0.4">
      <c r="A382" s="461"/>
      <c r="B382" s="461"/>
      <c r="C382" s="461"/>
      <c r="D382" s="461"/>
      <c r="E382" s="461"/>
      <c r="F382" s="461"/>
      <c r="G382" s="461"/>
      <c r="H382" s="461"/>
      <c r="I382" s="463"/>
      <c r="J382" s="463"/>
      <c r="K382" s="461"/>
      <c r="L382" s="461"/>
      <c r="M382" s="461"/>
      <c r="N382" s="461"/>
      <c r="O382" s="461"/>
      <c r="P382" s="461"/>
      <c r="Q382" s="461"/>
      <c r="R382" s="461"/>
      <c r="S382" s="461"/>
      <c r="T382" s="461"/>
      <c r="U382" s="461"/>
      <c r="V382" s="461"/>
      <c r="W382" s="461"/>
      <c r="X382" s="461"/>
      <c r="Y382" s="461"/>
    </row>
    <row r="383" spans="1:25" ht="20.25" x14ac:dyDescent="0.4">
      <c r="A383" s="461"/>
      <c r="B383" s="461"/>
      <c r="C383" s="461"/>
      <c r="D383" s="461"/>
      <c r="E383" s="461"/>
      <c r="F383" s="461"/>
      <c r="G383" s="461"/>
      <c r="H383" s="461"/>
      <c r="I383" s="463"/>
      <c r="J383" s="463"/>
      <c r="K383" s="461"/>
      <c r="L383" s="461"/>
      <c r="M383" s="461"/>
      <c r="N383" s="461"/>
      <c r="O383" s="461"/>
      <c r="P383" s="461"/>
      <c r="Q383" s="461"/>
      <c r="R383" s="461"/>
      <c r="S383" s="461"/>
      <c r="T383" s="461"/>
      <c r="U383" s="461"/>
      <c r="V383" s="461"/>
      <c r="W383" s="461"/>
      <c r="X383" s="461"/>
      <c r="Y383" s="461"/>
    </row>
    <row r="384" spans="1:25" ht="20.25" x14ac:dyDescent="0.4">
      <c r="A384" s="461"/>
      <c r="B384" s="461"/>
      <c r="C384" s="461"/>
      <c r="D384" s="461"/>
      <c r="E384" s="461"/>
      <c r="F384" s="461"/>
      <c r="G384" s="461"/>
      <c r="H384" s="461"/>
      <c r="I384" s="463"/>
      <c r="J384" s="463"/>
      <c r="K384" s="461"/>
      <c r="L384" s="461"/>
      <c r="M384" s="461"/>
      <c r="N384" s="461"/>
      <c r="O384" s="461"/>
      <c r="P384" s="461"/>
      <c r="Q384" s="461"/>
      <c r="R384" s="461"/>
      <c r="S384" s="461"/>
      <c r="T384" s="461"/>
      <c r="U384" s="461"/>
      <c r="V384" s="461"/>
      <c r="W384" s="461"/>
      <c r="X384" s="461"/>
      <c r="Y384" s="461"/>
    </row>
    <row r="385" spans="1:25" ht="20.25" x14ac:dyDescent="0.4">
      <c r="A385" s="461"/>
      <c r="B385" s="461"/>
      <c r="C385" s="461"/>
      <c r="D385" s="461"/>
      <c r="E385" s="461"/>
      <c r="F385" s="461"/>
      <c r="G385" s="461"/>
      <c r="H385" s="461"/>
      <c r="I385" s="463"/>
      <c r="J385" s="463"/>
      <c r="K385" s="461"/>
      <c r="L385" s="461"/>
      <c r="M385" s="461"/>
      <c r="N385" s="461"/>
      <c r="O385" s="461"/>
      <c r="P385" s="461"/>
      <c r="Q385" s="461"/>
      <c r="R385" s="461"/>
      <c r="S385" s="461"/>
      <c r="T385" s="461"/>
      <c r="U385" s="461"/>
      <c r="V385" s="461"/>
      <c r="W385" s="461"/>
      <c r="X385" s="461"/>
      <c r="Y385" s="461"/>
    </row>
    <row r="386" spans="1:25" ht="20.25" x14ac:dyDescent="0.4">
      <c r="A386" s="461"/>
      <c r="B386" s="461"/>
      <c r="C386" s="461"/>
      <c r="D386" s="461"/>
      <c r="E386" s="461"/>
      <c r="F386" s="461"/>
      <c r="G386" s="461"/>
      <c r="H386" s="461"/>
      <c r="I386" s="463"/>
      <c r="J386" s="463"/>
      <c r="K386" s="461"/>
      <c r="L386" s="461"/>
      <c r="M386" s="461"/>
      <c r="N386" s="461"/>
      <c r="O386" s="461"/>
      <c r="P386" s="461"/>
      <c r="Q386" s="461"/>
      <c r="R386" s="461"/>
      <c r="S386" s="461"/>
      <c r="T386" s="461"/>
      <c r="U386" s="461"/>
      <c r="V386" s="461"/>
      <c r="W386" s="461"/>
      <c r="X386" s="461"/>
      <c r="Y386" s="461"/>
    </row>
    <row r="387" spans="1:25" ht="20.25" x14ac:dyDescent="0.4">
      <c r="A387" s="461"/>
      <c r="B387" s="461"/>
      <c r="C387" s="461"/>
      <c r="D387" s="461"/>
      <c r="E387" s="461"/>
      <c r="F387" s="461"/>
      <c r="G387" s="461"/>
      <c r="H387" s="461"/>
      <c r="I387" s="463"/>
      <c r="J387" s="463"/>
      <c r="K387" s="461"/>
      <c r="L387" s="461"/>
      <c r="M387" s="461"/>
      <c r="N387" s="461"/>
      <c r="O387" s="461"/>
      <c r="P387" s="461"/>
      <c r="Q387" s="461"/>
      <c r="R387" s="461"/>
      <c r="S387" s="461"/>
      <c r="T387" s="461"/>
      <c r="U387" s="461"/>
      <c r="V387" s="461"/>
      <c r="W387" s="461"/>
      <c r="X387" s="461"/>
      <c r="Y387" s="461"/>
    </row>
    <row r="388" spans="1:25" ht="20.25" x14ac:dyDescent="0.4">
      <c r="A388" s="461"/>
      <c r="B388" s="461"/>
      <c r="C388" s="461"/>
      <c r="D388" s="461"/>
      <c r="E388" s="461"/>
      <c r="F388" s="461"/>
      <c r="G388" s="461"/>
      <c r="H388" s="461"/>
      <c r="I388" s="463"/>
      <c r="J388" s="463"/>
      <c r="K388" s="461"/>
      <c r="L388" s="461"/>
      <c r="M388" s="461"/>
      <c r="N388" s="461"/>
      <c r="O388" s="461"/>
      <c r="P388" s="461"/>
      <c r="Q388" s="461"/>
      <c r="R388" s="461"/>
      <c r="S388" s="461"/>
      <c r="T388" s="461"/>
      <c r="U388" s="461"/>
      <c r="V388" s="461"/>
      <c r="W388" s="461"/>
      <c r="X388" s="461"/>
      <c r="Y388" s="461"/>
    </row>
    <row r="389" spans="1:25" ht="20.25" x14ac:dyDescent="0.4">
      <c r="A389" s="461"/>
      <c r="B389" s="461"/>
      <c r="C389" s="461"/>
      <c r="D389" s="461"/>
      <c r="E389" s="461"/>
      <c r="F389" s="461"/>
      <c r="G389" s="461"/>
      <c r="H389" s="461"/>
      <c r="I389" s="463"/>
      <c r="J389" s="463"/>
      <c r="K389" s="461"/>
      <c r="L389" s="461"/>
      <c r="M389" s="461"/>
      <c r="N389" s="461"/>
      <c r="O389" s="461"/>
      <c r="P389" s="461"/>
      <c r="Q389" s="461"/>
      <c r="R389" s="461"/>
      <c r="S389" s="461"/>
      <c r="T389" s="461"/>
      <c r="U389" s="461"/>
      <c r="V389" s="461"/>
      <c r="W389" s="461"/>
      <c r="X389" s="461"/>
      <c r="Y389" s="461"/>
    </row>
    <row r="390" spans="1:25" ht="20.25" x14ac:dyDescent="0.4">
      <c r="A390" s="461"/>
      <c r="B390" s="461"/>
      <c r="C390" s="461"/>
      <c r="D390" s="461"/>
      <c r="E390" s="461"/>
      <c r="F390" s="461"/>
      <c r="G390" s="461"/>
      <c r="H390" s="461"/>
      <c r="I390" s="463"/>
      <c r="J390" s="463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</row>
    <row r="391" spans="1:25" ht="20.25" x14ac:dyDescent="0.4">
      <c r="A391" s="461"/>
      <c r="B391" s="461"/>
      <c r="C391" s="461"/>
      <c r="D391" s="461"/>
      <c r="E391" s="461"/>
      <c r="F391" s="461"/>
      <c r="G391" s="461"/>
      <c r="H391" s="461"/>
      <c r="I391" s="463"/>
      <c r="J391" s="463"/>
      <c r="K391" s="461"/>
      <c r="L391" s="461"/>
      <c r="M391" s="461"/>
      <c r="N391" s="461"/>
      <c r="O391" s="461"/>
      <c r="P391" s="461"/>
      <c r="Q391" s="461"/>
      <c r="R391" s="461"/>
      <c r="S391" s="461"/>
      <c r="T391" s="461"/>
      <c r="U391" s="461"/>
      <c r="V391" s="461"/>
      <c r="W391" s="461"/>
      <c r="X391" s="461"/>
      <c r="Y391" s="461"/>
    </row>
    <row r="392" spans="1:25" ht="20.25" x14ac:dyDescent="0.4">
      <c r="A392" s="461"/>
      <c r="B392" s="461"/>
      <c r="C392" s="461"/>
      <c r="D392" s="461"/>
      <c r="E392" s="461"/>
      <c r="F392" s="461"/>
      <c r="G392" s="461"/>
      <c r="H392" s="461"/>
      <c r="I392" s="463"/>
      <c r="J392" s="463"/>
      <c r="K392" s="461"/>
      <c r="L392" s="461"/>
      <c r="M392" s="461"/>
      <c r="N392" s="461"/>
      <c r="O392" s="461"/>
      <c r="P392" s="461"/>
      <c r="Q392" s="461"/>
      <c r="R392" s="461"/>
      <c r="S392" s="461"/>
      <c r="T392" s="461"/>
      <c r="U392" s="461"/>
      <c r="V392" s="461"/>
      <c r="W392" s="461"/>
      <c r="X392" s="461"/>
      <c r="Y392" s="461"/>
    </row>
    <row r="393" spans="1:25" ht="20.25" x14ac:dyDescent="0.4">
      <c r="A393" s="461"/>
      <c r="B393" s="461"/>
      <c r="C393" s="461"/>
      <c r="D393" s="461"/>
      <c r="E393" s="461"/>
      <c r="F393" s="461"/>
      <c r="G393" s="461"/>
      <c r="H393" s="461"/>
      <c r="I393" s="463"/>
      <c r="J393" s="463"/>
      <c r="K393" s="461"/>
      <c r="L393" s="461"/>
      <c r="M393" s="461"/>
      <c r="N393" s="461"/>
      <c r="O393" s="461"/>
      <c r="P393" s="461"/>
      <c r="Q393" s="461"/>
      <c r="R393" s="461"/>
      <c r="S393" s="461"/>
      <c r="T393" s="461"/>
      <c r="U393" s="461"/>
      <c r="V393" s="461"/>
      <c r="W393" s="461"/>
      <c r="X393" s="461"/>
      <c r="Y393" s="461"/>
    </row>
    <row r="394" spans="1:25" ht="20.25" x14ac:dyDescent="0.4">
      <c r="A394" s="461"/>
      <c r="B394" s="461"/>
      <c r="C394" s="461"/>
      <c r="D394" s="461"/>
      <c r="E394" s="461"/>
      <c r="F394" s="461"/>
      <c r="G394" s="461"/>
      <c r="H394" s="461"/>
      <c r="I394" s="463"/>
      <c r="J394" s="463"/>
      <c r="K394" s="461"/>
      <c r="L394" s="461"/>
      <c r="M394" s="461"/>
      <c r="N394" s="461"/>
      <c r="O394" s="461"/>
      <c r="P394" s="461"/>
      <c r="Q394" s="461"/>
      <c r="R394" s="461"/>
      <c r="S394" s="461"/>
      <c r="T394" s="461"/>
      <c r="U394" s="461"/>
      <c r="V394" s="461"/>
      <c r="W394" s="461"/>
      <c r="X394" s="461"/>
      <c r="Y394" s="461"/>
    </row>
    <row r="395" spans="1:25" ht="20.25" x14ac:dyDescent="0.4">
      <c r="A395" s="461"/>
      <c r="B395" s="461"/>
      <c r="C395" s="461"/>
      <c r="D395" s="461"/>
      <c r="E395" s="461"/>
      <c r="F395" s="461"/>
      <c r="G395" s="461"/>
      <c r="H395" s="461"/>
      <c r="I395" s="463"/>
      <c r="J395" s="463"/>
      <c r="K395" s="461"/>
      <c r="L395" s="461"/>
      <c r="M395" s="461"/>
      <c r="N395" s="461"/>
      <c r="O395" s="461"/>
      <c r="P395" s="461"/>
      <c r="Q395" s="461"/>
      <c r="R395" s="461"/>
      <c r="S395" s="461"/>
      <c r="T395" s="461"/>
      <c r="U395" s="461"/>
      <c r="V395" s="461"/>
      <c r="W395" s="461"/>
      <c r="X395" s="461"/>
      <c r="Y395" s="461"/>
    </row>
    <row r="396" spans="1:25" ht="20.25" x14ac:dyDescent="0.4">
      <c r="A396" s="461"/>
      <c r="B396" s="461"/>
      <c r="C396" s="461"/>
      <c r="D396" s="461"/>
      <c r="E396" s="461"/>
      <c r="F396" s="461"/>
      <c r="G396" s="461"/>
      <c r="H396" s="461"/>
      <c r="I396" s="463"/>
      <c r="J396" s="463"/>
      <c r="K396" s="461"/>
      <c r="L396" s="461"/>
      <c r="M396" s="461"/>
      <c r="N396" s="461"/>
      <c r="O396" s="461"/>
      <c r="P396" s="461"/>
      <c r="Q396" s="461"/>
      <c r="R396" s="461"/>
      <c r="S396" s="461"/>
      <c r="T396" s="461"/>
      <c r="U396" s="461"/>
      <c r="V396" s="461"/>
      <c r="W396" s="461"/>
      <c r="X396" s="461"/>
      <c r="Y396" s="461"/>
    </row>
    <row r="397" spans="1:25" ht="20.25" x14ac:dyDescent="0.4">
      <c r="A397" s="461"/>
      <c r="B397" s="461"/>
      <c r="C397" s="461"/>
      <c r="D397" s="461"/>
      <c r="E397" s="461"/>
      <c r="F397" s="461"/>
      <c r="G397" s="461"/>
      <c r="H397" s="461"/>
      <c r="I397" s="463"/>
      <c r="J397" s="463"/>
      <c r="K397" s="461"/>
      <c r="L397" s="461"/>
      <c r="M397" s="461"/>
      <c r="N397" s="461"/>
      <c r="O397" s="461"/>
      <c r="P397" s="461"/>
      <c r="Q397" s="461"/>
      <c r="R397" s="461"/>
      <c r="S397" s="461"/>
      <c r="T397" s="461"/>
      <c r="U397" s="461"/>
      <c r="V397" s="461"/>
      <c r="W397" s="461"/>
      <c r="X397" s="461"/>
      <c r="Y397" s="461"/>
    </row>
    <row r="398" spans="1:25" ht="20.25" x14ac:dyDescent="0.4">
      <c r="A398" s="461"/>
      <c r="B398" s="461"/>
      <c r="C398" s="461"/>
      <c r="D398" s="461"/>
      <c r="E398" s="461"/>
      <c r="F398" s="461"/>
      <c r="G398" s="461"/>
      <c r="H398" s="461"/>
      <c r="I398" s="463"/>
      <c r="J398" s="463"/>
      <c r="K398" s="461"/>
      <c r="L398" s="461"/>
      <c r="M398" s="461"/>
      <c r="N398" s="461"/>
      <c r="O398" s="461"/>
      <c r="P398" s="461"/>
      <c r="Q398" s="461"/>
      <c r="R398" s="461"/>
      <c r="S398" s="461"/>
      <c r="T398" s="461"/>
      <c r="U398" s="461"/>
      <c r="V398" s="461"/>
      <c r="W398" s="461"/>
      <c r="X398" s="461"/>
      <c r="Y398" s="461"/>
    </row>
    <row r="399" spans="1:25" ht="20.25" x14ac:dyDescent="0.4">
      <c r="A399" s="461"/>
      <c r="B399" s="461"/>
      <c r="C399" s="461"/>
      <c r="D399" s="461"/>
      <c r="E399" s="461"/>
      <c r="F399" s="461"/>
      <c r="G399" s="461"/>
      <c r="H399" s="461"/>
      <c r="I399" s="463"/>
      <c r="J399" s="463"/>
      <c r="K399" s="461"/>
      <c r="L399" s="461"/>
      <c r="M399" s="461"/>
      <c r="N399" s="461"/>
      <c r="O399" s="461"/>
      <c r="P399" s="461"/>
      <c r="Q399" s="461"/>
      <c r="R399" s="461"/>
      <c r="S399" s="461"/>
      <c r="T399" s="461"/>
      <c r="U399" s="461"/>
      <c r="V399" s="461"/>
      <c r="W399" s="461"/>
      <c r="X399" s="461"/>
      <c r="Y399" s="461"/>
    </row>
    <row r="400" spans="1:25" ht="20.25" x14ac:dyDescent="0.4">
      <c r="A400" s="461"/>
      <c r="B400" s="461"/>
      <c r="C400" s="461"/>
      <c r="D400" s="461"/>
      <c r="E400" s="461"/>
      <c r="F400" s="461"/>
      <c r="G400" s="461"/>
      <c r="H400" s="461"/>
      <c r="I400" s="463"/>
      <c r="J400" s="463"/>
      <c r="K400" s="461"/>
      <c r="L400" s="461"/>
      <c r="M400" s="461"/>
      <c r="N400" s="461"/>
      <c r="O400" s="461"/>
      <c r="P400" s="461"/>
      <c r="Q400" s="461"/>
      <c r="R400" s="461"/>
      <c r="S400" s="461"/>
      <c r="T400" s="461"/>
      <c r="U400" s="461"/>
      <c r="V400" s="461"/>
      <c r="W400" s="461"/>
      <c r="X400" s="461"/>
      <c r="Y400" s="461"/>
    </row>
    <row r="401" spans="1:25" ht="20.25" x14ac:dyDescent="0.4">
      <c r="A401" s="461"/>
      <c r="B401" s="461"/>
      <c r="C401" s="461"/>
      <c r="D401" s="461"/>
      <c r="E401" s="461"/>
      <c r="F401" s="461"/>
      <c r="G401" s="461"/>
      <c r="H401" s="461"/>
      <c r="I401" s="463"/>
      <c r="J401" s="463"/>
      <c r="K401" s="461"/>
      <c r="L401" s="461"/>
      <c r="M401" s="461"/>
      <c r="N401" s="461"/>
      <c r="O401" s="461"/>
      <c r="P401" s="461"/>
      <c r="Q401" s="461"/>
      <c r="R401" s="461"/>
      <c r="S401" s="461"/>
      <c r="T401" s="461"/>
      <c r="U401" s="461"/>
      <c r="V401" s="461"/>
      <c r="W401" s="461"/>
      <c r="X401" s="461"/>
      <c r="Y401" s="461"/>
    </row>
    <row r="402" spans="1:25" ht="20.25" x14ac:dyDescent="0.4">
      <c r="A402" s="461"/>
      <c r="B402" s="461"/>
      <c r="C402" s="461"/>
      <c r="D402" s="461"/>
      <c r="E402" s="461"/>
      <c r="F402" s="461"/>
      <c r="G402" s="461"/>
      <c r="H402" s="461"/>
      <c r="I402" s="463"/>
      <c r="J402" s="463"/>
      <c r="K402" s="461"/>
      <c r="L402" s="461"/>
      <c r="M402" s="461"/>
      <c r="N402" s="461"/>
      <c r="O402" s="461"/>
      <c r="P402" s="461"/>
      <c r="Q402" s="461"/>
      <c r="R402" s="461"/>
      <c r="S402" s="461"/>
      <c r="T402" s="461"/>
      <c r="U402" s="461"/>
      <c r="V402" s="461"/>
      <c r="W402" s="461"/>
      <c r="X402" s="461"/>
      <c r="Y402" s="461"/>
    </row>
    <row r="403" spans="1:25" ht="20.25" x14ac:dyDescent="0.4">
      <c r="A403" s="461"/>
      <c r="B403" s="461"/>
      <c r="C403" s="461"/>
      <c r="D403" s="461"/>
      <c r="E403" s="461"/>
      <c r="F403" s="461"/>
      <c r="G403" s="461"/>
      <c r="H403" s="461"/>
      <c r="I403" s="463"/>
      <c r="J403" s="463"/>
      <c r="K403" s="461"/>
      <c r="L403" s="461"/>
      <c r="M403" s="461"/>
      <c r="N403" s="461"/>
      <c r="O403" s="461"/>
      <c r="P403" s="461"/>
      <c r="Q403" s="461"/>
      <c r="R403" s="461"/>
      <c r="S403" s="461"/>
      <c r="T403" s="461"/>
      <c r="U403" s="461"/>
      <c r="V403" s="461"/>
      <c r="W403" s="461"/>
      <c r="X403" s="461"/>
      <c r="Y403" s="461"/>
    </row>
    <row r="404" spans="1:25" ht="20.25" x14ac:dyDescent="0.4">
      <c r="A404" s="461"/>
      <c r="B404" s="461"/>
      <c r="C404" s="461"/>
      <c r="D404" s="461"/>
      <c r="E404" s="461"/>
      <c r="F404" s="461"/>
      <c r="G404" s="461"/>
      <c r="H404" s="461"/>
      <c r="I404" s="463"/>
      <c r="J404" s="463"/>
      <c r="K404" s="461"/>
      <c r="L404" s="461"/>
      <c r="M404" s="461"/>
      <c r="N404" s="461"/>
      <c r="O404" s="461"/>
      <c r="P404" s="461"/>
      <c r="Q404" s="461"/>
      <c r="R404" s="461"/>
      <c r="S404" s="461"/>
      <c r="T404" s="461"/>
      <c r="U404" s="461"/>
      <c r="V404" s="461"/>
      <c r="W404" s="461"/>
      <c r="X404" s="461"/>
      <c r="Y404" s="461"/>
    </row>
    <row r="405" spans="1:25" ht="20.25" x14ac:dyDescent="0.4">
      <c r="A405" s="461"/>
      <c r="B405" s="461"/>
      <c r="C405" s="461"/>
      <c r="D405" s="461"/>
      <c r="E405" s="461"/>
      <c r="F405" s="461"/>
      <c r="G405" s="461"/>
      <c r="H405" s="461"/>
      <c r="I405" s="463"/>
      <c r="J405" s="463"/>
      <c r="K405" s="461"/>
      <c r="L405" s="461"/>
      <c r="M405" s="461"/>
      <c r="N405" s="461"/>
      <c r="O405" s="461"/>
      <c r="P405" s="461"/>
      <c r="Q405" s="461"/>
      <c r="R405" s="461"/>
      <c r="S405" s="461"/>
      <c r="T405" s="461"/>
      <c r="U405" s="461"/>
      <c r="V405" s="461"/>
      <c r="W405" s="461"/>
      <c r="X405" s="461"/>
      <c r="Y405" s="461"/>
    </row>
    <row r="406" spans="1:25" ht="20.25" x14ac:dyDescent="0.4">
      <c r="A406" s="461"/>
      <c r="B406" s="461"/>
      <c r="C406" s="461"/>
      <c r="D406" s="461"/>
      <c r="E406" s="461"/>
      <c r="F406" s="461"/>
      <c r="G406" s="461"/>
      <c r="H406" s="461"/>
      <c r="I406" s="463"/>
      <c r="J406" s="463"/>
      <c r="K406" s="461"/>
      <c r="L406" s="461"/>
      <c r="M406" s="461"/>
      <c r="N406" s="461"/>
      <c r="O406" s="461"/>
      <c r="P406" s="461"/>
      <c r="Q406" s="461"/>
      <c r="R406" s="461"/>
      <c r="S406" s="461"/>
      <c r="T406" s="461"/>
      <c r="U406" s="461"/>
      <c r="V406" s="461"/>
      <c r="W406" s="461"/>
      <c r="X406" s="461"/>
      <c r="Y406" s="461"/>
    </row>
    <row r="407" spans="1:25" ht="20.25" x14ac:dyDescent="0.4">
      <c r="A407" s="461"/>
      <c r="B407" s="461"/>
      <c r="C407" s="461"/>
      <c r="D407" s="461"/>
      <c r="E407" s="461"/>
      <c r="F407" s="461"/>
      <c r="G407" s="461"/>
      <c r="H407" s="461"/>
      <c r="I407" s="463"/>
      <c r="J407" s="463"/>
      <c r="K407" s="461"/>
      <c r="L407" s="461"/>
      <c r="M407" s="461"/>
      <c r="N407" s="461"/>
      <c r="O407" s="461"/>
      <c r="P407" s="461"/>
      <c r="Q407" s="461"/>
      <c r="R407" s="461"/>
      <c r="S407" s="461"/>
      <c r="T407" s="461"/>
      <c r="U407" s="461"/>
      <c r="V407" s="461"/>
      <c r="W407" s="461"/>
      <c r="X407" s="461"/>
      <c r="Y407" s="461"/>
    </row>
    <row r="408" spans="1:25" ht="20.25" x14ac:dyDescent="0.4">
      <c r="A408" s="461"/>
      <c r="B408" s="461"/>
      <c r="C408" s="461"/>
      <c r="D408" s="461"/>
      <c r="E408" s="461"/>
      <c r="F408" s="461"/>
      <c r="G408" s="461"/>
      <c r="H408" s="461"/>
      <c r="I408" s="463"/>
      <c r="J408" s="463"/>
      <c r="K408" s="461"/>
      <c r="L408" s="461"/>
      <c r="M408" s="461"/>
      <c r="N408" s="461"/>
      <c r="O408" s="461"/>
      <c r="P408" s="461"/>
      <c r="Q408" s="461"/>
      <c r="R408" s="461"/>
      <c r="S408" s="461"/>
      <c r="T408" s="461"/>
      <c r="U408" s="461"/>
      <c r="V408" s="461"/>
      <c r="W408" s="461"/>
      <c r="X408" s="461"/>
      <c r="Y408" s="461"/>
    </row>
    <row r="409" spans="1:25" ht="20.25" x14ac:dyDescent="0.4">
      <c r="A409" s="461"/>
      <c r="B409" s="461"/>
      <c r="C409" s="461"/>
      <c r="D409" s="461"/>
      <c r="E409" s="461"/>
      <c r="F409" s="461"/>
      <c r="G409" s="461"/>
      <c r="H409" s="461"/>
      <c r="I409" s="463"/>
      <c r="J409" s="463"/>
      <c r="K409" s="461"/>
      <c r="L409" s="461"/>
      <c r="M409" s="461"/>
      <c r="N409" s="461"/>
      <c r="O409" s="461"/>
      <c r="P409" s="461"/>
      <c r="Q409" s="461"/>
      <c r="R409" s="461"/>
      <c r="S409" s="461"/>
      <c r="T409" s="461"/>
      <c r="U409" s="461"/>
      <c r="V409" s="461"/>
      <c r="W409" s="461"/>
      <c r="X409" s="461"/>
      <c r="Y409" s="461"/>
    </row>
    <row r="410" spans="1:25" ht="20.25" x14ac:dyDescent="0.4">
      <c r="A410" s="461"/>
      <c r="B410" s="461"/>
      <c r="C410" s="461"/>
      <c r="D410" s="461"/>
      <c r="E410" s="461"/>
      <c r="F410" s="461"/>
      <c r="G410" s="461"/>
      <c r="H410" s="461"/>
      <c r="I410" s="463"/>
      <c r="J410" s="463"/>
      <c r="K410" s="461"/>
      <c r="L410" s="461"/>
      <c r="M410" s="461"/>
      <c r="N410" s="461"/>
      <c r="O410" s="461"/>
      <c r="P410" s="461"/>
      <c r="Q410" s="461"/>
      <c r="R410" s="461"/>
      <c r="S410" s="461"/>
      <c r="T410" s="461"/>
      <c r="U410" s="461"/>
      <c r="V410" s="461"/>
      <c r="W410" s="461"/>
      <c r="X410" s="461"/>
      <c r="Y410" s="461"/>
    </row>
    <row r="411" spans="1:25" ht="20.25" x14ac:dyDescent="0.4">
      <c r="A411" s="461"/>
      <c r="B411" s="461"/>
      <c r="C411" s="461"/>
      <c r="D411" s="461"/>
      <c r="E411" s="461"/>
      <c r="F411" s="461"/>
      <c r="G411" s="461"/>
      <c r="H411" s="461"/>
      <c r="I411" s="463"/>
      <c r="J411" s="463"/>
      <c r="K411" s="461"/>
      <c r="L411" s="461"/>
      <c r="M411" s="461"/>
      <c r="N411" s="461"/>
      <c r="O411" s="461"/>
      <c r="P411" s="461"/>
      <c r="Q411" s="461"/>
      <c r="R411" s="461"/>
      <c r="S411" s="461"/>
      <c r="T411" s="461"/>
      <c r="U411" s="461"/>
      <c r="V411" s="461"/>
      <c r="W411" s="461"/>
      <c r="X411" s="461"/>
      <c r="Y411" s="461"/>
    </row>
    <row r="412" spans="1:25" ht="20.25" x14ac:dyDescent="0.4">
      <c r="A412" s="461"/>
      <c r="B412" s="461"/>
      <c r="C412" s="461"/>
      <c r="D412" s="461"/>
      <c r="E412" s="461"/>
      <c r="F412" s="461"/>
      <c r="G412" s="461"/>
      <c r="H412" s="461"/>
      <c r="I412" s="463"/>
      <c r="J412" s="463"/>
      <c r="K412" s="461"/>
      <c r="L412" s="461"/>
      <c r="M412" s="461"/>
      <c r="N412" s="461"/>
      <c r="O412" s="461"/>
      <c r="P412" s="461"/>
      <c r="Q412" s="461"/>
      <c r="R412" s="461"/>
      <c r="S412" s="461"/>
      <c r="T412" s="461"/>
      <c r="U412" s="461"/>
      <c r="V412" s="461"/>
      <c r="W412" s="461"/>
      <c r="X412" s="461"/>
      <c r="Y412" s="461"/>
    </row>
    <row r="413" spans="1:25" ht="20.25" x14ac:dyDescent="0.4">
      <c r="A413" s="461"/>
      <c r="B413" s="461"/>
      <c r="C413" s="461"/>
      <c r="D413" s="461"/>
      <c r="E413" s="461"/>
      <c r="F413" s="461"/>
      <c r="G413" s="461"/>
      <c r="H413" s="461"/>
      <c r="I413" s="463"/>
      <c r="J413" s="463"/>
      <c r="K413" s="461"/>
      <c r="L413" s="461"/>
      <c r="M413" s="461"/>
      <c r="N413" s="461"/>
      <c r="O413" s="461"/>
      <c r="P413" s="461"/>
      <c r="Q413" s="461"/>
      <c r="R413" s="461"/>
      <c r="S413" s="461"/>
      <c r="T413" s="461"/>
      <c r="U413" s="461"/>
      <c r="V413" s="461"/>
      <c r="W413" s="461"/>
      <c r="X413" s="461"/>
      <c r="Y413" s="461"/>
    </row>
    <row r="414" spans="1:25" ht="20.25" x14ac:dyDescent="0.4">
      <c r="A414" s="461"/>
      <c r="B414" s="461"/>
      <c r="C414" s="461"/>
      <c r="D414" s="461"/>
      <c r="E414" s="461"/>
      <c r="F414" s="461"/>
      <c r="G414" s="461"/>
      <c r="H414" s="461"/>
      <c r="I414" s="463"/>
      <c r="J414" s="463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</row>
    <row r="415" spans="1:25" ht="20.25" x14ac:dyDescent="0.4">
      <c r="A415" s="461"/>
      <c r="B415" s="461"/>
      <c r="C415" s="461"/>
      <c r="D415" s="461"/>
      <c r="E415" s="461"/>
      <c r="F415" s="461"/>
      <c r="G415" s="461"/>
      <c r="H415" s="461"/>
      <c r="I415" s="463"/>
      <c r="J415" s="463"/>
      <c r="K415" s="461"/>
      <c r="L415" s="461"/>
      <c r="M415" s="461"/>
      <c r="N415" s="461"/>
      <c r="O415" s="461"/>
      <c r="P415" s="461"/>
      <c r="Q415" s="461"/>
      <c r="R415" s="461"/>
      <c r="S415" s="461"/>
      <c r="T415" s="461"/>
      <c r="U415" s="461"/>
      <c r="V415" s="461"/>
      <c r="W415" s="461"/>
      <c r="X415" s="461"/>
      <c r="Y415" s="461"/>
    </row>
    <row r="416" spans="1:25" ht="20.25" x14ac:dyDescent="0.4">
      <c r="A416" s="461"/>
      <c r="B416" s="461"/>
      <c r="C416" s="461"/>
      <c r="D416" s="461"/>
      <c r="E416" s="461"/>
      <c r="F416" s="461"/>
      <c r="G416" s="461"/>
      <c r="H416" s="461"/>
      <c r="I416" s="463"/>
      <c r="J416" s="463"/>
      <c r="K416" s="461"/>
      <c r="L416" s="461"/>
      <c r="M416" s="461"/>
      <c r="N416" s="461"/>
      <c r="O416" s="461"/>
      <c r="P416" s="461"/>
      <c r="Q416" s="461"/>
      <c r="R416" s="461"/>
      <c r="S416" s="461"/>
      <c r="T416" s="461"/>
      <c r="U416" s="461"/>
      <c r="V416" s="461"/>
      <c r="W416" s="461"/>
      <c r="X416" s="461"/>
      <c r="Y416" s="461"/>
    </row>
    <row r="417" spans="1:25" ht="20.25" x14ac:dyDescent="0.4">
      <c r="A417" s="461"/>
      <c r="B417" s="461"/>
      <c r="C417" s="461"/>
      <c r="D417" s="461"/>
      <c r="E417" s="461"/>
      <c r="F417" s="461"/>
      <c r="G417" s="461"/>
      <c r="H417" s="461"/>
      <c r="I417" s="463"/>
      <c r="J417" s="463"/>
      <c r="K417" s="461"/>
      <c r="L417" s="461"/>
      <c r="M417" s="461"/>
      <c r="N417" s="461"/>
      <c r="O417" s="461"/>
      <c r="P417" s="461"/>
      <c r="Q417" s="461"/>
      <c r="R417" s="461"/>
      <c r="S417" s="461"/>
      <c r="T417" s="461"/>
      <c r="U417" s="461"/>
      <c r="V417" s="461"/>
      <c r="W417" s="461"/>
      <c r="X417" s="461"/>
      <c r="Y417" s="461"/>
    </row>
    <row r="418" spans="1:25" ht="20.25" x14ac:dyDescent="0.4">
      <c r="A418" s="461"/>
      <c r="B418" s="461"/>
      <c r="C418" s="461"/>
      <c r="D418" s="461"/>
      <c r="E418" s="461"/>
      <c r="F418" s="461"/>
      <c r="G418" s="461"/>
      <c r="H418" s="461"/>
      <c r="I418" s="463"/>
      <c r="J418" s="463"/>
      <c r="K418" s="461"/>
      <c r="L418" s="461"/>
      <c r="M418" s="461"/>
      <c r="N418" s="461"/>
      <c r="O418" s="461"/>
      <c r="P418" s="461"/>
      <c r="Q418" s="461"/>
      <c r="R418" s="461"/>
      <c r="S418" s="461"/>
      <c r="T418" s="461"/>
      <c r="U418" s="461"/>
      <c r="V418" s="461"/>
      <c r="W418" s="461"/>
      <c r="X418" s="461"/>
      <c r="Y418" s="461"/>
    </row>
    <row r="419" spans="1:25" ht="20.25" x14ac:dyDescent="0.4">
      <c r="A419" s="461"/>
      <c r="B419" s="461"/>
      <c r="C419" s="461"/>
      <c r="D419" s="461"/>
      <c r="E419" s="461"/>
      <c r="F419" s="461"/>
      <c r="G419" s="461"/>
      <c r="H419" s="461"/>
      <c r="I419" s="463"/>
      <c r="J419" s="463"/>
      <c r="K419" s="461"/>
      <c r="L419" s="461"/>
      <c r="M419" s="461"/>
      <c r="N419" s="461"/>
      <c r="O419" s="461"/>
      <c r="P419" s="461"/>
      <c r="Q419" s="461"/>
      <c r="R419" s="461"/>
      <c r="S419" s="461"/>
      <c r="T419" s="461"/>
      <c r="U419" s="461"/>
      <c r="V419" s="461"/>
      <c r="W419" s="461"/>
      <c r="X419" s="461"/>
      <c r="Y419" s="461"/>
    </row>
    <row r="420" spans="1:25" ht="20.25" x14ac:dyDescent="0.4">
      <c r="A420" s="461"/>
      <c r="B420" s="461"/>
      <c r="C420" s="461"/>
      <c r="D420" s="461"/>
      <c r="E420" s="461"/>
      <c r="F420" s="461"/>
      <c r="G420" s="461"/>
      <c r="H420" s="461"/>
      <c r="I420" s="463"/>
      <c r="J420" s="463"/>
      <c r="K420" s="461"/>
      <c r="L420" s="461"/>
      <c r="M420" s="461"/>
      <c r="N420" s="461"/>
      <c r="O420" s="461"/>
      <c r="P420" s="461"/>
      <c r="Q420" s="461"/>
      <c r="R420" s="461"/>
      <c r="S420" s="461"/>
      <c r="T420" s="461"/>
      <c r="U420" s="461"/>
      <c r="V420" s="461"/>
      <c r="W420" s="461"/>
      <c r="X420" s="461"/>
      <c r="Y420" s="461"/>
    </row>
    <row r="421" spans="1:25" ht="20.25" x14ac:dyDescent="0.4">
      <c r="A421" s="461"/>
      <c r="B421" s="461"/>
      <c r="C421" s="461"/>
      <c r="D421" s="461"/>
      <c r="E421" s="461"/>
      <c r="F421" s="461"/>
      <c r="G421" s="461"/>
      <c r="H421" s="461"/>
      <c r="I421" s="463"/>
      <c r="J421" s="463"/>
      <c r="K421" s="461"/>
      <c r="L421" s="461"/>
      <c r="M421" s="461"/>
      <c r="N421" s="461"/>
      <c r="O421" s="461"/>
      <c r="P421" s="461"/>
      <c r="Q421" s="461"/>
      <c r="R421" s="461"/>
      <c r="S421" s="461"/>
      <c r="T421" s="461"/>
      <c r="U421" s="461"/>
      <c r="V421" s="461"/>
      <c r="W421" s="461"/>
      <c r="X421" s="461"/>
      <c r="Y421" s="461"/>
    </row>
    <row r="422" spans="1:25" ht="20.25" x14ac:dyDescent="0.4">
      <c r="A422" s="461"/>
      <c r="B422" s="461"/>
      <c r="C422" s="461"/>
      <c r="D422" s="461"/>
      <c r="E422" s="461"/>
      <c r="F422" s="461"/>
      <c r="G422" s="461"/>
      <c r="H422" s="461"/>
      <c r="I422" s="463"/>
      <c r="J422" s="463"/>
      <c r="K422" s="461"/>
      <c r="L422" s="461"/>
      <c r="M422" s="461"/>
      <c r="N422" s="461"/>
      <c r="O422" s="461"/>
      <c r="P422" s="461"/>
      <c r="Q422" s="461"/>
      <c r="R422" s="461"/>
      <c r="S422" s="461"/>
      <c r="T422" s="461"/>
      <c r="U422" s="461"/>
      <c r="V422" s="461"/>
      <c r="W422" s="461"/>
      <c r="X422" s="461"/>
      <c r="Y422" s="461"/>
    </row>
    <row r="423" spans="1:25" ht="20.25" x14ac:dyDescent="0.4">
      <c r="A423" s="461"/>
      <c r="B423" s="461"/>
      <c r="C423" s="461"/>
      <c r="D423" s="461"/>
      <c r="E423" s="461"/>
      <c r="F423" s="461"/>
      <c r="G423" s="461"/>
      <c r="H423" s="461"/>
      <c r="I423" s="463"/>
      <c r="J423" s="463"/>
      <c r="K423" s="461"/>
      <c r="L423" s="461"/>
      <c r="M423" s="461"/>
      <c r="N423" s="461"/>
      <c r="O423" s="461"/>
      <c r="P423" s="461"/>
      <c r="Q423" s="461"/>
      <c r="R423" s="461"/>
      <c r="S423" s="461"/>
      <c r="T423" s="461"/>
      <c r="U423" s="461"/>
      <c r="V423" s="461"/>
      <c r="W423" s="461"/>
      <c r="X423" s="461"/>
      <c r="Y423" s="461"/>
    </row>
    <row r="424" spans="1:25" ht="20.25" x14ac:dyDescent="0.4">
      <c r="A424" s="461"/>
      <c r="B424" s="461"/>
      <c r="C424" s="461"/>
      <c r="D424" s="461"/>
      <c r="E424" s="461"/>
      <c r="F424" s="461"/>
      <c r="G424" s="461"/>
      <c r="H424" s="461"/>
      <c r="I424" s="463"/>
      <c r="J424" s="463"/>
      <c r="K424" s="461"/>
      <c r="L424" s="461"/>
      <c r="M424" s="461"/>
      <c r="N424" s="461"/>
      <c r="O424" s="461"/>
      <c r="P424" s="461"/>
      <c r="Q424" s="461"/>
      <c r="R424" s="461"/>
      <c r="S424" s="461"/>
      <c r="T424" s="461"/>
      <c r="U424" s="461"/>
      <c r="V424" s="461"/>
      <c r="W424" s="461"/>
      <c r="X424" s="461"/>
      <c r="Y424" s="461"/>
    </row>
    <row r="425" spans="1:25" ht="20.25" x14ac:dyDescent="0.4">
      <c r="A425" s="461"/>
      <c r="B425" s="461"/>
      <c r="C425" s="461"/>
      <c r="D425" s="461"/>
      <c r="E425" s="461"/>
      <c r="F425" s="461"/>
      <c r="G425" s="461"/>
      <c r="H425" s="461"/>
      <c r="I425" s="463"/>
      <c r="J425" s="463"/>
      <c r="K425" s="461"/>
      <c r="L425" s="461"/>
      <c r="M425" s="461"/>
      <c r="N425" s="461"/>
      <c r="O425" s="461"/>
      <c r="P425" s="461"/>
      <c r="Q425" s="461"/>
      <c r="R425" s="461"/>
      <c r="S425" s="461"/>
      <c r="T425" s="461"/>
      <c r="U425" s="461"/>
      <c r="V425" s="461"/>
      <c r="W425" s="461"/>
      <c r="X425" s="461"/>
      <c r="Y425" s="461"/>
    </row>
    <row r="426" spans="1:25" ht="20.25" x14ac:dyDescent="0.4">
      <c r="A426" s="461"/>
      <c r="B426" s="461"/>
      <c r="C426" s="461"/>
      <c r="D426" s="461"/>
      <c r="E426" s="461"/>
      <c r="F426" s="461"/>
      <c r="G426" s="461"/>
      <c r="H426" s="461"/>
      <c r="I426" s="463"/>
      <c r="J426" s="463"/>
      <c r="K426" s="461"/>
      <c r="L426" s="461"/>
      <c r="M426" s="461"/>
      <c r="N426" s="461"/>
      <c r="O426" s="461"/>
      <c r="P426" s="461"/>
      <c r="Q426" s="461"/>
      <c r="R426" s="461"/>
      <c r="S426" s="461"/>
      <c r="T426" s="461"/>
      <c r="U426" s="461"/>
      <c r="V426" s="461"/>
      <c r="W426" s="461"/>
      <c r="X426" s="461"/>
      <c r="Y426" s="461"/>
    </row>
    <row r="427" spans="1:25" ht="20.25" x14ac:dyDescent="0.4">
      <c r="A427" s="461"/>
      <c r="B427" s="461"/>
      <c r="C427" s="461"/>
      <c r="D427" s="461"/>
      <c r="E427" s="461"/>
      <c r="F427" s="461"/>
      <c r="G427" s="461"/>
      <c r="H427" s="461"/>
      <c r="I427" s="463"/>
      <c r="J427" s="463"/>
      <c r="K427" s="461"/>
      <c r="L427" s="461"/>
      <c r="M427" s="461"/>
      <c r="N427" s="461"/>
      <c r="O427" s="461"/>
      <c r="P427" s="461"/>
      <c r="Q427" s="461"/>
      <c r="R427" s="461"/>
      <c r="S427" s="461"/>
      <c r="T427" s="461"/>
      <c r="U427" s="461"/>
      <c r="V427" s="461"/>
      <c r="W427" s="461"/>
      <c r="X427" s="461"/>
      <c r="Y427" s="461"/>
    </row>
    <row r="428" spans="1:25" ht="20.25" x14ac:dyDescent="0.4">
      <c r="A428" s="461"/>
      <c r="B428" s="461"/>
      <c r="C428" s="461"/>
      <c r="D428" s="461"/>
      <c r="E428" s="461"/>
      <c r="F428" s="461"/>
      <c r="G428" s="461"/>
      <c r="H428" s="461"/>
      <c r="I428" s="463"/>
      <c r="J428" s="463"/>
      <c r="K428" s="461"/>
      <c r="L428" s="461"/>
      <c r="M428" s="461"/>
      <c r="N428" s="461"/>
      <c r="O428" s="461"/>
      <c r="P428" s="461"/>
      <c r="Q428" s="461"/>
      <c r="R428" s="461"/>
      <c r="S428" s="461"/>
      <c r="T428" s="461"/>
      <c r="U428" s="461"/>
      <c r="V428" s="461"/>
      <c r="W428" s="461"/>
      <c r="X428" s="461"/>
      <c r="Y428" s="461"/>
    </row>
    <row r="429" spans="1:25" ht="20.25" x14ac:dyDescent="0.4">
      <c r="A429" s="461"/>
      <c r="B429" s="461"/>
      <c r="C429" s="461"/>
      <c r="D429" s="461"/>
      <c r="E429" s="461"/>
      <c r="F429" s="461"/>
      <c r="G429" s="461"/>
      <c r="H429" s="461"/>
      <c r="I429" s="463"/>
      <c r="J429" s="463"/>
      <c r="K429" s="461"/>
      <c r="L429" s="461"/>
      <c r="M429" s="461"/>
      <c r="N429" s="461"/>
      <c r="O429" s="461"/>
      <c r="P429" s="461"/>
      <c r="Q429" s="461"/>
      <c r="R429" s="461"/>
      <c r="S429" s="461"/>
      <c r="T429" s="461"/>
      <c r="U429" s="461"/>
      <c r="V429" s="461"/>
      <c r="W429" s="461"/>
      <c r="X429" s="461"/>
      <c r="Y429" s="461"/>
    </row>
    <row r="430" spans="1:25" ht="20.25" x14ac:dyDescent="0.4">
      <c r="A430" s="461"/>
      <c r="B430" s="461"/>
      <c r="C430" s="461"/>
      <c r="D430" s="461"/>
      <c r="E430" s="461"/>
      <c r="F430" s="461"/>
      <c r="G430" s="461"/>
      <c r="H430" s="461"/>
      <c r="I430" s="463"/>
      <c r="J430" s="463"/>
      <c r="K430" s="461"/>
      <c r="L430" s="461"/>
      <c r="M430" s="461"/>
      <c r="N430" s="461"/>
      <c r="O430" s="461"/>
      <c r="P430" s="461"/>
      <c r="Q430" s="461"/>
      <c r="R430" s="461"/>
      <c r="S430" s="461"/>
      <c r="T430" s="461"/>
      <c r="U430" s="461"/>
      <c r="V430" s="461"/>
      <c r="W430" s="461"/>
      <c r="X430" s="461"/>
      <c r="Y430" s="461"/>
    </row>
    <row r="431" spans="1:25" ht="20.25" x14ac:dyDescent="0.4">
      <c r="A431" s="461"/>
      <c r="B431" s="461"/>
      <c r="C431" s="461"/>
      <c r="D431" s="461"/>
      <c r="E431" s="461"/>
      <c r="F431" s="461"/>
      <c r="G431" s="461"/>
      <c r="H431" s="461"/>
      <c r="I431" s="463"/>
      <c r="J431" s="463"/>
      <c r="K431" s="461"/>
      <c r="L431" s="461"/>
      <c r="M431" s="461"/>
      <c r="N431" s="461"/>
      <c r="O431" s="461"/>
      <c r="P431" s="461"/>
      <c r="Q431" s="461"/>
      <c r="R431" s="461"/>
      <c r="S431" s="461"/>
      <c r="T431" s="461"/>
      <c r="U431" s="461"/>
      <c r="V431" s="461"/>
      <c r="W431" s="461"/>
      <c r="X431" s="461"/>
      <c r="Y431" s="461"/>
    </row>
    <row r="432" spans="1:25" ht="20.25" x14ac:dyDescent="0.4">
      <c r="A432" s="461"/>
      <c r="B432" s="461"/>
      <c r="C432" s="461"/>
      <c r="D432" s="461"/>
      <c r="E432" s="461"/>
      <c r="F432" s="461"/>
      <c r="G432" s="461"/>
      <c r="H432" s="461"/>
      <c r="I432" s="463"/>
      <c r="J432" s="463"/>
      <c r="K432" s="461"/>
      <c r="L432" s="461"/>
      <c r="M432" s="461"/>
      <c r="N432" s="461"/>
      <c r="O432" s="461"/>
      <c r="P432" s="461"/>
      <c r="Q432" s="461"/>
      <c r="R432" s="461"/>
      <c r="S432" s="461"/>
      <c r="T432" s="461"/>
      <c r="U432" s="461"/>
      <c r="V432" s="461"/>
      <c r="W432" s="461"/>
      <c r="X432" s="461"/>
      <c r="Y432" s="461"/>
    </row>
    <row r="433" spans="1:25" ht="20.25" x14ac:dyDescent="0.4">
      <c r="A433" s="461"/>
      <c r="B433" s="461"/>
      <c r="C433" s="461"/>
      <c r="D433" s="461"/>
      <c r="E433" s="461"/>
      <c r="F433" s="461"/>
      <c r="G433" s="461"/>
      <c r="H433" s="461"/>
      <c r="I433" s="463"/>
      <c r="J433" s="463"/>
      <c r="K433" s="461"/>
      <c r="L433" s="461"/>
      <c r="M433" s="461"/>
      <c r="N433" s="461"/>
      <c r="O433" s="461"/>
      <c r="P433" s="461"/>
      <c r="Q433" s="461"/>
      <c r="R433" s="461"/>
      <c r="S433" s="461"/>
      <c r="T433" s="461"/>
      <c r="U433" s="461"/>
      <c r="V433" s="461"/>
      <c r="W433" s="461"/>
      <c r="X433" s="461"/>
      <c r="Y433" s="461"/>
    </row>
    <row r="434" spans="1:25" ht="20.25" x14ac:dyDescent="0.4">
      <c r="A434" s="461"/>
      <c r="B434" s="461"/>
      <c r="C434" s="461"/>
      <c r="D434" s="461"/>
      <c r="E434" s="461"/>
      <c r="F434" s="461"/>
      <c r="G434" s="461"/>
      <c r="H434" s="461"/>
      <c r="I434" s="463"/>
      <c r="J434" s="463"/>
      <c r="K434" s="461"/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461"/>
      <c r="W434" s="461"/>
      <c r="X434" s="461"/>
      <c r="Y434" s="461"/>
    </row>
    <row r="435" spans="1:25" ht="20.25" x14ac:dyDescent="0.4">
      <c r="A435" s="461"/>
      <c r="B435" s="461"/>
      <c r="C435" s="461"/>
      <c r="D435" s="461"/>
      <c r="E435" s="461"/>
      <c r="F435" s="461"/>
      <c r="G435" s="461"/>
      <c r="H435" s="461"/>
      <c r="I435" s="463"/>
      <c r="J435" s="463"/>
      <c r="K435" s="461"/>
      <c r="L435" s="461"/>
      <c r="M435" s="461"/>
      <c r="N435" s="461"/>
      <c r="O435" s="461"/>
      <c r="P435" s="461"/>
      <c r="Q435" s="461"/>
      <c r="R435" s="461"/>
      <c r="S435" s="461"/>
      <c r="T435" s="461"/>
      <c r="U435" s="461"/>
      <c r="V435" s="461"/>
      <c r="W435" s="461"/>
      <c r="X435" s="461"/>
      <c r="Y435" s="461"/>
    </row>
    <row r="436" spans="1:25" ht="20.25" x14ac:dyDescent="0.4">
      <c r="A436" s="461"/>
      <c r="B436" s="461"/>
      <c r="C436" s="461"/>
      <c r="D436" s="461"/>
      <c r="E436" s="461"/>
      <c r="F436" s="461"/>
      <c r="G436" s="461"/>
      <c r="H436" s="461"/>
      <c r="I436" s="463"/>
      <c r="J436" s="463"/>
      <c r="K436" s="461"/>
      <c r="L436" s="461"/>
      <c r="M436" s="461"/>
      <c r="N436" s="461"/>
      <c r="O436" s="461"/>
      <c r="P436" s="461"/>
      <c r="Q436" s="461"/>
      <c r="R436" s="461"/>
      <c r="S436" s="461"/>
      <c r="T436" s="461"/>
      <c r="U436" s="461"/>
      <c r="V436" s="461"/>
      <c r="W436" s="461"/>
      <c r="X436" s="461"/>
      <c r="Y436" s="461"/>
    </row>
    <row r="437" spans="1:25" ht="20.25" x14ac:dyDescent="0.4">
      <c r="A437" s="461"/>
      <c r="B437" s="461"/>
      <c r="C437" s="461"/>
      <c r="D437" s="461"/>
      <c r="E437" s="461"/>
      <c r="F437" s="461"/>
      <c r="G437" s="461"/>
      <c r="H437" s="461"/>
      <c r="I437" s="463"/>
      <c r="J437" s="463"/>
      <c r="K437" s="461"/>
      <c r="L437" s="461"/>
      <c r="M437" s="461"/>
      <c r="N437" s="461"/>
      <c r="O437" s="461"/>
      <c r="P437" s="461"/>
      <c r="Q437" s="461"/>
      <c r="R437" s="461"/>
      <c r="S437" s="461"/>
      <c r="T437" s="461"/>
      <c r="U437" s="461"/>
      <c r="V437" s="461"/>
      <c r="W437" s="461"/>
      <c r="X437" s="461"/>
      <c r="Y437" s="461"/>
    </row>
    <row r="438" spans="1:25" ht="20.25" x14ac:dyDescent="0.4">
      <c r="A438" s="461"/>
      <c r="B438" s="461"/>
      <c r="C438" s="461"/>
      <c r="D438" s="461"/>
      <c r="E438" s="461"/>
      <c r="F438" s="461"/>
      <c r="G438" s="461"/>
      <c r="H438" s="461"/>
      <c r="I438" s="463"/>
      <c r="J438" s="463"/>
      <c r="K438" s="461"/>
      <c r="L438" s="461"/>
      <c r="M438" s="461"/>
      <c r="N438" s="461"/>
      <c r="O438" s="461"/>
      <c r="P438" s="461"/>
      <c r="Q438" s="461"/>
      <c r="R438" s="461"/>
      <c r="S438" s="461"/>
      <c r="T438" s="461"/>
      <c r="U438" s="461"/>
      <c r="V438" s="461"/>
      <c r="W438" s="461"/>
      <c r="X438" s="461"/>
      <c r="Y438" s="461"/>
    </row>
    <row r="439" spans="1:25" ht="20.25" x14ac:dyDescent="0.4">
      <c r="A439" s="461"/>
      <c r="B439" s="461"/>
      <c r="C439" s="461"/>
      <c r="D439" s="461"/>
      <c r="E439" s="461"/>
      <c r="F439" s="461"/>
      <c r="G439" s="461"/>
      <c r="H439" s="461"/>
      <c r="I439" s="463"/>
      <c r="J439" s="463"/>
      <c r="K439" s="461"/>
      <c r="L439" s="461"/>
      <c r="M439" s="461"/>
      <c r="N439" s="461"/>
      <c r="O439" s="461"/>
      <c r="P439" s="461"/>
      <c r="Q439" s="461"/>
      <c r="R439" s="461"/>
      <c r="S439" s="461"/>
      <c r="T439" s="461"/>
      <c r="U439" s="461"/>
      <c r="V439" s="461"/>
      <c r="W439" s="461"/>
      <c r="X439" s="461"/>
      <c r="Y439" s="461"/>
    </row>
    <row r="440" spans="1:25" ht="20.25" x14ac:dyDescent="0.4">
      <c r="A440" s="461"/>
      <c r="B440" s="461"/>
      <c r="C440" s="461"/>
      <c r="D440" s="461"/>
      <c r="E440" s="461"/>
      <c r="F440" s="461"/>
      <c r="G440" s="461"/>
      <c r="H440" s="461"/>
      <c r="I440" s="463"/>
      <c r="J440" s="463"/>
      <c r="K440" s="461"/>
      <c r="L440" s="461"/>
      <c r="M440" s="461"/>
      <c r="N440" s="461"/>
      <c r="O440" s="461"/>
      <c r="P440" s="461"/>
      <c r="Q440" s="461"/>
      <c r="R440" s="461"/>
      <c r="S440" s="461"/>
      <c r="T440" s="461"/>
      <c r="U440" s="461"/>
      <c r="V440" s="461"/>
      <c r="W440" s="461"/>
      <c r="X440" s="461"/>
      <c r="Y440" s="461"/>
    </row>
    <row r="441" spans="1:25" ht="20.25" x14ac:dyDescent="0.4">
      <c r="A441" s="461"/>
      <c r="B441" s="461"/>
      <c r="C441" s="461"/>
      <c r="D441" s="461"/>
      <c r="E441" s="461"/>
      <c r="F441" s="461"/>
      <c r="G441" s="461"/>
      <c r="H441" s="461"/>
      <c r="I441" s="463"/>
      <c r="J441" s="463"/>
      <c r="K441" s="461"/>
      <c r="L441" s="461"/>
      <c r="M441" s="461"/>
      <c r="N441" s="461"/>
      <c r="O441" s="461"/>
      <c r="P441" s="461"/>
      <c r="Q441" s="461"/>
      <c r="R441" s="461"/>
      <c r="S441" s="461"/>
      <c r="T441" s="461"/>
      <c r="U441" s="461"/>
      <c r="V441" s="461"/>
      <c r="W441" s="461"/>
      <c r="X441" s="461"/>
      <c r="Y441" s="461"/>
    </row>
    <row r="442" spans="1:25" ht="20.25" x14ac:dyDescent="0.4">
      <c r="A442" s="461"/>
      <c r="B442" s="461"/>
      <c r="C442" s="461"/>
      <c r="D442" s="461"/>
      <c r="E442" s="461"/>
      <c r="F442" s="461"/>
      <c r="G442" s="461"/>
      <c r="H442" s="461"/>
      <c r="I442" s="463"/>
      <c r="J442" s="463"/>
      <c r="K442" s="461"/>
      <c r="L442" s="461"/>
      <c r="M442" s="461"/>
      <c r="N442" s="461"/>
      <c r="O442" s="461"/>
      <c r="P442" s="461"/>
      <c r="Q442" s="461"/>
      <c r="R442" s="461"/>
      <c r="S442" s="461"/>
      <c r="T442" s="461"/>
      <c r="U442" s="461"/>
      <c r="V442" s="461"/>
      <c r="W442" s="461"/>
      <c r="X442" s="461"/>
      <c r="Y442" s="461"/>
    </row>
    <row r="443" spans="1:25" ht="20.25" x14ac:dyDescent="0.4">
      <c r="A443" s="461"/>
      <c r="B443" s="461"/>
      <c r="C443" s="461"/>
      <c r="D443" s="461"/>
      <c r="E443" s="461"/>
      <c r="F443" s="461"/>
      <c r="G443" s="461"/>
      <c r="H443" s="461"/>
      <c r="I443" s="463"/>
      <c r="J443" s="463"/>
      <c r="K443" s="461"/>
      <c r="L443" s="461"/>
      <c r="M443" s="461"/>
      <c r="N443" s="461"/>
      <c r="O443" s="461"/>
      <c r="P443" s="461"/>
      <c r="Q443" s="461"/>
      <c r="R443" s="461"/>
      <c r="S443" s="461"/>
      <c r="T443" s="461"/>
      <c r="U443" s="461"/>
      <c r="V443" s="461"/>
      <c r="W443" s="461"/>
      <c r="X443" s="461"/>
      <c r="Y443" s="461"/>
    </row>
    <row r="444" spans="1:25" ht="20.25" x14ac:dyDescent="0.4">
      <c r="A444" s="461"/>
      <c r="B444" s="461"/>
      <c r="C444" s="461"/>
      <c r="D444" s="461"/>
      <c r="E444" s="461"/>
      <c r="F444" s="461"/>
      <c r="G444" s="461"/>
      <c r="H444" s="461"/>
      <c r="I444" s="463"/>
      <c r="J444" s="463"/>
      <c r="K444" s="461"/>
      <c r="L444" s="461"/>
      <c r="M444" s="461"/>
      <c r="N444" s="461"/>
      <c r="O444" s="461"/>
      <c r="P444" s="461"/>
      <c r="Q444" s="461"/>
      <c r="R444" s="461"/>
      <c r="S444" s="461"/>
      <c r="T444" s="461"/>
      <c r="U444" s="461"/>
      <c r="V444" s="461"/>
      <c r="W444" s="461"/>
      <c r="X444" s="461"/>
      <c r="Y444" s="461"/>
    </row>
    <row r="445" spans="1:25" ht="20.25" x14ac:dyDescent="0.4">
      <c r="A445" s="461"/>
      <c r="B445" s="461"/>
      <c r="C445" s="461"/>
      <c r="D445" s="461"/>
      <c r="E445" s="461"/>
      <c r="F445" s="461"/>
      <c r="G445" s="461"/>
      <c r="H445" s="461"/>
      <c r="I445" s="463"/>
      <c r="J445" s="463"/>
      <c r="K445" s="461"/>
      <c r="L445" s="461"/>
      <c r="M445" s="461"/>
      <c r="N445" s="461"/>
      <c r="O445" s="461"/>
      <c r="P445" s="461"/>
      <c r="Q445" s="461"/>
      <c r="R445" s="461"/>
      <c r="S445" s="461"/>
      <c r="T445" s="461"/>
      <c r="U445" s="461"/>
      <c r="V445" s="461"/>
      <c r="W445" s="461"/>
      <c r="X445" s="461"/>
      <c r="Y445" s="461"/>
    </row>
    <row r="446" spans="1:25" ht="20.25" x14ac:dyDescent="0.4">
      <c r="A446" s="461"/>
      <c r="B446" s="461"/>
      <c r="C446" s="461"/>
      <c r="D446" s="461"/>
      <c r="E446" s="461"/>
      <c r="F446" s="461"/>
      <c r="G446" s="461"/>
      <c r="H446" s="461"/>
      <c r="I446" s="463"/>
      <c r="J446" s="463"/>
      <c r="K446" s="461"/>
      <c r="L446" s="461"/>
      <c r="M446" s="461"/>
      <c r="N446" s="461"/>
      <c r="O446" s="461"/>
      <c r="P446" s="461"/>
      <c r="Q446" s="461"/>
      <c r="R446" s="461"/>
      <c r="S446" s="461"/>
      <c r="T446" s="461"/>
      <c r="U446" s="461"/>
      <c r="V446" s="461"/>
      <c r="W446" s="461"/>
      <c r="X446" s="461"/>
      <c r="Y446" s="461"/>
    </row>
    <row r="447" spans="1:25" ht="20.25" x14ac:dyDescent="0.4">
      <c r="A447" s="461"/>
      <c r="B447" s="461"/>
      <c r="C447" s="461"/>
      <c r="D447" s="461"/>
      <c r="E447" s="461"/>
      <c r="F447" s="461"/>
      <c r="G447" s="461"/>
      <c r="H447" s="461"/>
      <c r="I447" s="463"/>
      <c r="J447" s="463"/>
      <c r="K447" s="461"/>
      <c r="L447" s="461"/>
      <c r="M447" s="461"/>
      <c r="N447" s="461"/>
      <c r="O447" s="461"/>
      <c r="P447" s="461"/>
      <c r="Q447" s="461"/>
      <c r="R447" s="461"/>
      <c r="S447" s="461"/>
      <c r="T447" s="461"/>
      <c r="U447" s="461"/>
      <c r="V447" s="461"/>
      <c r="W447" s="461"/>
      <c r="X447" s="461"/>
      <c r="Y447" s="461"/>
    </row>
    <row r="448" spans="1:25" ht="20.25" x14ac:dyDescent="0.4">
      <c r="A448" s="461"/>
      <c r="B448" s="461"/>
      <c r="C448" s="461"/>
      <c r="D448" s="461"/>
      <c r="E448" s="461"/>
      <c r="F448" s="461"/>
      <c r="G448" s="461"/>
      <c r="H448" s="461"/>
      <c r="I448" s="463"/>
      <c r="J448" s="463"/>
      <c r="K448" s="461"/>
      <c r="L448" s="461"/>
      <c r="M448" s="461"/>
      <c r="N448" s="461"/>
      <c r="O448" s="461"/>
      <c r="P448" s="461"/>
      <c r="Q448" s="461"/>
      <c r="R448" s="461"/>
      <c r="S448" s="461"/>
      <c r="T448" s="461"/>
      <c r="U448" s="461"/>
      <c r="V448" s="461"/>
      <c r="W448" s="461"/>
      <c r="X448" s="461"/>
      <c r="Y448" s="461"/>
    </row>
    <row r="449" spans="1:25" ht="20.25" x14ac:dyDescent="0.4">
      <c r="A449" s="461"/>
      <c r="B449" s="461"/>
      <c r="C449" s="461"/>
      <c r="D449" s="461"/>
      <c r="E449" s="461"/>
      <c r="F449" s="461"/>
      <c r="G449" s="461"/>
      <c r="H449" s="461"/>
      <c r="I449" s="463"/>
      <c r="J449" s="463"/>
      <c r="K449" s="461"/>
      <c r="L449" s="461"/>
      <c r="M449" s="461"/>
      <c r="N449" s="461"/>
      <c r="O449" s="461"/>
      <c r="P449" s="461"/>
      <c r="Q449" s="461"/>
      <c r="R449" s="461"/>
      <c r="S449" s="461"/>
      <c r="T449" s="461"/>
      <c r="U449" s="461"/>
      <c r="V449" s="461"/>
      <c r="W449" s="461"/>
      <c r="X449" s="461"/>
      <c r="Y449" s="461"/>
    </row>
    <row r="450" spans="1:25" ht="20.25" x14ac:dyDescent="0.4">
      <c r="A450" s="461"/>
      <c r="B450" s="461"/>
      <c r="C450" s="461"/>
      <c r="D450" s="461"/>
      <c r="E450" s="461"/>
      <c r="F450" s="461"/>
      <c r="G450" s="461"/>
      <c r="H450" s="461"/>
      <c r="I450" s="463"/>
      <c r="J450" s="463"/>
      <c r="K450" s="461"/>
      <c r="L450" s="461"/>
      <c r="M450" s="461"/>
      <c r="N450" s="461"/>
      <c r="O450" s="461"/>
      <c r="P450" s="461"/>
      <c r="Q450" s="461"/>
      <c r="R450" s="461"/>
      <c r="S450" s="461"/>
      <c r="T450" s="461"/>
      <c r="U450" s="461"/>
      <c r="V450" s="461"/>
      <c r="W450" s="461"/>
      <c r="X450" s="461"/>
      <c r="Y450" s="461"/>
    </row>
    <row r="451" spans="1:25" ht="20.25" x14ac:dyDescent="0.4">
      <c r="A451" s="461"/>
      <c r="B451" s="461"/>
      <c r="C451" s="461"/>
      <c r="D451" s="461"/>
      <c r="E451" s="461"/>
      <c r="F451" s="461"/>
      <c r="G451" s="461"/>
      <c r="H451" s="461"/>
      <c r="I451" s="463"/>
      <c r="J451" s="463"/>
      <c r="K451" s="461"/>
      <c r="L451" s="461"/>
      <c r="M451" s="461"/>
      <c r="N451" s="461"/>
      <c r="O451" s="461"/>
      <c r="P451" s="461"/>
      <c r="Q451" s="461"/>
      <c r="R451" s="461"/>
      <c r="S451" s="461"/>
      <c r="T451" s="461"/>
      <c r="U451" s="461"/>
      <c r="V451" s="461"/>
      <c r="W451" s="461"/>
      <c r="X451" s="461"/>
      <c r="Y451" s="461"/>
    </row>
    <row r="452" spans="1:25" ht="20.25" x14ac:dyDescent="0.4">
      <c r="A452" s="461"/>
      <c r="B452" s="461"/>
      <c r="C452" s="461"/>
      <c r="D452" s="461"/>
      <c r="E452" s="461"/>
      <c r="F452" s="461"/>
      <c r="G452" s="461"/>
      <c r="H452" s="461"/>
      <c r="I452" s="463"/>
      <c r="J452" s="463"/>
      <c r="K452" s="461"/>
      <c r="L452" s="461"/>
      <c r="M452" s="461"/>
      <c r="N452" s="461"/>
      <c r="O452" s="461"/>
      <c r="P452" s="461"/>
      <c r="Q452" s="461"/>
      <c r="R452" s="461"/>
      <c r="S452" s="461"/>
      <c r="T452" s="461"/>
      <c r="U452" s="461"/>
      <c r="V452" s="461"/>
      <c r="W452" s="461"/>
      <c r="X452" s="461"/>
      <c r="Y452" s="461"/>
    </row>
    <row r="453" spans="1:25" ht="20.25" x14ac:dyDescent="0.4">
      <c r="A453" s="461"/>
      <c r="B453" s="461"/>
      <c r="C453" s="461"/>
      <c r="D453" s="461"/>
      <c r="E453" s="461"/>
      <c r="F453" s="461"/>
      <c r="G453" s="461"/>
      <c r="H453" s="461"/>
      <c r="I453" s="463"/>
      <c r="J453" s="463"/>
      <c r="K453" s="461"/>
      <c r="L453" s="461"/>
      <c r="M453" s="461"/>
      <c r="N453" s="461"/>
      <c r="O453" s="461"/>
      <c r="P453" s="461"/>
      <c r="Q453" s="461"/>
      <c r="R453" s="461"/>
      <c r="S453" s="461"/>
      <c r="T453" s="461"/>
      <c r="U453" s="461"/>
      <c r="V453" s="461"/>
      <c r="W453" s="461"/>
      <c r="X453" s="461"/>
      <c r="Y453" s="461"/>
    </row>
    <row r="454" spans="1:25" ht="20.25" x14ac:dyDescent="0.4">
      <c r="A454" s="461"/>
      <c r="B454" s="461"/>
      <c r="C454" s="461"/>
      <c r="D454" s="461"/>
      <c r="E454" s="461"/>
      <c r="F454" s="461"/>
      <c r="G454" s="461"/>
      <c r="H454" s="461"/>
      <c r="I454" s="463"/>
      <c r="J454" s="463"/>
      <c r="K454" s="461"/>
      <c r="L454" s="461"/>
      <c r="M454" s="461"/>
      <c r="N454" s="461"/>
      <c r="O454" s="461"/>
      <c r="P454" s="461"/>
      <c r="Q454" s="461"/>
      <c r="R454" s="461"/>
      <c r="S454" s="461"/>
      <c r="T454" s="461"/>
      <c r="U454" s="461"/>
      <c r="V454" s="461"/>
      <c r="W454" s="461"/>
      <c r="X454" s="461"/>
      <c r="Y454" s="461"/>
    </row>
    <row r="455" spans="1:25" ht="20.25" x14ac:dyDescent="0.4">
      <c r="A455" s="461"/>
      <c r="B455" s="461"/>
      <c r="C455" s="461"/>
      <c r="D455" s="461"/>
      <c r="E455" s="461"/>
      <c r="F455" s="461"/>
      <c r="G455" s="461"/>
      <c r="H455" s="461"/>
      <c r="I455" s="463"/>
      <c r="J455" s="463"/>
      <c r="K455" s="461"/>
      <c r="L455" s="461"/>
      <c r="M455" s="461"/>
      <c r="N455" s="461"/>
      <c r="O455" s="461"/>
      <c r="P455" s="461"/>
      <c r="Q455" s="461"/>
      <c r="R455" s="461"/>
      <c r="S455" s="461"/>
      <c r="T455" s="461"/>
      <c r="U455" s="461"/>
      <c r="V455" s="461"/>
      <c r="W455" s="461"/>
      <c r="X455" s="461"/>
      <c r="Y455" s="461"/>
    </row>
    <row r="456" spans="1:25" ht="20.25" x14ac:dyDescent="0.4">
      <c r="A456" s="461"/>
      <c r="B456" s="461"/>
      <c r="C456" s="461"/>
      <c r="D456" s="461"/>
      <c r="E456" s="461"/>
      <c r="F456" s="461"/>
      <c r="G456" s="461"/>
      <c r="H456" s="461"/>
      <c r="I456" s="463"/>
      <c r="J456" s="463"/>
      <c r="K456" s="461"/>
      <c r="L456" s="461"/>
      <c r="M456" s="461"/>
      <c r="N456" s="461"/>
      <c r="O456" s="461"/>
      <c r="P456" s="461"/>
      <c r="Q456" s="461"/>
      <c r="R456" s="461"/>
      <c r="S456" s="461"/>
      <c r="T456" s="461"/>
      <c r="U456" s="461"/>
      <c r="V456" s="461"/>
      <c r="W456" s="461"/>
      <c r="X456" s="461"/>
      <c r="Y456" s="461"/>
    </row>
    <row r="457" spans="1:25" ht="20.25" x14ac:dyDescent="0.4">
      <c r="A457" s="461"/>
      <c r="B457" s="461"/>
      <c r="C457" s="461"/>
      <c r="D457" s="461"/>
      <c r="E457" s="461"/>
      <c r="F457" s="461"/>
      <c r="G457" s="461"/>
      <c r="H457" s="461"/>
      <c r="I457" s="463"/>
      <c r="J457" s="463"/>
      <c r="K457" s="461"/>
      <c r="L457" s="461"/>
      <c r="M457" s="461"/>
      <c r="N457" s="461"/>
      <c r="O457" s="461"/>
      <c r="P457" s="461"/>
      <c r="Q457" s="461"/>
      <c r="R457" s="461"/>
      <c r="S457" s="461"/>
      <c r="T457" s="461"/>
      <c r="U457" s="461"/>
      <c r="V457" s="461"/>
      <c r="W457" s="461"/>
      <c r="X457" s="461"/>
      <c r="Y457" s="461"/>
    </row>
    <row r="458" spans="1:25" ht="20.25" x14ac:dyDescent="0.4">
      <c r="A458" s="461"/>
      <c r="B458" s="461"/>
      <c r="C458" s="461"/>
      <c r="D458" s="461"/>
      <c r="E458" s="461"/>
      <c r="F458" s="461"/>
      <c r="G458" s="461"/>
      <c r="H458" s="461"/>
      <c r="I458" s="463"/>
      <c r="J458" s="463"/>
      <c r="K458" s="461"/>
      <c r="L458" s="461"/>
      <c r="M458" s="461"/>
      <c r="N458" s="461"/>
      <c r="O458" s="461"/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</row>
    <row r="459" spans="1:25" ht="20.25" x14ac:dyDescent="0.4">
      <c r="A459" s="461"/>
      <c r="B459" s="461"/>
      <c r="C459" s="461"/>
      <c r="D459" s="461"/>
      <c r="E459" s="461"/>
      <c r="F459" s="461"/>
      <c r="G459" s="461"/>
      <c r="H459" s="461"/>
      <c r="I459" s="463"/>
      <c r="J459" s="463"/>
      <c r="K459" s="461"/>
      <c r="L459" s="461"/>
      <c r="M459" s="461"/>
      <c r="N459" s="461"/>
      <c r="O459" s="461"/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</row>
    <row r="460" spans="1:25" ht="20.25" x14ac:dyDescent="0.4">
      <c r="A460" s="461"/>
      <c r="B460" s="461"/>
      <c r="C460" s="461"/>
      <c r="D460" s="461"/>
      <c r="E460" s="461"/>
      <c r="F460" s="461"/>
      <c r="G460" s="461"/>
      <c r="H460" s="461"/>
      <c r="I460" s="463"/>
      <c r="J460" s="463"/>
      <c r="K460" s="461"/>
      <c r="L460" s="461"/>
      <c r="M460" s="461"/>
      <c r="N460" s="461"/>
      <c r="O460" s="461"/>
      <c r="P460" s="461"/>
      <c r="Q460" s="461"/>
      <c r="R460" s="461"/>
      <c r="S460" s="461"/>
      <c r="T460" s="461"/>
      <c r="U460" s="461"/>
      <c r="V460" s="461"/>
      <c r="W460" s="461"/>
      <c r="X460" s="461"/>
      <c r="Y460" s="461"/>
    </row>
    <row r="461" spans="1:25" ht="20.25" x14ac:dyDescent="0.4">
      <c r="A461" s="461"/>
      <c r="B461" s="461"/>
      <c r="C461" s="461"/>
      <c r="D461" s="461"/>
      <c r="E461" s="461"/>
      <c r="F461" s="461"/>
      <c r="G461" s="461"/>
      <c r="H461" s="461"/>
      <c r="I461" s="463"/>
      <c r="J461" s="463"/>
      <c r="K461" s="461"/>
      <c r="L461" s="461"/>
      <c r="M461" s="461"/>
      <c r="N461" s="461"/>
      <c r="O461" s="461"/>
      <c r="P461" s="461"/>
      <c r="Q461" s="461"/>
      <c r="R461" s="461"/>
      <c r="S461" s="461"/>
      <c r="T461" s="461"/>
      <c r="U461" s="461"/>
      <c r="V461" s="461"/>
      <c r="W461" s="461"/>
      <c r="X461" s="461"/>
      <c r="Y461" s="461"/>
    </row>
    <row r="462" spans="1:25" ht="20.25" x14ac:dyDescent="0.4">
      <c r="A462" s="461"/>
      <c r="B462" s="461"/>
      <c r="C462" s="461"/>
      <c r="D462" s="461"/>
      <c r="E462" s="461"/>
      <c r="F462" s="461"/>
      <c r="G462" s="461"/>
      <c r="H462" s="461"/>
      <c r="I462" s="463"/>
      <c r="J462" s="463"/>
      <c r="K462" s="461"/>
      <c r="L462" s="461"/>
      <c r="M462" s="461"/>
      <c r="N462" s="461"/>
      <c r="O462" s="461"/>
      <c r="P462" s="461"/>
      <c r="Q462" s="461"/>
      <c r="R462" s="461"/>
      <c r="S462" s="461"/>
      <c r="T462" s="461"/>
      <c r="U462" s="461"/>
      <c r="V462" s="461"/>
      <c r="W462" s="461"/>
      <c r="X462" s="461"/>
      <c r="Y462" s="461"/>
    </row>
    <row r="463" spans="1:25" ht="20.25" x14ac:dyDescent="0.4">
      <c r="A463" s="461"/>
      <c r="B463" s="461"/>
      <c r="C463" s="461"/>
      <c r="D463" s="461"/>
      <c r="E463" s="461"/>
      <c r="F463" s="461"/>
      <c r="G463" s="461"/>
      <c r="H463" s="461"/>
      <c r="I463" s="463"/>
      <c r="J463" s="463"/>
      <c r="K463" s="461"/>
      <c r="L463" s="461"/>
      <c r="M463" s="461"/>
      <c r="N463" s="461"/>
      <c r="O463" s="461"/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</row>
    <row r="464" spans="1:25" ht="20.25" x14ac:dyDescent="0.4">
      <c r="A464" s="461"/>
      <c r="B464" s="461"/>
      <c r="C464" s="461"/>
      <c r="D464" s="461"/>
      <c r="E464" s="461"/>
      <c r="F464" s="461"/>
      <c r="G464" s="461"/>
      <c r="H464" s="461"/>
      <c r="I464" s="463"/>
      <c r="J464" s="463"/>
      <c r="K464" s="461"/>
      <c r="L464" s="461"/>
      <c r="M464" s="461"/>
      <c r="N464" s="461"/>
      <c r="O464" s="461"/>
      <c r="P464" s="461"/>
      <c r="Q464" s="461"/>
      <c r="R464" s="461"/>
      <c r="S464" s="461"/>
      <c r="T464" s="461"/>
      <c r="U464" s="461"/>
      <c r="V464" s="461"/>
      <c r="W464" s="461"/>
      <c r="X464" s="461"/>
      <c r="Y464" s="461"/>
    </row>
    <row r="465" spans="1:25" ht="20.25" x14ac:dyDescent="0.4">
      <c r="A465" s="461"/>
      <c r="B465" s="461"/>
      <c r="C465" s="461"/>
      <c r="D465" s="461"/>
      <c r="E465" s="461"/>
      <c r="F465" s="461"/>
      <c r="G465" s="461"/>
      <c r="H465" s="461"/>
      <c r="I465" s="463"/>
      <c r="J465" s="463"/>
      <c r="K465" s="461"/>
      <c r="L465" s="461"/>
      <c r="M465" s="461"/>
      <c r="N465" s="461"/>
      <c r="O465" s="461"/>
      <c r="P465" s="461"/>
      <c r="Q465" s="461"/>
      <c r="R465" s="461"/>
      <c r="S465" s="461"/>
      <c r="T465" s="461"/>
      <c r="U465" s="461"/>
      <c r="V465" s="461"/>
      <c r="W465" s="461"/>
      <c r="X465" s="461"/>
      <c r="Y465" s="461"/>
    </row>
    <row r="466" spans="1:25" ht="20.25" x14ac:dyDescent="0.4">
      <c r="A466" s="461"/>
      <c r="B466" s="461"/>
      <c r="C466" s="461"/>
      <c r="D466" s="461"/>
      <c r="E466" s="461"/>
      <c r="F466" s="461"/>
      <c r="G466" s="461"/>
      <c r="H466" s="461"/>
      <c r="I466" s="463"/>
      <c r="J466" s="463"/>
      <c r="K466" s="461"/>
      <c r="L466" s="461"/>
      <c r="M466" s="461"/>
      <c r="N466" s="461"/>
      <c r="O466" s="461"/>
      <c r="P466" s="461"/>
      <c r="Q466" s="461"/>
      <c r="R466" s="461"/>
      <c r="S466" s="461"/>
      <c r="T466" s="461"/>
      <c r="U466" s="461"/>
      <c r="V466" s="461"/>
      <c r="W466" s="461"/>
      <c r="X466" s="461"/>
      <c r="Y466" s="461"/>
    </row>
    <row r="467" spans="1:25" ht="20.25" x14ac:dyDescent="0.4">
      <c r="A467" s="461"/>
      <c r="B467" s="461"/>
      <c r="C467" s="461"/>
      <c r="D467" s="461"/>
      <c r="E467" s="461"/>
      <c r="F467" s="461"/>
      <c r="G467" s="461"/>
      <c r="H467" s="461"/>
      <c r="I467" s="463"/>
      <c r="J467" s="463"/>
      <c r="K467" s="461"/>
      <c r="L467" s="461"/>
      <c r="M467" s="461"/>
      <c r="N467" s="461"/>
      <c r="O467" s="461"/>
      <c r="P467" s="461"/>
      <c r="Q467" s="461"/>
      <c r="R467" s="461"/>
      <c r="S467" s="461"/>
      <c r="T467" s="461"/>
      <c r="U467" s="461"/>
      <c r="V467" s="461"/>
      <c r="W467" s="461"/>
      <c r="X467" s="461"/>
      <c r="Y467" s="461"/>
    </row>
    <row r="468" spans="1:25" ht="20.25" x14ac:dyDescent="0.4">
      <c r="A468" s="461"/>
      <c r="B468" s="461"/>
      <c r="C468" s="461"/>
      <c r="D468" s="461"/>
      <c r="E468" s="461"/>
      <c r="F468" s="461"/>
      <c r="G468" s="461"/>
      <c r="H468" s="461"/>
      <c r="I468" s="463"/>
      <c r="J468" s="463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</row>
    <row r="469" spans="1:25" ht="20.25" x14ac:dyDescent="0.4">
      <c r="A469" s="461"/>
      <c r="B469" s="461"/>
      <c r="C469" s="461"/>
      <c r="D469" s="461"/>
      <c r="E469" s="461"/>
      <c r="F469" s="461"/>
      <c r="G469" s="461"/>
      <c r="H469" s="461"/>
      <c r="I469" s="463"/>
      <c r="J469" s="463"/>
      <c r="K469" s="461"/>
      <c r="L469" s="461"/>
      <c r="M469" s="461"/>
      <c r="N469" s="461"/>
      <c r="O469" s="461"/>
      <c r="P469" s="461"/>
      <c r="Q469" s="461"/>
      <c r="R469" s="461"/>
      <c r="S469" s="461"/>
      <c r="T469" s="461"/>
      <c r="U469" s="461"/>
      <c r="V469" s="461"/>
      <c r="W469" s="461"/>
      <c r="X469" s="461"/>
      <c r="Y469" s="461"/>
    </row>
    <row r="470" spans="1:25" ht="20.25" x14ac:dyDescent="0.4">
      <c r="A470" s="461"/>
      <c r="B470" s="461"/>
      <c r="C470" s="461"/>
      <c r="D470" s="461"/>
      <c r="E470" s="461"/>
      <c r="F470" s="461"/>
      <c r="G470" s="461"/>
      <c r="H470" s="461"/>
      <c r="I470" s="463"/>
      <c r="J470" s="463"/>
      <c r="K470" s="461"/>
      <c r="L470" s="461"/>
      <c r="M470" s="461"/>
      <c r="N470" s="461"/>
      <c r="O470" s="461"/>
      <c r="P470" s="461"/>
      <c r="Q470" s="461"/>
      <c r="R470" s="461"/>
      <c r="S470" s="461"/>
      <c r="T470" s="461"/>
      <c r="U470" s="461"/>
      <c r="V470" s="461"/>
      <c r="W470" s="461"/>
      <c r="X470" s="461"/>
      <c r="Y470" s="461"/>
    </row>
    <row r="471" spans="1:25" ht="20.25" x14ac:dyDescent="0.4">
      <c r="A471" s="461"/>
      <c r="B471" s="461"/>
      <c r="C471" s="461"/>
      <c r="D471" s="461"/>
      <c r="E471" s="461"/>
      <c r="F471" s="461"/>
      <c r="G471" s="461"/>
      <c r="H471" s="461"/>
      <c r="I471" s="463"/>
      <c r="J471" s="463"/>
      <c r="K471" s="461"/>
      <c r="L471" s="461"/>
      <c r="M471" s="461"/>
      <c r="N471" s="461"/>
      <c r="O471" s="461"/>
      <c r="P471" s="461"/>
      <c r="Q471" s="461"/>
      <c r="R471" s="461"/>
      <c r="S471" s="461"/>
      <c r="T471" s="461"/>
      <c r="U471" s="461"/>
      <c r="V471" s="461"/>
      <c r="W471" s="461"/>
      <c r="X471" s="461"/>
      <c r="Y471" s="461"/>
    </row>
    <row r="472" spans="1:25" ht="20.25" x14ac:dyDescent="0.4">
      <c r="A472" s="461"/>
      <c r="B472" s="461"/>
      <c r="C472" s="461"/>
      <c r="D472" s="461"/>
      <c r="E472" s="461"/>
      <c r="F472" s="461"/>
      <c r="G472" s="461"/>
      <c r="H472" s="461"/>
      <c r="I472" s="463"/>
      <c r="J472" s="463"/>
      <c r="K472" s="461"/>
      <c r="L472" s="461"/>
      <c r="M472" s="461"/>
      <c r="N472" s="461"/>
      <c r="O472" s="461"/>
      <c r="P472" s="461"/>
      <c r="Q472" s="461"/>
      <c r="R472" s="461"/>
      <c r="S472" s="461"/>
      <c r="T472" s="461"/>
      <c r="U472" s="461"/>
      <c r="V472" s="461"/>
      <c r="W472" s="461"/>
      <c r="X472" s="461"/>
      <c r="Y472" s="461"/>
    </row>
    <row r="473" spans="1:25" ht="20.25" x14ac:dyDescent="0.4">
      <c r="A473" s="461"/>
      <c r="B473" s="461"/>
      <c r="C473" s="461"/>
      <c r="D473" s="461"/>
      <c r="E473" s="461"/>
      <c r="F473" s="461"/>
      <c r="G473" s="461"/>
      <c r="H473" s="461"/>
      <c r="I473" s="463"/>
      <c r="J473" s="463"/>
      <c r="K473" s="461"/>
      <c r="L473" s="461"/>
      <c r="M473" s="461"/>
      <c r="N473" s="461"/>
      <c r="O473" s="461"/>
      <c r="P473" s="461"/>
      <c r="Q473" s="461"/>
      <c r="R473" s="461"/>
      <c r="S473" s="461"/>
      <c r="T473" s="461"/>
      <c r="U473" s="461"/>
      <c r="V473" s="461"/>
      <c r="W473" s="461"/>
      <c r="X473" s="461"/>
      <c r="Y473" s="461"/>
    </row>
    <row r="474" spans="1:25" ht="20.25" x14ac:dyDescent="0.4">
      <c r="A474" s="461"/>
      <c r="B474" s="461"/>
      <c r="C474" s="461"/>
      <c r="D474" s="461"/>
      <c r="E474" s="461"/>
      <c r="F474" s="461"/>
      <c r="G474" s="461"/>
      <c r="H474" s="461"/>
      <c r="I474" s="463"/>
      <c r="J474" s="463"/>
      <c r="K474" s="461"/>
      <c r="L474" s="461"/>
      <c r="M474" s="461"/>
      <c r="N474" s="461"/>
      <c r="O474" s="461"/>
      <c r="P474" s="461"/>
      <c r="Q474" s="461"/>
      <c r="R474" s="461"/>
      <c r="S474" s="461"/>
      <c r="T474" s="461"/>
      <c r="U474" s="461"/>
      <c r="V474" s="461"/>
      <c r="W474" s="461"/>
      <c r="X474" s="461"/>
      <c r="Y474" s="461"/>
    </row>
    <row r="475" spans="1:25" ht="20.25" x14ac:dyDescent="0.4">
      <c r="A475" s="461"/>
      <c r="B475" s="461"/>
      <c r="C475" s="461"/>
      <c r="D475" s="461"/>
      <c r="E475" s="461"/>
      <c r="F475" s="461"/>
      <c r="G475" s="461"/>
      <c r="H475" s="461"/>
      <c r="I475" s="463"/>
      <c r="J475" s="463"/>
      <c r="K475" s="461"/>
      <c r="L475" s="461"/>
      <c r="M475" s="461"/>
      <c r="N475" s="461"/>
      <c r="O475" s="461"/>
      <c r="P475" s="461"/>
      <c r="Q475" s="461"/>
      <c r="R475" s="461"/>
      <c r="S475" s="461"/>
      <c r="T475" s="461"/>
      <c r="U475" s="461"/>
      <c r="V475" s="461"/>
      <c r="W475" s="461"/>
      <c r="X475" s="461"/>
      <c r="Y475" s="461"/>
    </row>
    <row r="476" spans="1:25" ht="20.25" x14ac:dyDescent="0.4">
      <c r="A476" s="461"/>
      <c r="B476" s="461"/>
      <c r="C476" s="461"/>
      <c r="D476" s="461"/>
      <c r="E476" s="461"/>
      <c r="F476" s="461"/>
      <c r="G476" s="461"/>
      <c r="H476" s="461"/>
      <c r="I476" s="463"/>
      <c r="J476" s="463"/>
      <c r="K476" s="461"/>
      <c r="L476" s="461"/>
      <c r="M476" s="461"/>
      <c r="N476" s="461"/>
      <c r="O476" s="461"/>
      <c r="P476" s="461"/>
      <c r="Q476" s="461"/>
      <c r="R476" s="461"/>
      <c r="S476" s="461"/>
      <c r="T476" s="461"/>
      <c r="U476" s="461"/>
      <c r="V476" s="461"/>
      <c r="W476" s="461"/>
      <c r="X476" s="461"/>
      <c r="Y476" s="461"/>
    </row>
    <row r="477" spans="1:25" ht="20.25" x14ac:dyDescent="0.4">
      <c r="A477" s="461"/>
      <c r="B477" s="461"/>
      <c r="C477" s="461"/>
      <c r="D477" s="461"/>
      <c r="E477" s="461"/>
      <c r="F477" s="461"/>
      <c r="G477" s="461"/>
      <c r="H477" s="461"/>
      <c r="I477" s="463"/>
      <c r="J477" s="463"/>
      <c r="K477" s="461"/>
      <c r="L477" s="461"/>
      <c r="M477" s="461"/>
      <c r="N477" s="461"/>
      <c r="O477" s="461"/>
      <c r="P477" s="461"/>
      <c r="Q477" s="461"/>
      <c r="R477" s="461"/>
      <c r="S477" s="461"/>
      <c r="T477" s="461"/>
      <c r="U477" s="461"/>
      <c r="V477" s="461"/>
      <c r="W477" s="461"/>
      <c r="X477" s="461"/>
      <c r="Y477" s="461"/>
    </row>
    <row r="478" spans="1:25" ht="20.25" x14ac:dyDescent="0.4">
      <c r="A478" s="461"/>
      <c r="B478" s="461"/>
      <c r="C478" s="461"/>
      <c r="D478" s="461"/>
      <c r="E478" s="461"/>
      <c r="F478" s="461"/>
      <c r="G478" s="461"/>
      <c r="H478" s="461"/>
      <c r="I478" s="463"/>
      <c r="J478" s="463"/>
      <c r="K478" s="461"/>
      <c r="L478" s="461"/>
      <c r="M478" s="461"/>
      <c r="N478" s="461"/>
      <c r="O478" s="461"/>
      <c r="P478" s="461"/>
      <c r="Q478" s="461"/>
      <c r="R478" s="461"/>
      <c r="S478" s="461"/>
      <c r="T478" s="461"/>
      <c r="U478" s="461"/>
      <c r="V478" s="461"/>
      <c r="W478" s="461"/>
      <c r="X478" s="461"/>
      <c r="Y478" s="461"/>
    </row>
    <row r="479" spans="1:25" ht="20.25" x14ac:dyDescent="0.4">
      <c r="A479" s="461"/>
      <c r="B479" s="461"/>
      <c r="C479" s="461"/>
      <c r="D479" s="461"/>
      <c r="E479" s="461"/>
      <c r="F479" s="461"/>
      <c r="G479" s="461"/>
      <c r="H479" s="461"/>
      <c r="I479" s="463"/>
      <c r="J479" s="463"/>
      <c r="K479" s="461"/>
      <c r="L479" s="461"/>
      <c r="M479" s="461"/>
      <c r="N479" s="461"/>
      <c r="O479" s="461"/>
      <c r="P479" s="461"/>
      <c r="Q479" s="461"/>
      <c r="R479" s="461"/>
      <c r="S479" s="461"/>
      <c r="T479" s="461"/>
      <c r="U479" s="461"/>
      <c r="V479" s="461"/>
      <c r="W479" s="461"/>
      <c r="X479" s="461"/>
      <c r="Y479" s="461"/>
    </row>
    <row r="480" spans="1:25" ht="20.25" x14ac:dyDescent="0.4">
      <c r="A480" s="461"/>
      <c r="B480" s="461"/>
      <c r="C480" s="461"/>
      <c r="D480" s="461"/>
      <c r="E480" s="461"/>
      <c r="F480" s="461"/>
      <c r="G480" s="461"/>
      <c r="H480" s="461"/>
      <c r="I480" s="463"/>
      <c r="J480" s="463"/>
      <c r="K480" s="461"/>
      <c r="L480" s="461"/>
      <c r="M480" s="461"/>
      <c r="N480" s="461"/>
      <c r="O480" s="461"/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</row>
    <row r="481" spans="1:25" ht="20.25" x14ac:dyDescent="0.4">
      <c r="A481" s="461"/>
      <c r="B481" s="461"/>
      <c r="C481" s="461"/>
      <c r="D481" s="461"/>
      <c r="E481" s="461"/>
      <c r="F481" s="461"/>
      <c r="G481" s="461"/>
      <c r="H481" s="461"/>
      <c r="I481" s="463"/>
      <c r="J481" s="463"/>
      <c r="K481" s="461"/>
      <c r="L481" s="461"/>
      <c r="M481" s="461"/>
      <c r="N481" s="461"/>
      <c r="O481" s="461"/>
      <c r="P481" s="461"/>
      <c r="Q481" s="461"/>
      <c r="R481" s="461"/>
      <c r="S481" s="461"/>
      <c r="T481" s="461"/>
      <c r="U481" s="461"/>
      <c r="V481" s="461"/>
      <c r="W481" s="461"/>
      <c r="X481" s="461"/>
      <c r="Y481" s="461"/>
    </row>
    <row r="482" spans="1:25" ht="20.25" x14ac:dyDescent="0.4">
      <c r="A482" s="461"/>
      <c r="B482" s="461"/>
      <c r="C482" s="461"/>
      <c r="D482" s="461"/>
      <c r="E482" s="461"/>
      <c r="F482" s="461"/>
      <c r="G482" s="461"/>
      <c r="H482" s="461"/>
      <c r="I482" s="463"/>
      <c r="J482" s="463"/>
      <c r="K482" s="461"/>
      <c r="L482" s="461"/>
      <c r="M482" s="461"/>
      <c r="N482" s="461"/>
      <c r="O482" s="461"/>
      <c r="P482" s="461"/>
      <c r="Q482" s="461"/>
      <c r="R482" s="461"/>
      <c r="S482" s="461"/>
      <c r="T482" s="461"/>
      <c r="U482" s="461"/>
      <c r="V482" s="461"/>
      <c r="W482" s="461"/>
      <c r="X482" s="461"/>
      <c r="Y482" s="461"/>
    </row>
    <row r="483" spans="1:25" ht="20.25" x14ac:dyDescent="0.4">
      <c r="A483" s="461"/>
      <c r="B483" s="461"/>
      <c r="C483" s="461"/>
      <c r="D483" s="461"/>
      <c r="E483" s="461"/>
      <c r="F483" s="461"/>
      <c r="G483" s="461"/>
      <c r="H483" s="461"/>
      <c r="I483" s="463"/>
      <c r="J483" s="463"/>
      <c r="K483" s="461"/>
      <c r="L483" s="461"/>
      <c r="M483" s="461"/>
      <c r="N483" s="461"/>
      <c r="O483" s="461"/>
      <c r="P483" s="461"/>
      <c r="Q483" s="461"/>
      <c r="R483" s="461"/>
      <c r="S483" s="461"/>
      <c r="T483" s="461"/>
      <c r="U483" s="461"/>
      <c r="V483" s="461"/>
      <c r="W483" s="461"/>
      <c r="X483" s="461"/>
      <c r="Y483" s="461"/>
    </row>
    <row r="484" spans="1:25" ht="20.25" x14ac:dyDescent="0.4">
      <c r="A484" s="461"/>
      <c r="B484" s="461"/>
      <c r="C484" s="461"/>
      <c r="D484" s="461"/>
      <c r="E484" s="461"/>
      <c r="F484" s="461"/>
      <c r="G484" s="461"/>
      <c r="H484" s="461"/>
      <c r="I484" s="463"/>
      <c r="J484" s="463"/>
      <c r="K484" s="461"/>
      <c r="L484" s="461"/>
      <c r="M484" s="461"/>
      <c r="N484" s="461"/>
      <c r="O484" s="461"/>
      <c r="P484" s="461"/>
      <c r="Q484" s="461"/>
      <c r="R484" s="461"/>
      <c r="S484" s="461"/>
      <c r="T484" s="461"/>
      <c r="U484" s="461"/>
      <c r="V484" s="461"/>
      <c r="W484" s="461"/>
      <c r="X484" s="461"/>
      <c r="Y484" s="461"/>
    </row>
    <row r="485" spans="1:25" ht="20.25" x14ac:dyDescent="0.4">
      <c r="A485" s="461"/>
      <c r="B485" s="461"/>
      <c r="C485" s="461"/>
      <c r="D485" s="461"/>
      <c r="E485" s="461"/>
      <c r="F485" s="461"/>
      <c r="G485" s="461"/>
      <c r="H485" s="461"/>
      <c r="I485" s="463"/>
      <c r="J485" s="463"/>
      <c r="K485" s="461"/>
      <c r="L485" s="461"/>
      <c r="M485" s="461"/>
      <c r="N485" s="461"/>
      <c r="O485" s="461"/>
      <c r="P485" s="461"/>
      <c r="Q485" s="461"/>
      <c r="R485" s="461"/>
      <c r="S485" s="461"/>
      <c r="T485" s="461"/>
      <c r="U485" s="461"/>
      <c r="V485" s="461"/>
      <c r="W485" s="461"/>
      <c r="X485" s="461"/>
      <c r="Y485" s="461"/>
    </row>
    <row r="486" spans="1:25" ht="20.25" x14ac:dyDescent="0.4">
      <c r="A486" s="461"/>
      <c r="B486" s="461"/>
      <c r="C486" s="461"/>
      <c r="D486" s="461"/>
      <c r="E486" s="461"/>
      <c r="F486" s="461"/>
      <c r="G486" s="461"/>
      <c r="H486" s="461"/>
      <c r="I486" s="463"/>
      <c r="J486" s="463"/>
      <c r="K486" s="461"/>
      <c r="L486" s="461"/>
      <c r="M486" s="461"/>
      <c r="N486" s="461"/>
      <c r="O486" s="461"/>
      <c r="P486" s="461"/>
      <c r="Q486" s="461"/>
      <c r="R486" s="461"/>
      <c r="S486" s="461"/>
      <c r="T486" s="461"/>
      <c r="U486" s="461"/>
      <c r="V486" s="461"/>
      <c r="W486" s="461"/>
      <c r="X486" s="461"/>
      <c r="Y486" s="461"/>
    </row>
    <row r="487" spans="1:25" ht="20.25" x14ac:dyDescent="0.4">
      <c r="A487" s="461"/>
      <c r="B487" s="461"/>
      <c r="C487" s="461"/>
      <c r="D487" s="461"/>
      <c r="E487" s="461"/>
      <c r="F487" s="461"/>
      <c r="G487" s="461"/>
      <c r="H487" s="461"/>
      <c r="I487" s="463"/>
      <c r="J487" s="463"/>
      <c r="K487" s="461"/>
      <c r="L487" s="461"/>
      <c r="M487" s="461"/>
      <c r="N487" s="461"/>
      <c r="O487" s="461"/>
      <c r="P487" s="461"/>
      <c r="Q487" s="461"/>
      <c r="R487" s="461"/>
      <c r="S487" s="461"/>
      <c r="T487" s="461"/>
      <c r="U487" s="461"/>
      <c r="V487" s="461"/>
      <c r="W487" s="461"/>
      <c r="X487" s="461"/>
      <c r="Y487" s="461"/>
    </row>
    <row r="488" spans="1:25" ht="20.25" x14ac:dyDescent="0.4">
      <c r="A488" s="461"/>
      <c r="B488" s="461"/>
      <c r="C488" s="461"/>
      <c r="D488" s="461"/>
      <c r="E488" s="461"/>
      <c r="F488" s="461"/>
      <c r="G488" s="461"/>
      <c r="H488" s="461"/>
      <c r="I488" s="463"/>
      <c r="J488" s="463"/>
      <c r="K488" s="461"/>
      <c r="L488" s="461"/>
      <c r="M488" s="461"/>
      <c r="N488" s="461"/>
      <c r="O488" s="461"/>
      <c r="P488" s="461"/>
      <c r="Q488" s="461"/>
      <c r="R488" s="461"/>
      <c r="S488" s="461"/>
      <c r="T488" s="461"/>
      <c r="U488" s="461"/>
      <c r="V488" s="461"/>
      <c r="W488" s="461"/>
      <c r="X488" s="461"/>
      <c r="Y488" s="461"/>
    </row>
    <row r="489" spans="1:25" ht="20.25" x14ac:dyDescent="0.4">
      <c r="A489" s="461"/>
      <c r="B489" s="461"/>
      <c r="C489" s="461"/>
      <c r="D489" s="461"/>
      <c r="E489" s="461"/>
      <c r="F489" s="461"/>
      <c r="G489" s="461"/>
      <c r="H489" s="461"/>
      <c r="I489" s="463"/>
      <c r="J489" s="463"/>
      <c r="K489" s="461"/>
      <c r="L489" s="461"/>
      <c r="M489" s="461"/>
      <c r="N489" s="461"/>
      <c r="O489" s="461"/>
      <c r="P489" s="461"/>
      <c r="Q489" s="461"/>
      <c r="R489" s="461"/>
      <c r="S489" s="461"/>
      <c r="T489" s="461"/>
      <c r="U489" s="461"/>
      <c r="V489" s="461"/>
      <c r="W489" s="461"/>
      <c r="X489" s="461"/>
      <c r="Y489" s="461"/>
    </row>
    <row r="490" spans="1:25" ht="20.25" x14ac:dyDescent="0.4">
      <c r="A490" s="461"/>
      <c r="B490" s="461"/>
      <c r="C490" s="461"/>
      <c r="D490" s="461"/>
      <c r="E490" s="461"/>
      <c r="F490" s="461"/>
      <c r="G490" s="461"/>
      <c r="H490" s="461"/>
      <c r="I490" s="463"/>
      <c r="J490" s="463"/>
      <c r="K490" s="461"/>
      <c r="L490" s="461"/>
      <c r="M490" s="461"/>
      <c r="N490" s="461"/>
      <c r="O490" s="461"/>
      <c r="P490" s="461"/>
      <c r="Q490" s="461"/>
      <c r="R490" s="461"/>
      <c r="S490" s="461"/>
      <c r="T490" s="461"/>
      <c r="U490" s="461"/>
      <c r="V490" s="461"/>
      <c r="W490" s="461"/>
      <c r="X490" s="461"/>
      <c r="Y490" s="461"/>
    </row>
    <row r="491" spans="1:25" ht="20.25" x14ac:dyDescent="0.4">
      <c r="A491" s="461"/>
      <c r="B491" s="461"/>
      <c r="C491" s="461"/>
      <c r="D491" s="461"/>
      <c r="E491" s="461"/>
      <c r="F491" s="461"/>
      <c r="G491" s="461"/>
      <c r="H491" s="461"/>
      <c r="I491" s="463"/>
      <c r="J491" s="463"/>
      <c r="K491" s="461"/>
      <c r="L491" s="461"/>
      <c r="M491" s="461"/>
      <c r="N491" s="461"/>
      <c r="O491" s="461"/>
      <c r="P491" s="461"/>
      <c r="Q491" s="461"/>
      <c r="R491" s="461"/>
      <c r="S491" s="461"/>
      <c r="T491" s="461"/>
      <c r="U491" s="461"/>
      <c r="V491" s="461"/>
      <c r="W491" s="461"/>
      <c r="X491" s="461"/>
      <c r="Y491" s="461"/>
    </row>
    <row r="492" spans="1:25" ht="20.25" x14ac:dyDescent="0.4">
      <c r="A492" s="461"/>
      <c r="B492" s="461"/>
      <c r="C492" s="461"/>
      <c r="D492" s="461"/>
      <c r="E492" s="461"/>
      <c r="F492" s="461"/>
      <c r="G492" s="461"/>
      <c r="H492" s="461"/>
      <c r="I492" s="463"/>
      <c r="J492" s="463"/>
      <c r="K492" s="461"/>
      <c r="L492" s="461"/>
      <c r="M492" s="461"/>
      <c r="N492" s="461"/>
      <c r="O492" s="461"/>
      <c r="P492" s="461"/>
      <c r="Q492" s="461"/>
      <c r="R492" s="461"/>
      <c r="S492" s="461"/>
      <c r="T492" s="461"/>
      <c r="U492" s="461"/>
      <c r="V492" s="461"/>
      <c r="W492" s="461"/>
      <c r="X492" s="461"/>
      <c r="Y492" s="461"/>
    </row>
    <row r="493" spans="1:25" ht="20.25" x14ac:dyDescent="0.4">
      <c r="A493" s="461"/>
      <c r="B493" s="461"/>
      <c r="C493" s="461"/>
      <c r="D493" s="461"/>
      <c r="E493" s="461"/>
      <c r="F493" s="461"/>
      <c r="G493" s="461"/>
      <c r="H493" s="461"/>
      <c r="I493" s="463"/>
      <c r="J493" s="463"/>
      <c r="K493" s="461"/>
      <c r="L493" s="461"/>
      <c r="M493" s="461"/>
      <c r="N493" s="461"/>
      <c r="O493" s="461"/>
      <c r="P493" s="461"/>
      <c r="Q493" s="461"/>
      <c r="R493" s="461"/>
      <c r="S493" s="461"/>
      <c r="T493" s="461"/>
      <c r="U493" s="461"/>
      <c r="V493" s="461"/>
      <c r="W493" s="461"/>
      <c r="X493" s="461"/>
      <c r="Y493" s="461"/>
    </row>
    <row r="494" spans="1:25" ht="20.25" x14ac:dyDescent="0.4">
      <c r="A494" s="461"/>
      <c r="B494" s="461"/>
      <c r="C494" s="461"/>
      <c r="D494" s="461"/>
      <c r="E494" s="461"/>
      <c r="F494" s="461"/>
      <c r="G494" s="461"/>
      <c r="H494" s="461"/>
      <c r="I494" s="463"/>
      <c r="J494" s="463"/>
      <c r="K494" s="461"/>
      <c r="L494" s="461"/>
      <c r="M494" s="461"/>
      <c r="N494" s="461"/>
      <c r="O494" s="461"/>
      <c r="P494" s="461"/>
      <c r="Q494" s="461"/>
      <c r="R494" s="461"/>
      <c r="S494" s="461"/>
      <c r="T494" s="461"/>
      <c r="U494" s="461"/>
      <c r="V494" s="461"/>
      <c r="W494" s="461"/>
      <c r="X494" s="461"/>
      <c r="Y494" s="461"/>
    </row>
    <row r="495" spans="1:25" ht="20.25" x14ac:dyDescent="0.4">
      <c r="A495" s="461"/>
      <c r="B495" s="461"/>
      <c r="C495" s="461"/>
      <c r="D495" s="461"/>
      <c r="E495" s="461"/>
      <c r="F495" s="461"/>
      <c r="G495" s="461"/>
      <c r="H495" s="461"/>
      <c r="I495" s="463"/>
      <c r="J495" s="463"/>
      <c r="K495" s="461"/>
      <c r="L495" s="461"/>
      <c r="M495" s="461"/>
      <c r="N495" s="461"/>
      <c r="O495" s="461"/>
      <c r="P495" s="461"/>
      <c r="Q495" s="461"/>
      <c r="R495" s="461"/>
      <c r="S495" s="461"/>
      <c r="T495" s="461"/>
      <c r="U495" s="461"/>
      <c r="V495" s="461"/>
      <c r="W495" s="461"/>
      <c r="X495" s="461"/>
      <c r="Y495" s="461"/>
    </row>
    <row r="496" spans="1:25" ht="20.25" x14ac:dyDescent="0.4">
      <c r="A496" s="461"/>
      <c r="B496" s="461"/>
      <c r="C496" s="461"/>
      <c r="D496" s="461"/>
      <c r="E496" s="461"/>
      <c r="F496" s="461"/>
      <c r="G496" s="461"/>
      <c r="H496" s="461"/>
      <c r="I496" s="463"/>
      <c r="J496" s="463"/>
      <c r="K496" s="461"/>
      <c r="L496" s="461"/>
      <c r="M496" s="461"/>
      <c r="N496" s="461"/>
      <c r="O496" s="461"/>
      <c r="P496" s="461"/>
      <c r="Q496" s="461"/>
      <c r="R496" s="461"/>
      <c r="S496" s="461"/>
      <c r="T496" s="461"/>
      <c r="U496" s="461"/>
      <c r="V496" s="461"/>
      <c r="W496" s="461"/>
      <c r="X496" s="461"/>
      <c r="Y496" s="461"/>
    </row>
    <row r="497" spans="1:25" ht="20.25" x14ac:dyDescent="0.4">
      <c r="A497" s="461"/>
      <c r="B497" s="461"/>
      <c r="C497" s="461"/>
      <c r="D497" s="461"/>
      <c r="E497" s="461"/>
      <c r="F497" s="461"/>
      <c r="G497" s="461"/>
      <c r="H497" s="461"/>
      <c r="I497" s="463"/>
      <c r="J497" s="463"/>
      <c r="K497" s="461"/>
      <c r="L497" s="461"/>
      <c r="M497" s="461"/>
      <c r="N497" s="461"/>
      <c r="O497" s="461"/>
      <c r="P497" s="461"/>
      <c r="Q497" s="461"/>
      <c r="R497" s="461"/>
      <c r="S497" s="461"/>
      <c r="T497" s="461"/>
      <c r="U497" s="461"/>
      <c r="V497" s="461"/>
      <c r="W497" s="461"/>
      <c r="X497" s="461"/>
      <c r="Y497" s="461"/>
    </row>
    <row r="498" spans="1:25" ht="20.25" x14ac:dyDescent="0.4">
      <c r="A498" s="461"/>
      <c r="B498" s="461"/>
      <c r="C498" s="461"/>
      <c r="D498" s="461"/>
      <c r="E498" s="461"/>
      <c r="F498" s="461"/>
      <c r="G498" s="461"/>
      <c r="H498" s="461"/>
      <c r="I498" s="463"/>
      <c r="J498" s="463"/>
      <c r="K498" s="461"/>
      <c r="L498" s="461"/>
      <c r="M498" s="461"/>
      <c r="N498" s="461"/>
      <c r="O498" s="461"/>
      <c r="P498" s="461"/>
      <c r="Q498" s="461"/>
      <c r="R498" s="461"/>
      <c r="S498" s="461"/>
      <c r="T498" s="461"/>
      <c r="U498" s="461"/>
      <c r="V498" s="461"/>
      <c r="W498" s="461"/>
      <c r="X498" s="461"/>
      <c r="Y498" s="461"/>
    </row>
    <row r="499" spans="1:25" ht="20.25" x14ac:dyDescent="0.4">
      <c r="A499" s="461"/>
      <c r="B499" s="461"/>
      <c r="C499" s="461"/>
      <c r="D499" s="461"/>
      <c r="E499" s="461"/>
      <c r="F499" s="461"/>
      <c r="G499" s="461"/>
      <c r="H499" s="461"/>
      <c r="I499" s="463"/>
      <c r="J499" s="463"/>
      <c r="K499" s="461"/>
      <c r="L499" s="461"/>
      <c r="M499" s="461"/>
      <c r="N499" s="461"/>
      <c r="O499" s="461"/>
      <c r="P499" s="461"/>
      <c r="Q499" s="461"/>
      <c r="R499" s="461"/>
      <c r="S499" s="461"/>
      <c r="T499" s="461"/>
      <c r="U499" s="461"/>
      <c r="V499" s="461"/>
      <c r="W499" s="461"/>
      <c r="X499" s="461"/>
      <c r="Y499" s="461"/>
    </row>
    <row r="500" spans="1:25" ht="20.25" x14ac:dyDescent="0.4">
      <c r="A500" s="461"/>
      <c r="B500" s="461"/>
      <c r="C500" s="461"/>
      <c r="D500" s="461"/>
      <c r="E500" s="461"/>
      <c r="F500" s="461"/>
      <c r="G500" s="461"/>
      <c r="H500" s="461"/>
      <c r="I500" s="463"/>
      <c r="J500" s="463"/>
      <c r="K500" s="461"/>
      <c r="L500" s="461"/>
      <c r="M500" s="461"/>
      <c r="N500" s="461"/>
      <c r="O500" s="461"/>
      <c r="P500" s="461"/>
      <c r="Q500" s="461"/>
      <c r="R500" s="461"/>
      <c r="S500" s="461"/>
      <c r="T500" s="461"/>
      <c r="U500" s="461"/>
      <c r="V500" s="461"/>
      <c r="W500" s="461"/>
      <c r="X500" s="461"/>
      <c r="Y500" s="461"/>
    </row>
    <row r="501" spans="1:25" ht="20.25" x14ac:dyDescent="0.4">
      <c r="A501" s="461"/>
      <c r="B501" s="461"/>
      <c r="C501" s="461"/>
      <c r="D501" s="461"/>
      <c r="E501" s="461"/>
      <c r="F501" s="461"/>
      <c r="G501" s="461"/>
      <c r="H501" s="461"/>
      <c r="I501" s="463"/>
      <c r="J501" s="463"/>
      <c r="K501" s="461"/>
      <c r="L501" s="461"/>
      <c r="M501" s="461"/>
      <c r="N501" s="461"/>
      <c r="O501" s="461"/>
      <c r="P501" s="461"/>
      <c r="Q501" s="461"/>
      <c r="R501" s="461"/>
      <c r="S501" s="461"/>
      <c r="T501" s="461"/>
      <c r="U501" s="461"/>
      <c r="V501" s="461"/>
      <c r="W501" s="461"/>
      <c r="X501" s="461"/>
      <c r="Y501" s="461"/>
    </row>
    <row r="502" spans="1:25" ht="20.25" x14ac:dyDescent="0.4">
      <c r="A502" s="461"/>
      <c r="B502" s="461"/>
      <c r="C502" s="461"/>
      <c r="D502" s="461"/>
      <c r="E502" s="461"/>
      <c r="F502" s="461"/>
      <c r="G502" s="461"/>
      <c r="H502" s="461"/>
      <c r="I502" s="463"/>
      <c r="J502" s="463"/>
      <c r="K502" s="461"/>
      <c r="L502" s="461"/>
      <c r="M502" s="461"/>
      <c r="N502" s="461"/>
      <c r="O502" s="461"/>
      <c r="P502" s="461"/>
      <c r="Q502" s="461"/>
      <c r="R502" s="461"/>
      <c r="S502" s="461"/>
      <c r="T502" s="461"/>
      <c r="U502" s="461"/>
      <c r="V502" s="461"/>
      <c r="W502" s="461"/>
      <c r="X502" s="461"/>
      <c r="Y502" s="461"/>
    </row>
    <row r="503" spans="1:25" ht="20.25" x14ac:dyDescent="0.4">
      <c r="A503" s="461"/>
      <c r="B503" s="461"/>
      <c r="C503" s="461"/>
      <c r="D503" s="461"/>
      <c r="E503" s="461"/>
      <c r="F503" s="461"/>
      <c r="G503" s="461"/>
      <c r="H503" s="461"/>
      <c r="I503" s="463"/>
      <c r="J503" s="463"/>
      <c r="K503" s="461"/>
      <c r="L503" s="461"/>
      <c r="M503" s="461"/>
      <c r="N503" s="461"/>
      <c r="O503" s="461"/>
      <c r="P503" s="461"/>
      <c r="Q503" s="461"/>
      <c r="R503" s="461"/>
      <c r="S503" s="461"/>
      <c r="T503" s="461"/>
      <c r="U503" s="461"/>
      <c r="V503" s="461"/>
      <c r="W503" s="461"/>
      <c r="X503" s="461"/>
      <c r="Y503" s="461"/>
    </row>
    <row r="504" spans="1:25" ht="20.25" x14ac:dyDescent="0.4">
      <c r="A504" s="461"/>
      <c r="B504" s="461"/>
      <c r="C504" s="461"/>
      <c r="D504" s="461"/>
      <c r="E504" s="461"/>
      <c r="F504" s="461"/>
      <c r="G504" s="461"/>
      <c r="H504" s="461"/>
      <c r="I504" s="463"/>
      <c r="J504" s="463"/>
      <c r="K504" s="461"/>
      <c r="L504" s="461"/>
      <c r="M504" s="461"/>
      <c r="N504" s="461"/>
      <c r="O504" s="461"/>
      <c r="P504" s="461"/>
      <c r="Q504" s="461"/>
      <c r="R504" s="461"/>
      <c r="S504" s="461"/>
      <c r="T504" s="461"/>
      <c r="U504" s="461"/>
      <c r="V504" s="461"/>
      <c r="W504" s="461"/>
      <c r="X504" s="461"/>
      <c r="Y504" s="461"/>
    </row>
    <row r="505" spans="1:25" ht="20.25" x14ac:dyDescent="0.4">
      <c r="A505" s="461"/>
      <c r="B505" s="461"/>
      <c r="C505" s="461"/>
      <c r="D505" s="461"/>
      <c r="E505" s="461"/>
      <c r="F505" s="461"/>
      <c r="G505" s="461"/>
      <c r="H505" s="461"/>
      <c r="I505" s="463"/>
      <c r="J505" s="463"/>
      <c r="K505" s="461"/>
      <c r="L505" s="461"/>
      <c r="M505" s="461"/>
      <c r="N505" s="461"/>
      <c r="O505" s="461"/>
      <c r="P505" s="461"/>
      <c r="Q505" s="461"/>
      <c r="R505" s="461"/>
      <c r="S505" s="461"/>
      <c r="T505" s="461"/>
      <c r="U505" s="461"/>
      <c r="V505" s="461"/>
      <c r="W505" s="461"/>
      <c r="X505" s="461"/>
      <c r="Y505" s="461"/>
    </row>
    <row r="506" spans="1:25" ht="20.25" x14ac:dyDescent="0.4">
      <c r="A506" s="461"/>
      <c r="B506" s="461"/>
      <c r="C506" s="461"/>
      <c r="D506" s="461"/>
      <c r="E506" s="461"/>
      <c r="F506" s="461"/>
      <c r="G506" s="461"/>
      <c r="H506" s="461"/>
      <c r="I506" s="463"/>
      <c r="J506" s="463"/>
      <c r="K506" s="461"/>
      <c r="L506" s="461"/>
      <c r="M506" s="461"/>
      <c r="N506" s="461"/>
      <c r="O506" s="461"/>
      <c r="P506" s="461"/>
      <c r="Q506" s="461"/>
      <c r="R506" s="461"/>
      <c r="S506" s="461"/>
      <c r="T506" s="461"/>
      <c r="U506" s="461"/>
      <c r="V506" s="461"/>
      <c r="W506" s="461"/>
      <c r="X506" s="461"/>
      <c r="Y506" s="461"/>
    </row>
    <row r="507" spans="1:25" ht="20.25" x14ac:dyDescent="0.4">
      <c r="A507" s="461"/>
      <c r="B507" s="461"/>
      <c r="C507" s="461"/>
      <c r="D507" s="461"/>
      <c r="E507" s="461"/>
      <c r="F507" s="461"/>
      <c r="G507" s="461"/>
      <c r="H507" s="461"/>
      <c r="I507" s="463"/>
      <c r="J507" s="463"/>
      <c r="K507" s="461"/>
      <c r="L507" s="461"/>
      <c r="M507" s="461"/>
      <c r="N507" s="461"/>
      <c r="O507" s="461"/>
      <c r="P507" s="461"/>
      <c r="Q507" s="461"/>
      <c r="R507" s="461"/>
      <c r="S507" s="461"/>
      <c r="T507" s="461"/>
      <c r="U507" s="461"/>
      <c r="V507" s="461"/>
      <c r="W507" s="461"/>
      <c r="X507" s="461"/>
      <c r="Y507" s="461"/>
    </row>
    <row r="508" spans="1:25" ht="20.25" x14ac:dyDescent="0.4">
      <c r="A508" s="461"/>
      <c r="B508" s="461"/>
      <c r="C508" s="461"/>
      <c r="D508" s="461"/>
      <c r="E508" s="461"/>
      <c r="F508" s="461"/>
      <c r="G508" s="461"/>
      <c r="H508" s="461"/>
      <c r="I508" s="463"/>
      <c r="J508" s="463"/>
      <c r="K508" s="461"/>
      <c r="L508" s="461"/>
      <c r="M508" s="461"/>
      <c r="N508" s="461"/>
      <c r="O508" s="461"/>
      <c r="P508" s="461"/>
      <c r="Q508" s="461"/>
      <c r="R508" s="461"/>
      <c r="S508" s="461"/>
      <c r="T508" s="461"/>
      <c r="U508" s="461"/>
      <c r="V508" s="461"/>
      <c r="W508" s="461"/>
      <c r="X508" s="461"/>
      <c r="Y508" s="461"/>
    </row>
    <row r="509" spans="1:25" ht="20.25" x14ac:dyDescent="0.4">
      <c r="A509" s="461"/>
      <c r="B509" s="461"/>
      <c r="C509" s="461"/>
      <c r="D509" s="461"/>
      <c r="E509" s="461"/>
      <c r="F509" s="461"/>
      <c r="G509" s="461"/>
      <c r="H509" s="461"/>
      <c r="I509" s="463"/>
      <c r="J509" s="463"/>
      <c r="K509" s="461"/>
      <c r="L509" s="461"/>
      <c r="M509" s="461"/>
      <c r="N509" s="461"/>
      <c r="O509" s="461"/>
      <c r="P509" s="461"/>
      <c r="Q509" s="461"/>
      <c r="R509" s="461"/>
      <c r="S509" s="461"/>
      <c r="T509" s="461"/>
      <c r="U509" s="461"/>
      <c r="V509" s="461"/>
      <c r="W509" s="461"/>
      <c r="X509" s="461"/>
      <c r="Y509" s="461"/>
    </row>
    <row r="510" spans="1:25" ht="20.25" x14ac:dyDescent="0.4">
      <c r="A510" s="461"/>
      <c r="B510" s="461"/>
      <c r="C510" s="461"/>
      <c r="D510" s="461"/>
      <c r="E510" s="461"/>
      <c r="F510" s="461"/>
      <c r="G510" s="461"/>
      <c r="H510" s="461"/>
      <c r="I510" s="463"/>
      <c r="J510" s="463"/>
      <c r="K510" s="461"/>
      <c r="L510" s="461"/>
      <c r="M510" s="461"/>
      <c r="N510" s="461"/>
      <c r="O510" s="461"/>
      <c r="P510" s="461"/>
      <c r="Q510" s="461"/>
      <c r="R510" s="461"/>
      <c r="S510" s="461"/>
      <c r="T510" s="461"/>
      <c r="U510" s="461"/>
      <c r="V510" s="461"/>
      <c r="W510" s="461"/>
      <c r="X510" s="461"/>
      <c r="Y510" s="461"/>
    </row>
    <row r="511" spans="1:25" ht="20.25" x14ac:dyDescent="0.4">
      <c r="A511" s="461"/>
      <c r="B511" s="461"/>
      <c r="C511" s="461"/>
      <c r="D511" s="461"/>
      <c r="E511" s="461"/>
      <c r="F511" s="461"/>
      <c r="G511" s="461"/>
      <c r="H511" s="461"/>
      <c r="I511" s="463"/>
      <c r="J511" s="463"/>
      <c r="K511" s="461"/>
      <c r="L511" s="461"/>
      <c r="M511" s="461"/>
      <c r="N511" s="461"/>
      <c r="O511" s="461"/>
      <c r="P511" s="461"/>
      <c r="Q511" s="461"/>
      <c r="R511" s="461"/>
      <c r="S511" s="461"/>
      <c r="T511" s="461"/>
      <c r="U511" s="461"/>
      <c r="V511" s="461"/>
      <c r="W511" s="461"/>
      <c r="X511" s="461"/>
      <c r="Y511" s="461"/>
    </row>
    <row r="512" spans="1:25" ht="20.25" x14ac:dyDescent="0.4">
      <c r="A512" s="461"/>
      <c r="B512" s="461"/>
      <c r="C512" s="461"/>
      <c r="D512" s="461"/>
      <c r="E512" s="461"/>
      <c r="F512" s="461"/>
      <c r="G512" s="461"/>
      <c r="H512" s="461"/>
      <c r="I512" s="463"/>
      <c r="J512" s="463"/>
      <c r="K512" s="461"/>
      <c r="L512" s="461"/>
      <c r="M512" s="461"/>
      <c r="N512" s="461"/>
      <c r="O512" s="461"/>
      <c r="P512" s="461"/>
      <c r="Q512" s="461"/>
      <c r="R512" s="461"/>
      <c r="S512" s="461"/>
      <c r="T512" s="461"/>
      <c r="U512" s="461"/>
      <c r="V512" s="461"/>
      <c r="W512" s="461"/>
      <c r="X512" s="461"/>
      <c r="Y512" s="461"/>
    </row>
    <row r="513" spans="1:25" ht="20.25" x14ac:dyDescent="0.4">
      <c r="A513" s="461"/>
      <c r="B513" s="461"/>
      <c r="C513" s="461"/>
      <c r="D513" s="461"/>
      <c r="E513" s="461"/>
      <c r="F513" s="461"/>
      <c r="G513" s="461"/>
      <c r="H513" s="461"/>
      <c r="I513" s="463"/>
      <c r="J513" s="463"/>
      <c r="K513" s="461"/>
      <c r="L513" s="461"/>
      <c r="M513" s="461"/>
      <c r="N513" s="461"/>
      <c r="O513" s="461"/>
      <c r="P513" s="461"/>
      <c r="Q513" s="461"/>
      <c r="R513" s="461"/>
      <c r="S513" s="461"/>
      <c r="T513" s="461"/>
      <c r="U513" s="461"/>
      <c r="V513" s="461"/>
      <c r="W513" s="461"/>
      <c r="X513" s="461"/>
      <c r="Y513" s="461"/>
    </row>
    <row r="514" spans="1:25" ht="20.25" x14ac:dyDescent="0.4">
      <c r="A514" s="461"/>
      <c r="B514" s="461"/>
      <c r="C514" s="461"/>
      <c r="D514" s="461"/>
      <c r="E514" s="461"/>
      <c r="F514" s="461"/>
      <c r="G514" s="461"/>
      <c r="H514" s="461"/>
      <c r="I514" s="463"/>
      <c r="J514" s="463"/>
      <c r="K514" s="461"/>
      <c r="L514" s="461"/>
      <c r="M514" s="461"/>
      <c r="N514" s="461"/>
      <c r="O514" s="461"/>
      <c r="P514" s="461"/>
      <c r="Q514" s="461"/>
      <c r="R514" s="461"/>
      <c r="S514" s="461"/>
      <c r="T514" s="461"/>
      <c r="U514" s="461"/>
      <c r="V514" s="461"/>
      <c r="W514" s="461"/>
      <c r="X514" s="461"/>
      <c r="Y514" s="461"/>
    </row>
    <row r="515" spans="1:25" ht="20.25" x14ac:dyDescent="0.4">
      <c r="A515" s="461"/>
      <c r="B515" s="461"/>
      <c r="C515" s="461"/>
      <c r="D515" s="461"/>
      <c r="E515" s="461"/>
      <c r="F515" s="461"/>
      <c r="G515" s="461"/>
      <c r="H515" s="461"/>
      <c r="I515" s="463"/>
      <c r="J515" s="463"/>
      <c r="K515" s="461"/>
      <c r="L515" s="461"/>
      <c r="M515" s="461"/>
      <c r="N515" s="461"/>
      <c r="O515" s="461"/>
      <c r="P515" s="461"/>
      <c r="Q515" s="461"/>
      <c r="R515" s="461"/>
      <c r="S515" s="461"/>
      <c r="T515" s="461"/>
      <c r="U515" s="461"/>
      <c r="V515" s="461"/>
      <c r="W515" s="461"/>
      <c r="X515" s="461"/>
      <c r="Y515" s="461"/>
    </row>
    <row r="516" spans="1:25" ht="20.25" x14ac:dyDescent="0.4">
      <c r="A516" s="461"/>
      <c r="B516" s="461"/>
      <c r="C516" s="461"/>
      <c r="D516" s="461"/>
      <c r="E516" s="461"/>
      <c r="F516" s="461"/>
      <c r="G516" s="461"/>
      <c r="H516" s="461"/>
      <c r="I516" s="463"/>
      <c r="J516" s="463"/>
      <c r="K516" s="461"/>
      <c r="L516" s="461"/>
      <c r="M516" s="461"/>
      <c r="N516" s="461"/>
      <c r="O516" s="461"/>
      <c r="P516" s="461"/>
      <c r="Q516" s="461"/>
      <c r="R516" s="461"/>
      <c r="S516" s="461"/>
      <c r="T516" s="461"/>
      <c r="U516" s="461"/>
      <c r="V516" s="461"/>
      <c r="W516" s="461"/>
      <c r="X516" s="461"/>
      <c r="Y516" s="461"/>
    </row>
    <row r="517" spans="1:25" ht="20.25" x14ac:dyDescent="0.4">
      <c r="A517" s="461"/>
      <c r="B517" s="461"/>
      <c r="C517" s="461"/>
      <c r="D517" s="461"/>
      <c r="E517" s="461"/>
      <c r="F517" s="461"/>
      <c r="G517" s="461"/>
      <c r="H517" s="461"/>
      <c r="I517" s="463"/>
      <c r="J517" s="463"/>
      <c r="K517" s="461"/>
      <c r="L517" s="461"/>
      <c r="M517" s="461"/>
      <c r="N517" s="461"/>
      <c r="O517" s="461"/>
      <c r="P517" s="461"/>
      <c r="Q517" s="461"/>
      <c r="R517" s="461"/>
      <c r="S517" s="461"/>
      <c r="T517" s="461"/>
      <c r="U517" s="461"/>
      <c r="V517" s="461"/>
      <c r="W517" s="461"/>
      <c r="X517" s="461"/>
      <c r="Y517" s="461"/>
    </row>
    <row r="518" spans="1:25" ht="20.25" x14ac:dyDescent="0.4">
      <c r="A518" s="461"/>
      <c r="B518" s="461"/>
      <c r="C518" s="461"/>
      <c r="D518" s="461"/>
      <c r="E518" s="461"/>
      <c r="F518" s="461"/>
      <c r="G518" s="461"/>
      <c r="H518" s="461"/>
      <c r="I518" s="463"/>
      <c r="J518" s="463"/>
      <c r="K518" s="461"/>
      <c r="L518" s="461"/>
      <c r="M518" s="461"/>
      <c r="N518" s="461"/>
      <c r="O518" s="461"/>
      <c r="P518" s="461"/>
      <c r="Q518" s="461"/>
      <c r="R518" s="461"/>
      <c r="S518" s="461"/>
      <c r="T518" s="461"/>
      <c r="U518" s="461"/>
      <c r="V518" s="461"/>
      <c r="W518" s="461"/>
      <c r="X518" s="461"/>
      <c r="Y518" s="461"/>
    </row>
    <row r="519" spans="1:25" ht="20.25" x14ac:dyDescent="0.4">
      <c r="A519" s="461"/>
      <c r="B519" s="461"/>
      <c r="C519" s="461"/>
      <c r="D519" s="461"/>
      <c r="E519" s="461"/>
      <c r="F519" s="461"/>
      <c r="G519" s="461"/>
      <c r="H519" s="461"/>
      <c r="I519" s="463"/>
      <c r="J519" s="463"/>
      <c r="K519" s="461"/>
      <c r="L519" s="461"/>
      <c r="M519" s="461"/>
      <c r="N519" s="461"/>
      <c r="O519" s="461"/>
      <c r="P519" s="461"/>
      <c r="Q519" s="461"/>
      <c r="R519" s="461"/>
      <c r="S519" s="461"/>
      <c r="T519" s="461"/>
      <c r="U519" s="461"/>
      <c r="V519" s="461"/>
      <c r="W519" s="461"/>
      <c r="X519" s="461"/>
      <c r="Y519" s="461"/>
    </row>
    <row r="520" spans="1:25" ht="20.25" x14ac:dyDescent="0.4">
      <c r="A520" s="461"/>
      <c r="B520" s="461"/>
      <c r="C520" s="461"/>
      <c r="D520" s="461"/>
      <c r="E520" s="461"/>
      <c r="F520" s="461"/>
      <c r="G520" s="461"/>
      <c r="H520" s="461"/>
      <c r="I520" s="463"/>
      <c r="J520" s="463"/>
      <c r="K520" s="461"/>
      <c r="L520" s="461"/>
      <c r="M520" s="461"/>
      <c r="N520" s="461"/>
      <c r="O520" s="461"/>
      <c r="P520" s="461"/>
      <c r="Q520" s="461"/>
      <c r="R520" s="461"/>
      <c r="S520" s="461"/>
      <c r="T520" s="461"/>
      <c r="U520" s="461"/>
      <c r="V520" s="461"/>
      <c r="W520" s="461"/>
      <c r="X520" s="461"/>
      <c r="Y520" s="461"/>
    </row>
    <row r="521" spans="1:25" ht="20.25" x14ac:dyDescent="0.4">
      <c r="A521" s="461"/>
      <c r="B521" s="461"/>
      <c r="C521" s="461"/>
      <c r="D521" s="461"/>
      <c r="E521" s="461"/>
      <c r="F521" s="461"/>
      <c r="G521" s="461"/>
      <c r="H521" s="461"/>
      <c r="I521" s="463"/>
      <c r="J521" s="463"/>
      <c r="K521" s="461"/>
      <c r="L521" s="461"/>
      <c r="M521" s="461"/>
      <c r="N521" s="461"/>
      <c r="O521" s="461"/>
      <c r="P521" s="461"/>
      <c r="Q521" s="461"/>
      <c r="R521" s="461"/>
      <c r="S521" s="461"/>
      <c r="T521" s="461"/>
      <c r="U521" s="461"/>
      <c r="V521" s="461"/>
      <c r="W521" s="461"/>
      <c r="X521" s="461"/>
      <c r="Y521" s="461"/>
    </row>
    <row r="522" spans="1:25" ht="20.25" x14ac:dyDescent="0.4">
      <c r="A522" s="461"/>
      <c r="B522" s="461"/>
      <c r="C522" s="461"/>
      <c r="D522" s="461"/>
      <c r="E522" s="461"/>
      <c r="F522" s="461"/>
      <c r="G522" s="461"/>
      <c r="H522" s="461"/>
      <c r="I522" s="463"/>
      <c r="J522" s="463"/>
      <c r="K522" s="461"/>
      <c r="L522" s="461"/>
      <c r="M522" s="461"/>
      <c r="N522" s="461"/>
      <c r="O522" s="461"/>
      <c r="P522" s="461"/>
      <c r="Q522" s="461"/>
      <c r="R522" s="461"/>
      <c r="S522" s="461"/>
      <c r="T522" s="461"/>
      <c r="U522" s="461"/>
      <c r="V522" s="461"/>
      <c r="W522" s="461"/>
      <c r="X522" s="461"/>
      <c r="Y522" s="461"/>
    </row>
    <row r="523" spans="1:25" ht="20.25" x14ac:dyDescent="0.4">
      <c r="A523" s="461"/>
      <c r="B523" s="461"/>
      <c r="C523" s="461"/>
      <c r="D523" s="461"/>
      <c r="E523" s="461"/>
      <c r="F523" s="461"/>
      <c r="G523" s="461"/>
      <c r="H523" s="461"/>
      <c r="I523" s="463"/>
      <c r="J523" s="463"/>
      <c r="K523" s="461"/>
      <c r="L523" s="461"/>
      <c r="M523" s="461"/>
      <c r="N523" s="461"/>
      <c r="O523" s="461"/>
      <c r="P523" s="461"/>
      <c r="Q523" s="461"/>
      <c r="R523" s="461"/>
      <c r="S523" s="461"/>
      <c r="T523" s="461"/>
      <c r="U523" s="461"/>
      <c r="V523" s="461"/>
      <c r="W523" s="461"/>
      <c r="X523" s="461"/>
      <c r="Y523" s="461"/>
    </row>
    <row r="524" spans="1:25" ht="20.25" x14ac:dyDescent="0.4">
      <c r="A524" s="461"/>
      <c r="B524" s="461"/>
      <c r="C524" s="461"/>
      <c r="D524" s="461"/>
      <c r="E524" s="461"/>
      <c r="F524" s="461"/>
      <c r="G524" s="461"/>
      <c r="H524" s="461"/>
      <c r="I524" s="463"/>
      <c r="J524" s="463"/>
      <c r="K524" s="461"/>
      <c r="L524" s="461"/>
      <c r="M524" s="461"/>
      <c r="N524" s="461"/>
      <c r="O524" s="461"/>
      <c r="P524" s="461"/>
      <c r="Q524" s="461"/>
      <c r="R524" s="461"/>
      <c r="S524" s="461"/>
      <c r="T524" s="461"/>
      <c r="U524" s="461"/>
      <c r="V524" s="461"/>
      <c r="W524" s="461"/>
      <c r="X524" s="461"/>
      <c r="Y524" s="461"/>
    </row>
    <row r="525" spans="1:25" ht="20.25" x14ac:dyDescent="0.4">
      <c r="A525" s="461"/>
      <c r="B525" s="461"/>
      <c r="C525" s="461"/>
      <c r="D525" s="461"/>
      <c r="E525" s="461"/>
      <c r="F525" s="461"/>
      <c r="G525" s="461"/>
      <c r="H525" s="461"/>
      <c r="I525" s="463"/>
      <c r="J525" s="463"/>
      <c r="K525" s="461"/>
      <c r="L525" s="461"/>
      <c r="M525" s="461"/>
      <c r="N525" s="461"/>
      <c r="O525" s="461"/>
      <c r="P525" s="461"/>
      <c r="Q525" s="461"/>
      <c r="R525" s="461"/>
      <c r="S525" s="461"/>
      <c r="T525" s="461"/>
      <c r="U525" s="461"/>
      <c r="V525" s="461"/>
      <c r="W525" s="461"/>
      <c r="X525" s="461"/>
      <c r="Y525" s="461"/>
    </row>
    <row r="526" spans="1:25" ht="20.25" x14ac:dyDescent="0.4">
      <c r="A526" s="461"/>
      <c r="B526" s="461"/>
      <c r="C526" s="461"/>
      <c r="D526" s="461"/>
      <c r="E526" s="461"/>
      <c r="F526" s="461"/>
      <c r="G526" s="461"/>
      <c r="H526" s="461"/>
      <c r="I526" s="463"/>
      <c r="J526" s="463"/>
      <c r="K526" s="461"/>
      <c r="L526" s="461"/>
      <c r="M526" s="461"/>
      <c r="N526" s="461"/>
      <c r="O526" s="461"/>
      <c r="P526" s="461"/>
      <c r="Q526" s="461"/>
      <c r="R526" s="461"/>
      <c r="S526" s="461"/>
      <c r="T526" s="461"/>
      <c r="U526" s="461"/>
      <c r="V526" s="461"/>
      <c r="W526" s="461"/>
      <c r="X526" s="461"/>
      <c r="Y526" s="461"/>
    </row>
    <row r="527" spans="1:25" ht="20.25" x14ac:dyDescent="0.4">
      <c r="A527" s="461"/>
      <c r="B527" s="461"/>
      <c r="C527" s="461"/>
      <c r="D527" s="461"/>
      <c r="E527" s="461"/>
      <c r="F527" s="461"/>
      <c r="G527" s="461"/>
      <c r="H527" s="461"/>
      <c r="I527" s="463"/>
      <c r="J527" s="463"/>
      <c r="K527" s="461"/>
      <c r="L527" s="461"/>
      <c r="M527" s="461"/>
      <c r="N527" s="461"/>
      <c r="O527" s="461"/>
      <c r="P527" s="461"/>
      <c r="Q527" s="461"/>
      <c r="R527" s="461"/>
      <c r="S527" s="461"/>
      <c r="T527" s="461"/>
      <c r="U527" s="461"/>
      <c r="V527" s="461"/>
      <c r="W527" s="461"/>
      <c r="X527" s="461"/>
      <c r="Y527" s="461"/>
    </row>
    <row r="528" spans="1:25" ht="20.25" x14ac:dyDescent="0.4">
      <c r="A528" s="461"/>
      <c r="B528" s="461"/>
      <c r="C528" s="461"/>
      <c r="D528" s="461"/>
      <c r="E528" s="461"/>
      <c r="F528" s="461"/>
      <c r="G528" s="461"/>
      <c r="H528" s="461"/>
      <c r="I528" s="463"/>
      <c r="J528" s="463"/>
      <c r="K528" s="461"/>
      <c r="L528" s="461"/>
      <c r="M528" s="461"/>
      <c r="N528" s="461"/>
      <c r="O528" s="461"/>
      <c r="P528" s="461"/>
      <c r="Q528" s="461"/>
      <c r="R528" s="461"/>
      <c r="S528" s="461"/>
      <c r="T528" s="461"/>
      <c r="U528" s="461"/>
      <c r="V528" s="461"/>
      <c r="W528" s="461"/>
      <c r="X528" s="461"/>
      <c r="Y528" s="461"/>
    </row>
    <row r="529" spans="1:25" ht="20.25" x14ac:dyDescent="0.4">
      <c r="A529" s="461"/>
      <c r="B529" s="461"/>
      <c r="C529" s="461"/>
      <c r="D529" s="461"/>
      <c r="E529" s="461"/>
      <c r="F529" s="461"/>
      <c r="G529" s="461"/>
      <c r="H529" s="461"/>
      <c r="I529" s="463"/>
      <c r="J529" s="463"/>
      <c r="K529" s="461"/>
      <c r="L529" s="461"/>
      <c r="M529" s="461"/>
      <c r="N529" s="461"/>
      <c r="O529" s="461"/>
      <c r="P529" s="461"/>
      <c r="Q529" s="461"/>
      <c r="R529" s="461"/>
      <c r="S529" s="461"/>
      <c r="T529" s="461"/>
      <c r="U529" s="461"/>
      <c r="V529" s="461"/>
      <c r="W529" s="461"/>
      <c r="X529" s="461"/>
      <c r="Y529" s="461"/>
    </row>
    <row r="530" spans="1:25" ht="20.25" x14ac:dyDescent="0.4">
      <c r="A530" s="461"/>
      <c r="B530" s="461"/>
      <c r="C530" s="461"/>
      <c r="D530" s="461"/>
      <c r="E530" s="461"/>
      <c r="F530" s="461"/>
      <c r="G530" s="461"/>
      <c r="H530" s="461"/>
      <c r="I530" s="463"/>
      <c r="J530" s="463"/>
      <c r="K530" s="461"/>
      <c r="L530" s="461"/>
      <c r="M530" s="461"/>
      <c r="N530" s="461"/>
      <c r="O530" s="461"/>
      <c r="P530" s="461"/>
      <c r="Q530" s="461"/>
      <c r="R530" s="461"/>
      <c r="S530" s="461"/>
      <c r="T530" s="461"/>
      <c r="U530" s="461"/>
      <c r="V530" s="461"/>
      <c r="W530" s="461"/>
      <c r="X530" s="461"/>
      <c r="Y530" s="461"/>
    </row>
    <row r="531" spans="1:25" ht="20.25" x14ac:dyDescent="0.4">
      <c r="A531" s="461"/>
      <c r="B531" s="461"/>
      <c r="C531" s="461"/>
      <c r="D531" s="461"/>
      <c r="E531" s="461"/>
      <c r="F531" s="461"/>
      <c r="G531" s="461"/>
      <c r="H531" s="461"/>
      <c r="I531" s="463"/>
      <c r="J531" s="463"/>
      <c r="K531" s="461"/>
      <c r="L531" s="461"/>
      <c r="M531" s="461"/>
      <c r="N531" s="461"/>
      <c r="O531" s="461"/>
      <c r="P531" s="461"/>
      <c r="Q531" s="461"/>
      <c r="R531" s="461"/>
      <c r="S531" s="461"/>
      <c r="T531" s="461"/>
      <c r="U531" s="461"/>
      <c r="V531" s="461"/>
      <c r="W531" s="461"/>
      <c r="X531" s="461"/>
      <c r="Y531" s="461"/>
    </row>
    <row r="532" spans="1:25" ht="20.25" x14ac:dyDescent="0.4">
      <c r="A532" s="461"/>
      <c r="B532" s="461"/>
      <c r="C532" s="461"/>
      <c r="D532" s="461"/>
      <c r="E532" s="461"/>
      <c r="F532" s="461"/>
      <c r="G532" s="461"/>
      <c r="H532" s="461"/>
      <c r="I532" s="463"/>
      <c r="J532" s="463"/>
      <c r="K532" s="461"/>
      <c r="L532" s="461"/>
      <c r="M532" s="461"/>
      <c r="N532" s="461"/>
      <c r="O532" s="461"/>
      <c r="P532" s="461"/>
      <c r="Q532" s="461"/>
      <c r="R532" s="461"/>
      <c r="S532" s="461"/>
      <c r="T532" s="461"/>
      <c r="U532" s="461"/>
      <c r="V532" s="461"/>
      <c r="W532" s="461"/>
      <c r="X532" s="461"/>
      <c r="Y532" s="461"/>
    </row>
    <row r="533" spans="1:25" ht="20.25" x14ac:dyDescent="0.4">
      <c r="A533" s="461"/>
      <c r="B533" s="461"/>
      <c r="C533" s="461"/>
      <c r="D533" s="461"/>
      <c r="E533" s="461"/>
      <c r="F533" s="461"/>
      <c r="G533" s="461"/>
      <c r="H533" s="461"/>
      <c r="I533" s="463"/>
      <c r="J533" s="463"/>
      <c r="K533" s="461"/>
      <c r="L533" s="461"/>
      <c r="M533" s="461"/>
      <c r="N533" s="461"/>
      <c r="O533" s="461"/>
      <c r="P533" s="461"/>
      <c r="Q533" s="461"/>
      <c r="R533" s="461"/>
      <c r="S533" s="461"/>
      <c r="T533" s="461"/>
      <c r="U533" s="461"/>
      <c r="V533" s="461"/>
      <c r="W533" s="461"/>
      <c r="X533" s="461"/>
      <c r="Y533" s="461"/>
    </row>
    <row r="534" spans="1:25" ht="20.25" x14ac:dyDescent="0.4">
      <c r="A534" s="461"/>
      <c r="B534" s="461"/>
      <c r="C534" s="461"/>
      <c r="D534" s="461"/>
      <c r="E534" s="461"/>
      <c r="F534" s="461"/>
      <c r="G534" s="461"/>
      <c r="H534" s="461"/>
      <c r="I534" s="463"/>
      <c r="J534" s="463"/>
      <c r="K534" s="461"/>
      <c r="L534" s="461"/>
      <c r="M534" s="461"/>
      <c r="N534" s="461"/>
      <c r="O534" s="461"/>
      <c r="P534" s="461"/>
      <c r="Q534" s="461"/>
      <c r="R534" s="461"/>
      <c r="S534" s="461"/>
      <c r="T534" s="461"/>
      <c r="U534" s="461"/>
      <c r="V534" s="461"/>
      <c r="W534" s="461"/>
      <c r="X534" s="461"/>
      <c r="Y534" s="461"/>
    </row>
    <row r="535" spans="1:25" ht="20.25" x14ac:dyDescent="0.4">
      <c r="A535" s="461"/>
      <c r="B535" s="461"/>
      <c r="C535" s="461"/>
      <c r="D535" s="461"/>
      <c r="E535" s="461"/>
      <c r="F535" s="461"/>
      <c r="G535" s="461"/>
      <c r="H535" s="461"/>
      <c r="I535" s="463"/>
      <c r="J535" s="463"/>
      <c r="K535" s="461"/>
      <c r="L535" s="461"/>
      <c r="M535" s="461"/>
      <c r="N535" s="461"/>
      <c r="O535" s="461"/>
      <c r="P535" s="461"/>
      <c r="Q535" s="461"/>
      <c r="R535" s="461"/>
      <c r="S535" s="461"/>
      <c r="T535" s="461"/>
      <c r="U535" s="461"/>
      <c r="V535" s="461"/>
      <c r="W535" s="461"/>
      <c r="X535" s="461"/>
      <c r="Y535" s="461"/>
    </row>
    <row r="536" spans="1:25" ht="20.25" x14ac:dyDescent="0.4">
      <c r="A536" s="461"/>
      <c r="B536" s="461"/>
      <c r="C536" s="461"/>
      <c r="D536" s="461"/>
      <c r="E536" s="461"/>
      <c r="F536" s="461"/>
      <c r="G536" s="461"/>
      <c r="H536" s="461"/>
      <c r="I536" s="463"/>
      <c r="J536" s="463"/>
      <c r="K536" s="461"/>
      <c r="L536" s="461"/>
      <c r="M536" s="461"/>
      <c r="N536" s="461"/>
      <c r="O536" s="461"/>
      <c r="P536" s="461"/>
      <c r="Q536" s="461"/>
      <c r="R536" s="461"/>
      <c r="S536" s="461"/>
      <c r="T536" s="461"/>
      <c r="U536" s="461"/>
      <c r="V536" s="461"/>
      <c r="W536" s="461"/>
      <c r="X536" s="461"/>
      <c r="Y536" s="461"/>
    </row>
    <row r="537" spans="1:25" ht="20.25" x14ac:dyDescent="0.4">
      <c r="A537" s="461"/>
      <c r="B537" s="461"/>
      <c r="C537" s="461"/>
      <c r="D537" s="461"/>
      <c r="E537" s="461"/>
      <c r="F537" s="461"/>
      <c r="G537" s="461"/>
      <c r="H537" s="461"/>
      <c r="I537" s="463"/>
      <c r="J537" s="463"/>
      <c r="K537" s="461"/>
      <c r="L537" s="461"/>
      <c r="M537" s="461"/>
      <c r="N537" s="461"/>
      <c r="O537" s="461"/>
      <c r="P537" s="461"/>
      <c r="Q537" s="461"/>
      <c r="R537" s="461"/>
      <c r="S537" s="461"/>
      <c r="T537" s="461"/>
      <c r="U537" s="461"/>
      <c r="V537" s="461"/>
      <c r="W537" s="461"/>
      <c r="X537" s="461"/>
      <c r="Y537" s="461"/>
    </row>
    <row r="538" spans="1:25" ht="20.25" x14ac:dyDescent="0.4">
      <c r="A538" s="461"/>
      <c r="B538" s="461"/>
      <c r="C538" s="461"/>
      <c r="D538" s="461"/>
      <c r="E538" s="461"/>
      <c r="F538" s="461"/>
      <c r="G538" s="461"/>
      <c r="H538" s="461"/>
      <c r="I538" s="463"/>
      <c r="J538" s="463"/>
      <c r="K538" s="461"/>
      <c r="L538" s="461"/>
      <c r="M538" s="461"/>
      <c r="N538" s="461"/>
      <c r="O538" s="461"/>
      <c r="P538" s="461"/>
      <c r="Q538" s="461"/>
      <c r="R538" s="461"/>
      <c r="S538" s="461"/>
      <c r="T538" s="461"/>
      <c r="U538" s="461"/>
      <c r="V538" s="461"/>
      <c r="W538" s="461"/>
      <c r="X538" s="461"/>
      <c r="Y538" s="461"/>
    </row>
    <row r="539" spans="1:25" ht="20.25" x14ac:dyDescent="0.4">
      <c r="A539" s="461"/>
      <c r="B539" s="461"/>
      <c r="C539" s="461"/>
      <c r="D539" s="461"/>
      <c r="E539" s="461"/>
      <c r="F539" s="461"/>
      <c r="G539" s="461"/>
      <c r="H539" s="461"/>
      <c r="I539" s="463"/>
      <c r="J539" s="463"/>
      <c r="K539" s="461"/>
      <c r="L539" s="461"/>
      <c r="M539" s="461"/>
      <c r="N539" s="461"/>
      <c r="O539" s="461"/>
      <c r="P539" s="461"/>
      <c r="Q539" s="461"/>
      <c r="R539" s="461"/>
      <c r="S539" s="461"/>
      <c r="T539" s="461"/>
      <c r="U539" s="461"/>
      <c r="V539" s="461"/>
      <c r="W539" s="461"/>
      <c r="X539" s="461"/>
      <c r="Y539" s="461"/>
    </row>
    <row r="540" spans="1:25" ht="20.25" x14ac:dyDescent="0.4">
      <c r="A540" s="461"/>
      <c r="B540" s="461"/>
      <c r="C540" s="461"/>
      <c r="D540" s="461"/>
      <c r="E540" s="461"/>
      <c r="F540" s="461"/>
      <c r="G540" s="461"/>
      <c r="H540" s="461"/>
      <c r="I540" s="463"/>
      <c r="J540" s="463"/>
      <c r="K540" s="461"/>
      <c r="L540" s="461"/>
      <c r="M540" s="461"/>
      <c r="N540" s="461"/>
      <c r="O540" s="461"/>
      <c r="P540" s="461"/>
      <c r="Q540" s="461"/>
      <c r="R540" s="461"/>
      <c r="S540" s="461"/>
      <c r="T540" s="461"/>
      <c r="U540" s="461"/>
      <c r="V540" s="461"/>
      <c r="W540" s="461"/>
      <c r="X540" s="461"/>
      <c r="Y540" s="461"/>
    </row>
    <row r="541" spans="1:25" ht="20.25" x14ac:dyDescent="0.4">
      <c r="A541" s="461"/>
      <c r="B541" s="461"/>
      <c r="C541" s="461"/>
      <c r="D541" s="461"/>
      <c r="E541" s="461"/>
      <c r="F541" s="461"/>
      <c r="G541" s="461"/>
      <c r="H541" s="461"/>
      <c r="I541" s="463"/>
      <c r="J541" s="463"/>
      <c r="K541" s="461"/>
      <c r="L541" s="461"/>
      <c r="M541" s="461"/>
      <c r="N541" s="461"/>
      <c r="O541" s="461"/>
      <c r="P541" s="461"/>
      <c r="Q541" s="461"/>
      <c r="R541" s="461"/>
      <c r="S541" s="461"/>
      <c r="T541" s="461"/>
      <c r="U541" s="461"/>
      <c r="V541" s="461"/>
      <c r="W541" s="461"/>
      <c r="X541" s="461"/>
      <c r="Y541" s="461"/>
    </row>
    <row r="542" spans="1:25" ht="20.25" x14ac:dyDescent="0.4">
      <c r="A542" s="461"/>
      <c r="B542" s="461"/>
      <c r="C542" s="461"/>
      <c r="D542" s="461"/>
      <c r="E542" s="461"/>
      <c r="F542" s="461"/>
      <c r="G542" s="461"/>
      <c r="H542" s="461"/>
      <c r="I542" s="463"/>
      <c r="J542" s="463"/>
      <c r="K542" s="461"/>
      <c r="L542" s="461"/>
      <c r="M542" s="461"/>
      <c r="N542" s="461"/>
      <c r="O542" s="461"/>
      <c r="P542" s="461"/>
      <c r="Q542" s="461"/>
      <c r="R542" s="461"/>
      <c r="S542" s="461"/>
      <c r="T542" s="461"/>
      <c r="U542" s="461"/>
      <c r="V542" s="461"/>
      <c r="W542" s="461"/>
      <c r="X542" s="461"/>
      <c r="Y542" s="461"/>
    </row>
    <row r="543" spans="1:25" ht="20.25" x14ac:dyDescent="0.4">
      <c r="A543" s="461"/>
      <c r="B543" s="461"/>
      <c r="C543" s="461"/>
      <c r="D543" s="461"/>
      <c r="E543" s="461"/>
      <c r="F543" s="461"/>
      <c r="G543" s="461"/>
      <c r="H543" s="461"/>
      <c r="I543" s="463"/>
      <c r="J543" s="463"/>
      <c r="K543" s="461"/>
      <c r="L543" s="461"/>
      <c r="M543" s="461"/>
      <c r="N543" s="461"/>
      <c r="O543" s="461"/>
      <c r="P543" s="461"/>
      <c r="Q543" s="461"/>
      <c r="R543" s="461"/>
      <c r="S543" s="461"/>
      <c r="T543" s="461"/>
      <c r="U543" s="461"/>
      <c r="V543" s="461"/>
      <c r="W543" s="461"/>
      <c r="X543" s="461"/>
      <c r="Y543" s="461"/>
    </row>
    <row r="544" spans="1:25" ht="20.25" x14ac:dyDescent="0.4">
      <c r="A544" s="461"/>
      <c r="B544" s="461"/>
      <c r="C544" s="461"/>
      <c r="D544" s="461"/>
      <c r="E544" s="461"/>
      <c r="F544" s="461"/>
      <c r="G544" s="461"/>
      <c r="H544" s="461"/>
      <c r="I544" s="463"/>
      <c r="J544" s="463"/>
      <c r="K544" s="461"/>
      <c r="L544" s="461"/>
      <c r="M544" s="461"/>
      <c r="N544" s="461"/>
      <c r="O544" s="461"/>
      <c r="P544" s="461"/>
      <c r="Q544" s="461"/>
      <c r="R544" s="461"/>
      <c r="S544" s="461"/>
      <c r="T544" s="461"/>
      <c r="U544" s="461"/>
      <c r="V544" s="461"/>
      <c r="W544" s="461"/>
      <c r="X544" s="461"/>
      <c r="Y544" s="461"/>
    </row>
    <row r="545" spans="1:25" ht="20.25" x14ac:dyDescent="0.4">
      <c r="A545" s="461"/>
      <c r="B545" s="461"/>
      <c r="C545" s="461"/>
      <c r="D545" s="461"/>
      <c r="E545" s="461"/>
      <c r="F545" s="461"/>
      <c r="G545" s="461"/>
      <c r="H545" s="461"/>
      <c r="I545" s="463"/>
      <c r="J545" s="463"/>
      <c r="K545" s="461"/>
      <c r="L545" s="461"/>
      <c r="M545" s="461"/>
      <c r="N545" s="461"/>
      <c r="O545" s="461"/>
      <c r="P545" s="461"/>
      <c r="Q545" s="461"/>
      <c r="R545" s="461"/>
      <c r="S545" s="461"/>
      <c r="T545" s="461"/>
      <c r="U545" s="461"/>
      <c r="V545" s="461"/>
      <c r="W545" s="461"/>
      <c r="X545" s="461"/>
      <c r="Y545" s="461"/>
    </row>
    <row r="546" spans="1:25" ht="20.25" x14ac:dyDescent="0.4">
      <c r="A546" s="461"/>
      <c r="B546" s="461"/>
      <c r="C546" s="461"/>
      <c r="D546" s="461"/>
      <c r="E546" s="461"/>
      <c r="F546" s="461"/>
      <c r="G546" s="461"/>
      <c r="H546" s="461"/>
      <c r="I546" s="463"/>
      <c r="J546" s="463"/>
      <c r="K546" s="461"/>
      <c r="L546" s="461"/>
      <c r="M546" s="461"/>
      <c r="N546" s="461"/>
      <c r="O546" s="461"/>
      <c r="P546" s="461"/>
      <c r="Q546" s="461"/>
      <c r="R546" s="461"/>
      <c r="S546" s="461"/>
      <c r="T546" s="461"/>
      <c r="U546" s="461"/>
      <c r="V546" s="461"/>
      <c r="W546" s="461"/>
      <c r="X546" s="461"/>
      <c r="Y546" s="461"/>
    </row>
    <row r="547" spans="1:25" ht="20.25" x14ac:dyDescent="0.4">
      <c r="A547" s="461"/>
      <c r="B547" s="461"/>
      <c r="C547" s="461"/>
      <c r="D547" s="461"/>
      <c r="E547" s="461"/>
      <c r="F547" s="461"/>
      <c r="G547" s="461"/>
      <c r="H547" s="461"/>
      <c r="I547" s="463"/>
      <c r="J547" s="463"/>
      <c r="K547" s="461"/>
      <c r="L547" s="461"/>
      <c r="M547" s="461"/>
      <c r="N547" s="461"/>
      <c r="O547" s="461"/>
      <c r="P547" s="461"/>
      <c r="Q547" s="461"/>
      <c r="R547" s="461"/>
      <c r="S547" s="461"/>
      <c r="T547" s="461"/>
      <c r="U547" s="461"/>
      <c r="V547" s="461"/>
      <c r="W547" s="461"/>
      <c r="X547" s="461"/>
      <c r="Y547" s="461"/>
    </row>
    <row r="548" spans="1:25" ht="20.25" x14ac:dyDescent="0.4">
      <c r="A548" s="461"/>
      <c r="B548" s="461"/>
      <c r="C548" s="461"/>
      <c r="D548" s="461"/>
      <c r="E548" s="461"/>
      <c r="F548" s="461"/>
      <c r="G548" s="461"/>
      <c r="H548" s="461"/>
      <c r="I548" s="463"/>
      <c r="J548" s="463"/>
      <c r="K548" s="461"/>
      <c r="L548" s="461"/>
      <c r="M548" s="461"/>
      <c r="N548" s="461"/>
      <c r="O548" s="461"/>
      <c r="P548" s="461"/>
      <c r="Q548" s="461"/>
      <c r="R548" s="461"/>
      <c r="S548" s="461"/>
      <c r="T548" s="461"/>
      <c r="U548" s="461"/>
      <c r="V548" s="461"/>
      <c r="W548" s="461"/>
      <c r="X548" s="461"/>
      <c r="Y548" s="461"/>
    </row>
    <row r="549" spans="1:25" ht="20.25" x14ac:dyDescent="0.4">
      <c r="A549" s="461"/>
      <c r="B549" s="461"/>
      <c r="C549" s="461"/>
      <c r="D549" s="461"/>
      <c r="E549" s="461"/>
      <c r="F549" s="461"/>
      <c r="G549" s="461"/>
      <c r="H549" s="461"/>
      <c r="I549" s="463"/>
      <c r="J549" s="463"/>
      <c r="K549" s="461"/>
      <c r="L549" s="461"/>
      <c r="M549" s="461"/>
      <c r="N549" s="461"/>
      <c r="O549" s="461"/>
      <c r="P549" s="461"/>
      <c r="Q549" s="461"/>
      <c r="R549" s="461"/>
      <c r="S549" s="461"/>
      <c r="T549" s="461"/>
      <c r="U549" s="461"/>
      <c r="V549" s="461"/>
      <c r="W549" s="461"/>
      <c r="X549" s="461"/>
      <c r="Y549" s="461"/>
    </row>
    <row r="550" spans="1:25" ht="20.25" x14ac:dyDescent="0.4">
      <c r="A550" s="461"/>
      <c r="B550" s="461"/>
      <c r="C550" s="461"/>
      <c r="D550" s="461"/>
      <c r="E550" s="461"/>
      <c r="F550" s="461"/>
      <c r="G550" s="461"/>
      <c r="H550" s="461"/>
      <c r="I550" s="463"/>
      <c r="J550" s="463"/>
      <c r="K550" s="461"/>
      <c r="L550" s="461"/>
      <c r="M550" s="461"/>
      <c r="N550" s="461"/>
      <c r="O550" s="461"/>
      <c r="P550" s="461"/>
      <c r="Q550" s="461"/>
      <c r="R550" s="461"/>
      <c r="S550" s="461"/>
      <c r="T550" s="461"/>
      <c r="U550" s="461"/>
      <c r="V550" s="461"/>
      <c r="W550" s="461"/>
      <c r="X550" s="461"/>
      <c r="Y550" s="461"/>
    </row>
    <row r="551" spans="1:25" ht="20.25" x14ac:dyDescent="0.4">
      <c r="A551" s="461"/>
      <c r="B551" s="461"/>
      <c r="C551" s="461"/>
      <c r="D551" s="461"/>
      <c r="E551" s="461"/>
      <c r="F551" s="461"/>
      <c r="G551" s="461"/>
      <c r="H551" s="461"/>
      <c r="I551" s="463"/>
      <c r="J551" s="463"/>
      <c r="K551" s="461"/>
      <c r="L551" s="461"/>
      <c r="M551" s="461"/>
      <c r="N551" s="461"/>
      <c r="O551" s="461"/>
      <c r="P551" s="461"/>
      <c r="Q551" s="461"/>
      <c r="R551" s="461"/>
      <c r="S551" s="461"/>
      <c r="T551" s="461"/>
      <c r="U551" s="461"/>
      <c r="V551" s="461"/>
      <c r="W551" s="461"/>
      <c r="X551" s="461"/>
      <c r="Y551" s="461"/>
    </row>
    <row r="552" spans="1:25" ht="20.25" x14ac:dyDescent="0.4">
      <c r="A552" s="461"/>
      <c r="B552" s="461"/>
      <c r="C552" s="461"/>
      <c r="D552" s="461"/>
      <c r="E552" s="461"/>
      <c r="F552" s="461"/>
      <c r="G552" s="461"/>
      <c r="H552" s="461"/>
      <c r="I552" s="463"/>
      <c r="J552" s="463"/>
      <c r="K552" s="461"/>
      <c r="L552" s="461"/>
      <c r="M552" s="461"/>
      <c r="N552" s="461"/>
      <c r="O552" s="461"/>
      <c r="P552" s="461"/>
      <c r="Q552" s="461"/>
      <c r="R552" s="461"/>
      <c r="S552" s="461"/>
      <c r="T552" s="461"/>
      <c r="U552" s="461"/>
      <c r="V552" s="461"/>
      <c r="W552" s="461"/>
      <c r="X552" s="461"/>
      <c r="Y552" s="461"/>
    </row>
    <row r="553" spans="1:25" ht="20.25" x14ac:dyDescent="0.4">
      <c r="A553" s="461"/>
      <c r="B553" s="461"/>
      <c r="C553" s="461"/>
      <c r="D553" s="461"/>
      <c r="E553" s="461"/>
      <c r="F553" s="461"/>
      <c r="G553" s="461"/>
      <c r="H553" s="461"/>
      <c r="I553" s="463"/>
      <c r="J553" s="463"/>
      <c r="K553" s="461"/>
      <c r="L553" s="461"/>
      <c r="M553" s="461"/>
      <c r="N553" s="461"/>
      <c r="O553" s="461"/>
      <c r="P553" s="461"/>
      <c r="Q553" s="461"/>
      <c r="R553" s="461"/>
      <c r="S553" s="461"/>
      <c r="T553" s="461"/>
      <c r="U553" s="461"/>
      <c r="V553" s="461"/>
      <c r="W553" s="461"/>
      <c r="X553" s="461"/>
      <c r="Y553" s="461"/>
    </row>
    <row r="554" spans="1:25" ht="20.25" x14ac:dyDescent="0.4">
      <c r="A554" s="461"/>
      <c r="B554" s="461"/>
      <c r="C554" s="461"/>
      <c r="D554" s="461"/>
      <c r="E554" s="461"/>
      <c r="F554" s="461"/>
      <c r="G554" s="461"/>
      <c r="H554" s="461"/>
      <c r="I554" s="463"/>
      <c r="J554" s="463"/>
      <c r="K554" s="461"/>
      <c r="L554" s="461"/>
      <c r="M554" s="461"/>
      <c r="N554" s="461"/>
      <c r="O554" s="461"/>
      <c r="P554" s="461"/>
      <c r="Q554" s="461"/>
      <c r="R554" s="461"/>
      <c r="S554" s="461"/>
      <c r="T554" s="461"/>
      <c r="U554" s="461"/>
      <c r="V554" s="461"/>
      <c r="W554" s="461"/>
      <c r="X554" s="461"/>
      <c r="Y554" s="461"/>
    </row>
    <row r="555" spans="1:25" ht="20.25" x14ac:dyDescent="0.4">
      <c r="A555" s="461"/>
      <c r="B555" s="461"/>
      <c r="C555" s="461"/>
      <c r="D555" s="461"/>
      <c r="E555" s="461"/>
      <c r="F555" s="461"/>
      <c r="G555" s="461"/>
      <c r="H555" s="461"/>
      <c r="I555" s="463"/>
      <c r="J555" s="463"/>
      <c r="K555" s="461"/>
      <c r="L555" s="461"/>
      <c r="M555" s="461"/>
      <c r="N555" s="461"/>
      <c r="O555" s="461"/>
      <c r="P555" s="461"/>
      <c r="Q555" s="461"/>
      <c r="R555" s="461"/>
      <c r="S555" s="461"/>
      <c r="T555" s="461"/>
      <c r="U555" s="461"/>
      <c r="V555" s="461"/>
      <c r="W555" s="461"/>
      <c r="X555" s="461"/>
      <c r="Y555" s="461"/>
    </row>
    <row r="556" spans="1:25" ht="20.25" x14ac:dyDescent="0.4">
      <c r="A556" s="461"/>
      <c r="B556" s="461"/>
      <c r="C556" s="461"/>
      <c r="D556" s="461"/>
      <c r="E556" s="461"/>
      <c r="F556" s="461"/>
      <c r="G556" s="461"/>
      <c r="H556" s="461"/>
      <c r="I556" s="463"/>
      <c r="J556" s="463"/>
      <c r="K556" s="461"/>
      <c r="L556" s="461"/>
      <c r="M556" s="461"/>
      <c r="N556" s="461"/>
      <c r="O556" s="461"/>
      <c r="P556" s="461"/>
      <c r="Q556" s="461"/>
      <c r="R556" s="461"/>
      <c r="S556" s="461"/>
      <c r="T556" s="461"/>
      <c r="U556" s="461"/>
      <c r="V556" s="461"/>
      <c r="W556" s="461"/>
      <c r="X556" s="461"/>
      <c r="Y556" s="461"/>
    </row>
    <row r="557" spans="1:25" ht="20.25" x14ac:dyDescent="0.4">
      <c r="A557" s="461"/>
      <c r="B557" s="461"/>
      <c r="C557" s="461"/>
      <c r="D557" s="461"/>
      <c r="E557" s="461"/>
      <c r="F557" s="461"/>
      <c r="G557" s="461"/>
      <c r="H557" s="461"/>
      <c r="I557" s="463"/>
      <c r="J557" s="463"/>
      <c r="K557" s="461"/>
      <c r="L557" s="461"/>
      <c r="M557" s="461"/>
      <c r="N557" s="461"/>
      <c r="O557" s="461"/>
      <c r="P557" s="461"/>
      <c r="Q557" s="461"/>
      <c r="R557" s="461"/>
      <c r="S557" s="461"/>
      <c r="T557" s="461"/>
      <c r="U557" s="461"/>
      <c r="V557" s="461"/>
      <c r="W557" s="461"/>
      <c r="X557" s="461"/>
      <c r="Y557" s="461"/>
    </row>
    <row r="558" spans="1:25" ht="20.25" x14ac:dyDescent="0.4">
      <c r="A558" s="461"/>
      <c r="B558" s="461"/>
      <c r="C558" s="461"/>
      <c r="D558" s="461"/>
      <c r="E558" s="461"/>
      <c r="F558" s="461"/>
      <c r="G558" s="461"/>
      <c r="H558" s="461"/>
      <c r="I558" s="463"/>
      <c r="J558" s="463"/>
      <c r="K558" s="461"/>
      <c r="L558" s="461"/>
      <c r="M558" s="461"/>
      <c r="N558" s="461"/>
      <c r="O558" s="461"/>
      <c r="P558" s="461"/>
      <c r="Q558" s="461"/>
      <c r="R558" s="461"/>
      <c r="S558" s="461"/>
      <c r="T558" s="461"/>
      <c r="U558" s="461"/>
      <c r="V558" s="461"/>
      <c r="W558" s="461"/>
      <c r="X558" s="461"/>
      <c r="Y558" s="461"/>
    </row>
    <row r="559" spans="1:25" ht="20.25" x14ac:dyDescent="0.4">
      <c r="A559" s="461"/>
      <c r="B559" s="461"/>
      <c r="C559" s="461"/>
      <c r="D559" s="461"/>
      <c r="E559" s="461"/>
      <c r="F559" s="461"/>
      <c r="G559" s="461"/>
      <c r="H559" s="461"/>
      <c r="I559" s="463"/>
      <c r="J559" s="463"/>
      <c r="K559" s="461"/>
      <c r="L559" s="461"/>
      <c r="M559" s="461"/>
      <c r="N559" s="461"/>
      <c r="O559" s="461"/>
      <c r="P559" s="461"/>
      <c r="Q559" s="461"/>
      <c r="R559" s="461"/>
      <c r="S559" s="461"/>
      <c r="T559" s="461"/>
      <c r="U559" s="461"/>
      <c r="V559" s="461"/>
      <c r="W559" s="461"/>
      <c r="X559" s="461"/>
      <c r="Y559" s="461"/>
    </row>
    <row r="560" spans="1:25" ht="20.25" x14ac:dyDescent="0.4">
      <c r="A560" s="461"/>
      <c r="B560" s="461"/>
      <c r="C560" s="461"/>
      <c r="D560" s="461"/>
      <c r="E560" s="461"/>
      <c r="F560" s="461"/>
      <c r="G560" s="461"/>
      <c r="H560" s="461"/>
      <c r="I560" s="463"/>
      <c r="J560" s="463"/>
      <c r="K560" s="461"/>
      <c r="L560" s="461"/>
      <c r="M560" s="461"/>
      <c r="N560" s="461"/>
      <c r="O560" s="461"/>
      <c r="P560" s="461"/>
      <c r="Q560" s="461"/>
      <c r="R560" s="461"/>
      <c r="S560" s="461"/>
      <c r="T560" s="461"/>
      <c r="U560" s="461"/>
      <c r="V560" s="461"/>
      <c r="W560" s="461"/>
      <c r="X560" s="461"/>
      <c r="Y560" s="461"/>
    </row>
    <row r="561" spans="1:25" ht="20.25" x14ac:dyDescent="0.4">
      <c r="A561" s="461"/>
      <c r="B561" s="461"/>
      <c r="C561" s="461"/>
      <c r="D561" s="461"/>
      <c r="E561" s="461"/>
      <c r="F561" s="461"/>
      <c r="G561" s="461"/>
      <c r="H561" s="461"/>
      <c r="I561" s="463"/>
      <c r="J561" s="463"/>
      <c r="K561" s="461"/>
      <c r="L561" s="461"/>
      <c r="M561" s="461"/>
      <c r="N561" s="461"/>
      <c r="O561" s="461"/>
      <c r="P561" s="461"/>
      <c r="Q561" s="461"/>
      <c r="R561" s="461"/>
      <c r="S561" s="461"/>
      <c r="T561" s="461"/>
      <c r="U561" s="461"/>
      <c r="V561" s="461"/>
      <c r="W561" s="461"/>
      <c r="X561" s="461"/>
      <c r="Y561" s="461"/>
    </row>
    <row r="562" spans="1:25" ht="20.25" x14ac:dyDescent="0.4">
      <c r="A562" s="461"/>
      <c r="B562" s="461"/>
      <c r="C562" s="461"/>
      <c r="D562" s="461"/>
      <c r="E562" s="461"/>
      <c r="F562" s="461"/>
      <c r="G562" s="461"/>
      <c r="H562" s="461"/>
      <c r="I562" s="463"/>
      <c r="J562" s="463"/>
      <c r="K562" s="461"/>
      <c r="L562" s="461"/>
      <c r="M562" s="461"/>
      <c r="N562" s="461"/>
      <c r="O562" s="461"/>
      <c r="P562" s="461"/>
      <c r="Q562" s="461"/>
      <c r="R562" s="461"/>
      <c r="S562" s="461"/>
      <c r="T562" s="461"/>
      <c r="U562" s="461"/>
      <c r="V562" s="461"/>
      <c r="W562" s="461"/>
      <c r="X562" s="461"/>
      <c r="Y562" s="461"/>
    </row>
    <row r="563" spans="1:25" ht="20.25" x14ac:dyDescent="0.4">
      <c r="A563" s="461"/>
      <c r="B563" s="461"/>
      <c r="C563" s="461"/>
      <c r="D563" s="461"/>
      <c r="E563" s="461"/>
      <c r="F563" s="461"/>
      <c r="G563" s="461"/>
      <c r="H563" s="461"/>
      <c r="I563" s="463"/>
      <c r="J563" s="463"/>
      <c r="K563" s="461"/>
      <c r="L563" s="461"/>
      <c r="M563" s="461"/>
      <c r="N563" s="461"/>
      <c r="O563" s="461"/>
      <c r="P563" s="461"/>
      <c r="Q563" s="461"/>
      <c r="R563" s="461"/>
      <c r="S563" s="461"/>
      <c r="T563" s="461"/>
      <c r="U563" s="461"/>
      <c r="V563" s="461"/>
      <c r="W563" s="461"/>
      <c r="X563" s="461"/>
      <c r="Y563" s="461"/>
    </row>
    <row r="564" spans="1:25" ht="20.25" x14ac:dyDescent="0.4">
      <c r="A564" s="461"/>
      <c r="B564" s="461"/>
      <c r="C564" s="461"/>
      <c r="D564" s="461"/>
      <c r="E564" s="461"/>
      <c r="F564" s="461"/>
      <c r="G564" s="461"/>
      <c r="H564" s="461"/>
      <c r="I564" s="463"/>
      <c r="J564" s="463"/>
      <c r="K564" s="461"/>
      <c r="L564" s="461"/>
      <c r="M564" s="461"/>
      <c r="N564" s="461"/>
      <c r="O564" s="461"/>
      <c r="P564" s="461"/>
      <c r="Q564" s="461"/>
      <c r="R564" s="461"/>
      <c r="S564" s="461"/>
      <c r="T564" s="461"/>
      <c r="U564" s="461"/>
      <c r="V564" s="461"/>
      <c r="W564" s="461"/>
      <c r="X564" s="461"/>
      <c r="Y564" s="461"/>
    </row>
    <row r="565" spans="1:25" ht="20.25" x14ac:dyDescent="0.4">
      <c r="A565" s="461"/>
      <c r="B565" s="461"/>
      <c r="C565" s="461"/>
      <c r="D565" s="461"/>
      <c r="E565" s="461"/>
      <c r="F565" s="461"/>
      <c r="G565" s="461"/>
      <c r="H565" s="461"/>
      <c r="I565" s="463"/>
      <c r="J565" s="463"/>
      <c r="K565" s="461"/>
      <c r="L565" s="461"/>
      <c r="M565" s="461"/>
      <c r="N565" s="461"/>
      <c r="O565" s="461"/>
      <c r="P565" s="461"/>
      <c r="Q565" s="461"/>
      <c r="R565" s="461"/>
      <c r="S565" s="461"/>
      <c r="T565" s="461"/>
      <c r="U565" s="461"/>
      <c r="V565" s="461"/>
      <c r="W565" s="461"/>
      <c r="X565" s="461"/>
      <c r="Y565" s="461"/>
    </row>
    <row r="566" spans="1:25" ht="20.25" x14ac:dyDescent="0.4">
      <c r="A566" s="461"/>
      <c r="B566" s="461"/>
      <c r="C566" s="461"/>
      <c r="D566" s="461"/>
      <c r="E566" s="461"/>
      <c r="F566" s="461"/>
      <c r="G566" s="461"/>
      <c r="H566" s="461"/>
      <c r="I566" s="463"/>
      <c r="J566" s="463"/>
      <c r="K566" s="461"/>
      <c r="L566" s="461"/>
      <c r="M566" s="461"/>
      <c r="N566" s="461"/>
      <c r="O566" s="461"/>
      <c r="P566" s="461"/>
      <c r="Q566" s="461"/>
      <c r="R566" s="461"/>
      <c r="S566" s="461"/>
      <c r="T566" s="461"/>
      <c r="U566" s="461"/>
      <c r="V566" s="461"/>
      <c r="W566" s="461"/>
      <c r="X566" s="461"/>
      <c r="Y566" s="461"/>
    </row>
    <row r="567" spans="1:25" ht="20.25" x14ac:dyDescent="0.4">
      <c r="A567" s="461"/>
      <c r="B567" s="461"/>
      <c r="C567" s="461"/>
      <c r="D567" s="461"/>
      <c r="E567" s="461"/>
      <c r="F567" s="461"/>
      <c r="G567" s="461"/>
      <c r="H567" s="461"/>
      <c r="I567" s="463"/>
      <c r="J567" s="463"/>
      <c r="K567" s="461"/>
      <c r="L567" s="461"/>
      <c r="M567" s="461"/>
      <c r="N567" s="461"/>
      <c r="O567" s="461"/>
      <c r="P567" s="461"/>
      <c r="Q567" s="461"/>
      <c r="R567" s="461"/>
      <c r="S567" s="461"/>
      <c r="T567" s="461"/>
      <c r="U567" s="461"/>
      <c r="V567" s="461"/>
      <c r="W567" s="461"/>
      <c r="X567" s="461"/>
      <c r="Y567" s="461"/>
    </row>
    <row r="568" spans="1:25" ht="20.25" x14ac:dyDescent="0.4">
      <c r="A568" s="461"/>
      <c r="B568" s="461"/>
      <c r="C568" s="461"/>
      <c r="D568" s="461"/>
      <c r="E568" s="461"/>
      <c r="F568" s="461"/>
      <c r="G568" s="461"/>
      <c r="H568" s="461"/>
      <c r="I568" s="463"/>
      <c r="J568" s="463"/>
      <c r="K568" s="461"/>
      <c r="L568" s="461"/>
      <c r="M568" s="461"/>
      <c r="N568" s="461"/>
      <c r="O568" s="461"/>
      <c r="P568" s="461"/>
      <c r="Q568" s="461"/>
      <c r="R568" s="461"/>
      <c r="S568" s="461"/>
      <c r="T568" s="461"/>
      <c r="U568" s="461"/>
      <c r="V568" s="461"/>
      <c r="W568" s="461"/>
      <c r="X568" s="461"/>
      <c r="Y568" s="461"/>
    </row>
    <row r="569" spans="1:25" ht="20.25" x14ac:dyDescent="0.4">
      <c r="A569" s="461"/>
      <c r="B569" s="461"/>
      <c r="C569" s="461"/>
      <c r="D569" s="461"/>
      <c r="E569" s="461"/>
      <c r="F569" s="461"/>
      <c r="G569" s="461"/>
      <c r="H569" s="461"/>
      <c r="I569" s="463"/>
      <c r="J569" s="463"/>
      <c r="K569" s="461"/>
      <c r="L569" s="461"/>
      <c r="M569" s="461"/>
      <c r="N569" s="461"/>
      <c r="O569" s="461"/>
      <c r="P569" s="461"/>
      <c r="Q569" s="461"/>
      <c r="R569" s="461"/>
      <c r="S569" s="461"/>
      <c r="T569" s="461"/>
      <c r="U569" s="461"/>
      <c r="V569" s="461"/>
      <c r="W569" s="461"/>
      <c r="X569" s="461"/>
      <c r="Y569" s="461"/>
    </row>
    <row r="570" spans="1:25" ht="20.25" x14ac:dyDescent="0.4">
      <c r="A570" s="461"/>
      <c r="B570" s="461"/>
      <c r="C570" s="461"/>
      <c r="D570" s="461"/>
      <c r="E570" s="461"/>
      <c r="F570" s="461"/>
      <c r="G570" s="461"/>
      <c r="H570" s="461"/>
      <c r="I570" s="463"/>
      <c r="J570" s="463"/>
      <c r="K570" s="461"/>
      <c r="L570" s="461"/>
      <c r="M570" s="461"/>
      <c r="N570" s="461"/>
      <c r="O570" s="461"/>
      <c r="P570" s="461"/>
      <c r="Q570" s="461"/>
      <c r="R570" s="461"/>
      <c r="S570" s="461"/>
      <c r="T570" s="461"/>
      <c r="U570" s="461"/>
      <c r="V570" s="461"/>
      <c r="W570" s="461"/>
      <c r="X570" s="461"/>
      <c r="Y570" s="461"/>
    </row>
    <row r="571" spans="1:25" ht="20.25" x14ac:dyDescent="0.4">
      <c r="A571" s="461"/>
      <c r="B571" s="461"/>
      <c r="C571" s="461"/>
      <c r="D571" s="461"/>
      <c r="E571" s="461"/>
      <c r="F571" s="461"/>
      <c r="G571" s="461"/>
      <c r="H571" s="461"/>
      <c r="I571" s="463"/>
      <c r="J571" s="463"/>
      <c r="K571" s="461"/>
      <c r="L571" s="461"/>
      <c r="M571" s="461"/>
      <c r="N571" s="461"/>
      <c r="O571" s="461"/>
      <c r="P571" s="461"/>
      <c r="Q571" s="461"/>
      <c r="R571" s="461"/>
      <c r="S571" s="461"/>
      <c r="T571" s="461"/>
      <c r="U571" s="461"/>
      <c r="V571" s="461"/>
      <c r="W571" s="461"/>
      <c r="X571" s="461"/>
      <c r="Y571" s="461"/>
    </row>
    <row r="572" spans="1:25" ht="20.25" x14ac:dyDescent="0.4">
      <c r="A572" s="461"/>
      <c r="B572" s="461"/>
      <c r="C572" s="461"/>
      <c r="D572" s="461"/>
      <c r="E572" s="461"/>
      <c r="F572" s="461"/>
      <c r="G572" s="461"/>
      <c r="H572" s="461"/>
      <c r="I572" s="463"/>
      <c r="J572" s="463"/>
      <c r="K572" s="461"/>
      <c r="L572" s="461"/>
      <c r="M572" s="461"/>
      <c r="N572" s="461"/>
      <c r="O572" s="461"/>
      <c r="P572" s="461"/>
      <c r="Q572" s="461"/>
      <c r="R572" s="461"/>
      <c r="S572" s="461"/>
      <c r="T572" s="461"/>
      <c r="U572" s="461"/>
      <c r="V572" s="461"/>
      <c r="W572" s="461"/>
      <c r="X572" s="461"/>
      <c r="Y572" s="461"/>
    </row>
    <row r="573" spans="1:25" ht="20.25" x14ac:dyDescent="0.4">
      <c r="A573" s="461"/>
      <c r="B573" s="461"/>
      <c r="C573" s="461"/>
      <c r="D573" s="461"/>
      <c r="E573" s="461"/>
      <c r="F573" s="461"/>
      <c r="G573" s="461"/>
      <c r="H573" s="461"/>
      <c r="I573" s="463"/>
      <c r="J573" s="463"/>
      <c r="K573" s="461"/>
      <c r="L573" s="461"/>
      <c r="M573" s="461"/>
      <c r="N573" s="461"/>
      <c r="O573" s="461"/>
      <c r="P573" s="461"/>
      <c r="Q573" s="461"/>
      <c r="R573" s="461"/>
      <c r="S573" s="461"/>
      <c r="T573" s="461"/>
      <c r="U573" s="461"/>
      <c r="V573" s="461"/>
      <c r="W573" s="461"/>
      <c r="X573" s="461"/>
      <c r="Y573" s="461"/>
    </row>
    <row r="574" spans="1:25" ht="20.25" x14ac:dyDescent="0.4">
      <c r="A574" s="461"/>
      <c r="B574" s="461"/>
      <c r="C574" s="461"/>
      <c r="D574" s="461"/>
      <c r="E574" s="461"/>
      <c r="F574" s="461"/>
      <c r="G574" s="461"/>
      <c r="H574" s="461"/>
      <c r="I574" s="463"/>
      <c r="J574" s="463"/>
      <c r="K574" s="461"/>
      <c r="L574" s="461"/>
      <c r="M574" s="461"/>
      <c r="N574" s="461"/>
      <c r="O574" s="461"/>
      <c r="P574" s="461"/>
      <c r="Q574" s="461"/>
      <c r="R574" s="461"/>
      <c r="S574" s="461"/>
      <c r="T574" s="461"/>
      <c r="U574" s="461"/>
      <c r="V574" s="461"/>
      <c r="W574" s="461"/>
      <c r="X574" s="461"/>
      <c r="Y574" s="461"/>
    </row>
    <row r="575" spans="1:25" ht="20.25" x14ac:dyDescent="0.4">
      <c r="A575" s="461"/>
      <c r="B575" s="461"/>
      <c r="C575" s="461"/>
      <c r="D575" s="461"/>
      <c r="E575" s="461"/>
      <c r="F575" s="461"/>
      <c r="G575" s="461"/>
      <c r="H575" s="461"/>
      <c r="I575" s="463"/>
      <c r="J575" s="463"/>
      <c r="K575" s="461"/>
      <c r="L575" s="461"/>
      <c r="M575" s="461"/>
      <c r="N575" s="461"/>
      <c r="O575" s="461"/>
      <c r="P575" s="461"/>
      <c r="Q575" s="461"/>
      <c r="R575" s="461"/>
      <c r="S575" s="461"/>
      <c r="T575" s="461"/>
      <c r="U575" s="461"/>
      <c r="V575" s="461"/>
      <c r="W575" s="461"/>
      <c r="X575" s="461"/>
      <c r="Y575" s="461"/>
    </row>
    <row r="576" spans="1:25" ht="20.25" x14ac:dyDescent="0.4">
      <c r="A576" s="461"/>
      <c r="B576" s="461"/>
      <c r="C576" s="461"/>
      <c r="D576" s="461"/>
      <c r="E576" s="461"/>
      <c r="F576" s="461"/>
      <c r="G576" s="461"/>
      <c r="H576" s="461"/>
      <c r="I576" s="463"/>
      <c r="J576" s="463"/>
      <c r="K576" s="461"/>
      <c r="L576" s="461"/>
      <c r="M576" s="461"/>
      <c r="N576" s="461"/>
      <c r="O576" s="461"/>
      <c r="P576" s="461"/>
      <c r="Q576" s="461"/>
      <c r="R576" s="461"/>
      <c r="S576" s="461"/>
      <c r="T576" s="461"/>
      <c r="U576" s="461"/>
      <c r="V576" s="461"/>
      <c r="W576" s="461"/>
      <c r="X576" s="461"/>
      <c r="Y576" s="461"/>
    </row>
    <row r="577" spans="1:25" ht="20.25" x14ac:dyDescent="0.4">
      <c r="A577" s="461"/>
      <c r="B577" s="461"/>
      <c r="C577" s="461"/>
      <c r="D577" s="461"/>
      <c r="E577" s="461"/>
      <c r="F577" s="461"/>
      <c r="G577" s="461"/>
      <c r="H577" s="461"/>
      <c r="I577" s="463"/>
      <c r="J577" s="463"/>
      <c r="K577" s="461"/>
      <c r="L577" s="461"/>
      <c r="M577" s="461"/>
      <c r="N577" s="461"/>
      <c r="O577" s="461"/>
      <c r="P577" s="461"/>
      <c r="Q577" s="461"/>
      <c r="R577" s="461"/>
      <c r="S577" s="461"/>
      <c r="T577" s="461"/>
      <c r="U577" s="461"/>
      <c r="V577" s="461"/>
      <c r="W577" s="461"/>
      <c r="X577" s="461"/>
      <c r="Y577" s="461"/>
    </row>
    <row r="578" spans="1:25" ht="20.25" x14ac:dyDescent="0.4">
      <c r="A578" s="461"/>
      <c r="B578" s="461"/>
      <c r="C578" s="461"/>
      <c r="D578" s="461"/>
      <c r="E578" s="461"/>
      <c r="F578" s="461"/>
      <c r="G578" s="461"/>
      <c r="H578" s="461"/>
      <c r="I578" s="463"/>
      <c r="J578" s="463"/>
      <c r="K578" s="461"/>
      <c r="L578" s="461"/>
      <c r="M578" s="461"/>
      <c r="N578" s="461"/>
      <c r="O578" s="461"/>
      <c r="P578" s="461"/>
      <c r="Q578" s="461"/>
      <c r="R578" s="461"/>
      <c r="S578" s="461"/>
      <c r="T578" s="461"/>
      <c r="U578" s="461"/>
      <c r="V578" s="461"/>
      <c r="W578" s="461"/>
      <c r="X578" s="461"/>
      <c r="Y578" s="461"/>
    </row>
    <row r="579" spans="1:25" ht="20.25" x14ac:dyDescent="0.4">
      <c r="A579" s="461"/>
      <c r="B579" s="461"/>
      <c r="C579" s="461"/>
      <c r="D579" s="461"/>
      <c r="E579" s="461"/>
      <c r="F579" s="461"/>
      <c r="G579" s="461"/>
      <c r="H579" s="461"/>
      <c r="I579" s="463"/>
      <c r="J579" s="463"/>
      <c r="K579" s="461"/>
      <c r="L579" s="461"/>
      <c r="M579" s="461"/>
      <c r="N579" s="461"/>
      <c r="O579" s="461"/>
      <c r="P579" s="461"/>
      <c r="Q579" s="461"/>
      <c r="R579" s="461"/>
      <c r="S579" s="461"/>
      <c r="T579" s="461"/>
      <c r="U579" s="461"/>
      <c r="V579" s="461"/>
      <c r="W579" s="461"/>
      <c r="X579" s="461"/>
      <c r="Y579" s="461"/>
    </row>
    <row r="580" spans="1:25" ht="20.25" x14ac:dyDescent="0.4">
      <c r="A580" s="461"/>
      <c r="B580" s="461"/>
      <c r="C580" s="461"/>
      <c r="D580" s="461"/>
      <c r="E580" s="461"/>
      <c r="F580" s="461"/>
      <c r="G580" s="461"/>
      <c r="H580" s="461"/>
      <c r="I580" s="463"/>
      <c r="J580" s="463"/>
      <c r="K580" s="461"/>
      <c r="L580" s="461"/>
      <c r="M580" s="461"/>
      <c r="N580" s="461"/>
      <c r="O580" s="461"/>
      <c r="P580" s="461"/>
      <c r="Q580" s="461"/>
      <c r="R580" s="461"/>
      <c r="S580" s="461"/>
      <c r="T580" s="461"/>
      <c r="U580" s="461"/>
      <c r="V580" s="461"/>
      <c r="W580" s="461"/>
      <c r="X580" s="461"/>
      <c r="Y580" s="461"/>
    </row>
    <row r="581" spans="1:25" ht="20.25" x14ac:dyDescent="0.4">
      <c r="A581" s="461"/>
      <c r="B581" s="461"/>
      <c r="C581" s="461"/>
      <c r="D581" s="461"/>
      <c r="E581" s="461"/>
      <c r="F581" s="461"/>
      <c r="G581" s="461"/>
      <c r="H581" s="461"/>
      <c r="I581" s="463"/>
      <c r="J581" s="463"/>
      <c r="K581" s="461"/>
      <c r="L581" s="461"/>
      <c r="M581" s="461"/>
      <c r="N581" s="461"/>
      <c r="O581" s="461"/>
      <c r="P581" s="461"/>
      <c r="Q581" s="461"/>
      <c r="R581" s="461"/>
      <c r="S581" s="461"/>
      <c r="T581" s="461"/>
      <c r="U581" s="461"/>
      <c r="V581" s="461"/>
      <c r="W581" s="461"/>
      <c r="X581" s="461"/>
      <c r="Y581" s="461"/>
    </row>
    <row r="582" spans="1:25" ht="20.25" x14ac:dyDescent="0.4">
      <c r="A582" s="461"/>
      <c r="B582" s="461"/>
      <c r="C582" s="461"/>
      <c r="D582" s="461"/>
      <c r="E582" s="461"/>
      <c r="F582" s="461"/>
      <c r="G582" s="461"/>
      <c r="H582" s="461"/>
      <c r="I582" s="463"/>
      <c r="J582" s="463"/>
      <c r="K582" s="461"/>
      <c r="L582" s="461"/>
      <c r="M582" s="461"/>
      <c r="N582" s="461"/>
      <c r="O582" s="461"/>
      <c r="P582" s="461"/>
      <c r="Q582" s="461"/>
      <c r="R582" s="461"/>
      <c r="S582" s="461"/>
      <c r="T582" s="461"/>
      <c r="U582" s="461"/>
      <c r="V582" s="461"/>
      <c r="W582" s="461"/>
      <c r="X582" s="461"/>
      <c r="Y582" s="461"/>
    </row>
    <row r="583" spans="1:25" ht="20.25" x14ac:dyDescent="0.4">
      <c r="A583" s="461"/>
      <c r="B583" s="461"/>
      <c r="C583" s="461"/>
      <c r="D583" s="461"/>
      <c r="E583" s="461"/>
      <c r="F583" s="461"/>
      <c r="G583" s="461"/>
      <c r="H583" s="461"/>
      <c r="I583" s="463"/>
      <c r="J583" s="463"/>
      <c r="K583" s="461"/>
      <c r="L583" s="461"/>
      <c r="M583" s="461"/>
      <c r="N583" s="461"/>
      <c r="O583" s="461"/>
      <c r="P583" s="461"/>
      <c r="Q583" s="461"/>
      <c r="R583" s="461"/>
      <c r="S583" s="461"/>
      <c r="T583" s="461"/>
      <c r="U583" s="461"/>
      <c r="V583" s="461"/>
      <c r="W583" s="461"/>
      <c r="X583" s="461"/>
      <c r="Y583" s="461"/>
    </row>
    <row r="584" spans="1:25" ht="20.25" x14ac:dyDescent="0.4">
      <c r="A584" s="461"/>
      <c r="B584" s="461"/>
      <c r="C584" s="461"/>
      <c r="D584" s="461"/>
      <c r="E584" s="461"/>
      <c r="F584" s="461"/>
      <c r="G584" s="461"/>
      <c r="H584" s="461"/>
      <c r="I584" s="463"/>
      <c r="J584" s="463"/>
      <c r="K584" s="461"/>
      <c r="L584" s="461"/>
      <c r="M584" s="461"/>
      <c r="N584" s="461"/>
      <c r="O584" s="461"/>
      <c r="P584" s="461"/>
      <c r="Q584" s="461"/>
      <c r="R584" s="461"/>
      <c r="S584" s="461"/>
      <c r="T584" s="461"/>
      <c r="U584" s="461"/>
      <c r="V584" s="461"/>
      <c r="W584" s="461"/>
      <c r="X584" s="461"/>
      <c r="Y584" s="461"/>
    </row>
    <row r="585" spans="1:25" ht="20.25" x14ac:dyDescent="0.4">
      <c r="A585" s="461"/>
      <c r="B585" s="461"/>
      <c r="C585" s="461"/>
      <c r="D585" s="461"/>
      <c r="E585" s="461"/>
      <c r="F585" s="461"/>
      <c r="G585" s="461"/>
      <c r="H585" s="461"/>
      <c r="I585" s="463"/>
      <c r="J585" s="463"/>
      <c r="K585" s="461"/>
      <c r="L585" s="461"/>
      <c r="M585" s="461"/>
      <c r="N585" s="461"/>
      <c r="O585" s="461"/>
      <c r="P585" s="461"/>
      <c r="Q585" s="461"/>
      <c r="R585" s="461"/>
      <c r="S585" s="461"/>
      <c r="T585" s="461"/>
      <c r="U585" s="461"/>
      <c r="V585" s="461"/>
      <c r="W585" s="461"/>
      <c r="X585" s="461"/>
      <c r="Y585" s="461"/>
    </row>
    <row r="586" spans="1:25" ht="20.25" x14ac:dyDescent="0.4">
      <c r="A586" s="461"/>
      <c r="B586" s="461"/>
      <c r="C586" s="461"/>
      <c r="D586" s="461"/>
      <c r="E586" s="461"/>
      <c r="F586" s="461"/>
      <c r="G586" s="461"/>
      <c r="H586" s="461"/>
      <c r="I586" s="463"/>
      <c r="J586" s="463"/>
      <c r="K586" s="461"/>
      <c r="L586" s="461"/>
      <c r="M586" s="461"/>
      <c r="N586" s="461"/>
      <c r="O586" s="461"/>
      <c r="P586" s="461"/>
      <c r="Q586" s="461"/>
      <c r="R586" s="461"/>
      <c r="S586" s="461"/>
      <c r="T586" s="461"/>
      <c r="U586" s="461"/>
      <c r="V586" s="461"/>
      <c r="W586" s="461"/>
      <c r="X586" s="461"/>
      <c r="Y586" s="461"/>
    </row>
    <row r="587" spans="1:25" ht="20.25" x14ac:dyDescent="0.4">
      <c r="A587" s="461"/>
      <c r="B587" s="461"/>
      <c r="C587" s="461"/>
      <c r="D587" s="461"/>
      <c r="E587" s="461"/>
      <c r="F587" s="461"/>
      <c r="G587" s="461"/>
      <c r="H587" s="461"/>
      <c r="I587" s="463"/>
      <c r="J587" s="463"/>
      <c r="K587" s="461"/>
      <c r="L587" s="461"/>
      <c r="M587" s="461"/>
      <c r="N587" s="461"/>
      <c r="O587" s="461"/>
      <c r="P587" s="461"/>
      <c r="Q587" s="461"/>
      <c r="R587" s="461"/>
      <c r="S587" s="461"/>
      <c r="T587" s="461"/>
      <c r="U587" s="461"/>
      <c r="V587" s="461"/>
      <c r="W587" s="461"/>
      <c r="X587" s="461"/>
      <c r="Y587" s="461"/>
    </row>
    <row r="588" spans="1:25" ht="20.25" x14ac:dyDescent="0.4">
      <c r="A588" s="461"/>
      <c r="B588" s="461"/>
      <c r="C588" s="461"/>
      <c r="D588" s="461"/>
      <c r="E588" s="461"/>
      <c r="F588" s="461"/>
      <c r="G588" s="461"/>
      <c r="H588" s="461"/>
      <c r="I588" s="463"/>
      <c r="J588" s="463"/>
      <c r="K588" s="461"/>
      <c r="L588" s="461"/>
      <c r="M588" s="461"/>
      <c r="N588" s="461"/>
      <c r="O588" s="461"/>
      <c r="P588" s="461"/>
      <c r="Q588" s="461"/>
      <c r="R588" s="461"/>
      <c r="S588" s="461"/>
      <c r="T588" s="461"/>
      <c r="U588" s="461"/>
      <c r="V588" s="461"/>
      <c r="W588" s="461"/>
      <c r="X588" s="461"/>
      <c r="Y588" s="461"/>
    </row>
    <row r="589" spans="1:25" ht="20.25" x14ac:dyDescent="0.4">
      <c r="A589" s="461"/>
      <c r="B589" s="461"/>
      <c r="C589" s="461"/>
      <c r="D589" s="461"/>
      <c r="E589" s="461"/>
      <c r="F589" s="461"/>
      <c r="G589" s="461"/>
      <c r="H589" s="461"/>
      <c r="I589" s="463"/>
      <c r="J589" s="463"/>
      <c r="K589" s="461"/>
      <c r="L589" s="461"/>
      <c r="M589" s="461"/>
      <c r="N589" s="461"/>
      <c r="O589" s="461"/>
      <c r="P589" s="461"/>
      <c r="Q589" s="461"/>
      <c r="R589" s="461"/>
      <c r="S589" s="461"/>
      <c r="T589" s="461"/>
      <c r="U589" s="461"/>
      <c r="V589" s="461"/>
      <c r="W589" s="461"/>
      <c r="X589" s="461"/>
      <c r="Y589" s="461"/>
    </row>
    <row r="590" spans="1:25" ht="20.25" x14ac:dyDescent="0.4">
      <c r="A590" s="461"/>
      <c r="B590" s="461"/>
      <c r="C590" s="461"/>
      <c r="D590" s="461"/>
      <c r="E590" s="461"/>
      <c r="F590" s="461"/>
      <c r="G590" s="461"/>
      <c r="H590" s="461"/>
      <c r="I590" s="463"/>
      <c r="J590" s="463"/>
      <c r="K590" s="461"/>
      <c r="L590" s="461"/>
      <c r="M590" s="461"/>
      <c r="N590" s="461"/>
      <c r="O590" s="461"/>
      <c r="P590" s="461"/>
      <c r="Q590" s="461"/>
      <c r="R590" s="461"/>
      <c r="S590" s="461"/>
      <c r="T590" s="461"/>
      <c r="U590" s="461"/>
      <c r="V590" s="461"/>
      <c r="W590" s="461"/>
      <c r="X590" s="461"/>
      <c r="Y590" s="461"/>
    </row>
    <row r="591" spans="1:25" ht="20.25" x14ac:dyDescent="0.4">
      <c r="A591" s="461"/>
      <c r="B591" s="461"/>
      <c r="C591" s="461"/>
      <c r="D591" s="461"/>
      <c r="E591" s="461"/>
      <c r="F591" s="461"/>
      <c r="G591" s="461"/>
      <c r="H591" s="461"/>
      <c r="I591" s="463"/>
      <c r="J591" s="463"/>
      <c r="K591" s="461"/>
      <c r="L591" s="461"/>
      <c r="M591" s="461"/>
      <c r="N591" s="461"/>
      <c r="O591" s="461"/>
      <c r="P591" s="461"/>
      <c r="Q591" s="461"/>
      <c r="R591" s="461"/>
      <c r="S591" s="461"/>
      <c r="T591" s="461"/>
      <c r="U591" s="461"/>
      <c r="V591" s="461"/>
      <c r="W591" s="461"/>
      <c r="X591" s="461"/>
      <c r="Y591" s="461"/>
    </row>
    <row r="592" spans="1:25" ht="20.25" x14ac:dyDescent="0.4">
      <c r="A592" s="461"/>
      <c r="B592" s="461"/>
      <c r="C592" s="461"/>
      <c r="D592" s="461"/>
      <c r="E592" s="461"/>
      <c r="F592" s="461"/>
      <c r="G592" s="461"/>
      <c r="H592" s="461"/>
      <c r="I592" s="463"/>
      <c r="J592" s="463"/>
      <c r="K592" s="461"/>
      <c r="L592" s="461"/>
      <c r="M592" s="461"/>
      <c r="N592" s="461"/>
      <c r="O592" s="461"/>
      <c r="P592" s="461"/>
      <c r="Q592" s="461"/>
      <c r="R592" s="461"/>
      <c r="S592" s="461"/>
      <c r="T592" s="461"/>
      <c r="U592" s="461"/>
      <c r="V592" s="461"/>
      <c r="W592" s="461"/>
      <c r="X592" s="461"/>
      <c r="Y592" s="461"/>
    </row>
    <row r="593" spans="1:25" ht="20.25" x14ac:dyDescent="0.4">
      <c r="A593" s="461"/>
      <c r="B593" s="461"/>
      <c r="C593" s="461"/>
      <c r="D593" s="461"/>
      <c r="E593" s="461"/>
      <c r="F593" s="461"/>
      <c r="G593" s="461"/>
      <c r="H593" s="461"/>
      <c r="I593" s="463"/>
      <c r="J593" s="463"/>
      <c r="K593" s="461"/>
      <c r="L593" s="461"/>
      <c r="M593" s="461"/>
      <c r="N593" s="461"/>
      <c r="O593" s="461"/>
      <c r="P593" s="461"/>
      <c r="Q593" s="461"/>
      <c r="R593" s="461"/>
      <c r="S593" s="461"/>
      <c r="T593" s="461"/>
      <c r="U593" s="461"/>
      <c r="V593" s="461"/>
      <c r="W593" s="461"/>
      <c r="X593" s="461"/>
      <c r="Y593" s="461"/>
    </row>
    <row r="594" spans="1:25" ht="20.25" x14ac:dyDescent="0.4">
      <c r="A594" s="461"/>
      <c r="B594" s="461"/>
      <c r="C594" s="461"/>
      <c r="D594" s="461"/>
      <c r="E594" s="461"/>
      <c r="F594" s="461"/>
      <c r="G594" s="461"/>
      <c r="H594" s="461"/>
      <c r="I594" s="463"/>
      <c r="J594" s="463"/>
      <c r="K594" s="461"/>
      <c r="L594" s="461"/>
      <c r="M594" s="461"/>
      <c r="N594" s="461"/>
      <c r="O594" s="461"/>
      <c r="P594" s="461"/>
      <c r="Q594" s="461"/>
      <c r="R594" s="461"/>
      <c r="S594" s="461"/>
      <c r="T594" s="461"/>
      <c r="U594" s="461"/>
      <c r="V594" s="461"/>
      <c r="W594" s="461"/>
      <c r="X594" s="461"/>
      <c r="Y594" s="461"/>
    </row>
    <row r="595" spans="1:25" ht="20.25" x14ac:dyDescent="0.4">
      <c r="A595" s="461"/>
      <c r="B595" s="461"/>
      <c r="C595" s="461"/>
      <c r="D595" s="461"/>
      <c r="E595" s="461"/>
      <c r="F595" s="461"/>
      <c r="G595" s="461"/>
      <c r="H595" s="461"/>
      <c r="I595" s="463"/>
      <c r="J595" s="463"/>
      <c r="K595" s="461"/>
      <c r="L595" s="461"/>
      <c r="M595" s="461"/>
      <c r="N595" s="461"/>
      <c r="O595" s="461"/>
      <c r="P595" s="461"/>
      <c r="Q595" s="461"/>
      <c r="R595" s="461"/>
      <c r="S595" s="461"/>
      <c r="T595" s="461"/>
      <c r="U595" s="461"/>
      <c r="V595" s="461"/>
      <c r="W595" s="461"/>
      <c r="X595" s="461"/>
      <c r="Y595" s="461"/>
    </row>
    <row r="596" spans="1:25" ht="20.25" x14ac:dyDescent="0.4">
      <c r="A596" s="461"/>
      <c r="B596" s="461"/>
      <c r="C596" s="461"/>
      <c r="D596" s="461"/>
      <c r="E596" s="461"/>
      <c r="F596" s="461"/>
      <c r="G596" s="461"/>
      <c r="H596" s="461"/>
      <c r="I596" s="463"/>
      <c r="J596" s="463"/>
      <c r="K596" s="461"/>
      <c r="L596" s="461"/>
      <c r="M596" s="461"/>
      <c r="N596" s="461"/>
      <c r="O596" s="461"/>
      <c r="P596" s="461"/>
      <c r="Q596" s="461"/>
      <c r="R596" s="461"/>
      <c r="S596" s="461"/>
      <c r="T596" s="461"/>
      <c r="U596" s="461"/>
      <c r="V596" s="461"/>
      <c r="W596" s="461"/>
      <c r="X596" s="461"/>
      <c r="Y596" s="461"/>
    </row>
    <row r="597" spans="1:25" ht="20.25" x14ac:dyDescent="0.4">
      <c r="A597" s="461"/>
      <c r="B597" s="461"/>
      <c r="C597" s="461"/>
      <c r="D597" s="461"/>
      <c r="E597" s="461"/>
      <c r="F597" s="461"/>
      <c r="G597" s="461"/>
      <c r="H597" s="461"/>
      <c r="I597" s="463"/>
      <c r="J597" s="463"/>
      <c r="K597" s="461"/>
      <c r="L597" s="461"/>
      <c r="M597" s="461"/>
      <c r="N597" s="461"/>
      <c r="O597" s="461"/>
      <c r="P597" s="461"/>
      <c r="Q597" s="461"/>
      <c r="R597" s="461"/>
      <c r="S597" s="461"/>
      <c r="T597" s="461"/>
      <c r="U597" s="461"/>
      <c r="V597" s="461"/>
      <c r="W597" s="461"/>
      <c r="X597" s="461"/>
      <c r="Y597" s="461"/>
    </row>
    <row r="598" spans="1:25" ht="20.25" x14ac:dyDescent="0.4">
      <c r="A598" s="461"/>
      <c r="B598" s="461"/>
      <c r="C598" s="461"/>
      <c r="D598" s="461"/>
      <c r="E598" s="461"/>
      <c r="F598" s="461"/>
      <c r="G598" s="461"/>
      <c r="H598" s="461"/>
      <c r="I598" s="463"/>
      <c r="J598" s="463"/>
      <c r="K598" s="461"/>
      <c r="L598" s="461"/>
      <c r="M598" s="461"/>
      <c r="N598" s="461"/>
      <c r="O598" s="461"/>
      <c r="P598" s="461"/>
      <c r="Q598" s="461"/>
      <c r="R598" s="461"/>
      <c r="S598" s="461"/>
      <c r="T598" s="461"/>
      <c r="U598" s="461"/>
      <c r="V598" s="461"/>
      <c r="W598" s="461"/>
      <c r="X598" s="461"/>
      <c r="Y598" s="461"/>
    </row>
    <row r="599" spans="1:25" ht="20.25" x14ac:dyDescent="0.4">
      <c r="A599" s="461"/>
      <c r="B599" s="461"/>
      <c r="C599" s="461"/>
      <c r="D599" s="461"/>
      <c r="E599" s="461"/>
      <c r="F599" s="461"/>
      <c r="G599" s="461"/>
      <c r="H599" s="461"/>
      <c r="I599" s="463"/>
      <c r="J599" s="463"/>
      <c r="K599" s="461"/>
      <c r="L599" s="461"/>
      <c r="M599" s="461"/>
      <c r="N599" s="461"/>
      <c r="O599" s="461"/>
      <c r="P599" s="461"/>
      <c r="Q599" s="461"/>
      <c r="R599" s="461"/>
      <c r="S599" s="461"/>
      <c r="T599" s="461"/>
      <c r="U599" s="461"/>
      <c r="V599" s="461"/>
      <c r="W599" s="461"/>
      <c r="X599" s="461"/>
      <c r="Y599" s="461"/>
    </row>
    <row r="600" spans="1:25" ht="20.25" x14ac:dyDescent="0.4">
      <c r="A600" s="461"/>
      <c r="B600" s="461"/>
      <c r="C600" s="461"/>
      <c r="D600" s="461"/>
      <c r="E600" s="461"/>
      <c r="F600" s="461"/>
      <c r="G600" s="461"/>
      <c r="H600" s="461"/>
      <c r="I600" s="463"/>
      <c r="J600" s="463"/>
      <c r="K600" s="461"/>
      <c r="L600" s="461"/>
      <c r="M600" s="461"/>
      <c r="N600" s="461"/>
      <c r="O600" s="461"/>
      <c r="P600" s="461"/>
      <c r="Q600" s="461"/>
      <c r="R600" s="461"/>
      <c r="S600" s="461"/>
      <c r="T600" s="461"/>
      <c r="U600" s="461"/>
      <c r="V600" s="461"/>
      <c r="W600" s="461"/>
      <c r="X600" s="461"/>
      <c r="Y600" s="461"/>
    </row>
    <row r="601" spans="1:25" ht="20.25" x14ac:dyDescent="0.4">
      <c r="A601" s="461"/>
      <c r="B601" s="461"/>
      <c r="C601" s="461"/>
      <c r="D601" s="461"/>
      <c r="E601" s="461"/>
      <c r="F601" s="461"/>
      <c r="G601" s="461"/>
      <c r="H601" s="461"/>
      <c r="I601" s="463"/>
      <c r="J601" s="463"/>
      <c r="K601" s="461"/>
      <c r="L601" s="461"/>
      <c r="M601" s="461"/>
      <c r="N601" s="461"/>
      <c r="O601" s="461"/>
      <c r="P601" s="461"/>
      <c r="Q601" s="461"/>
      <c r="R601" s="461"/>
      <c r="S601" s="461"/>
      <c r="T601" s="461"/>
      <c r="U601" s="461"/>
      <c r="V601" s="461"/>
      <c r="W601" s="461"/>
      <c r="X601" s="461"/>
      <c r="Y601" s="461"/>
    </row>
    <row r="602" spans="1:25" ht="20.25" x14ac:dyDescent="0.4">
      <c r="A602" s="461"/>
      <c r="B602" s="461"/>
      <c r="C602" s="461"/>
      <c r="D602" s="461"/>
      <c r="E602" s="461"/>
      <c r="F602" s="461"/>
      <c r="G602" s="461"/>
      <c r="H602" s="461"/>
      <c r="I602" s="463"/>
      <c r="J602" s="463"/>
      <c r="K602" s="461"/>
      <c r="L602" s="461"/>
      <c r="M602" s="461"/>
      <c r="N602" s="461"/>
      <c r="O602" s="461"/>
      <c r="P602" s="461"/>
      <c r="Q602" s="461"/>
      <c r="R602" s="461"/>
      <c r="S602" s="461"/>
      <c r="T602" s="461"/>
      <c r="U602" s="461"/>
      <c r="V602" s="461"/>
      <c r="W602" s="461"/>
      <c r="X602" s="461"/>
      <c r="Y602" s="461"/>
    </row>
    <row r="603" spans="1:25" ht="20.25" x14ac:dyDescent="0.4">
      <c r="A603" s="461"/>
      <c r="B603" s="461"/>
      <c r="C603" s="461"/>
      <c r="D603" s="461"/>
      <c r="E603" s="461"/>
      <c r="F603" s="461"/>
      <c r="G603" s="461"/>
      <c r="H603" s="461"/>
      <c r="I603" s="463"/>
      <c r="J603" s="463"/>
      <c r="K603" s="461"/>
      <c r="L603" s="461"/>
      <c r="M603" s="461"/>
      <c r="N603" s="461"/>
      <c r="O603" s="461"/>
      <c r="P603" s="461"/>
      <c r="Q603" s="461"/>
      <c r="R603" s="461"/>
      <c r="S603" s="461"/>
      <c r="T603" s="461"/>
      <c r="U603" s="461"/>
      <c r="V603" s="461"/>
      <c r="W603" s="461"/>
      <c r="X603" s="461"/>
      <c r="Y603" s="461"/>
    </row>
    <row r="604" spans="1:25" ht="20.25" x14ac:dyDescent="0.4">
      <c r="A604" s="461"/>
      <c r="B604" s="461"/>
      <c r="C604" s="461"/>
      <c r="D604" s="461"/>
      <c r="E604" s="461"/>
      <c r="F604" s="461"/>
      <c r="G604" s="461"/>
      <c r="H604" s="461"/>
      <c r="I604" s="463"/>
      <c r="J604" s="463"/>
      <c r="K604" s="461"/>
      <c r="L604" s="461"/>
      <c r="M604" s="461"/>
      <c r="N604" s="461"/>
      <c r="O604" s="461"/>
      <c r="P604" s="461"/>
      <c r="Q604" s="461"/>
      <c r="R604" s="461"/>
      <c r="S604" s="461"/>
      <c r="T604" s="461"/>
      <c r="U604" s="461"/>
      <c r="V604" s="461"/>
      <c r="W604" s="461"/>
      <c r="X604" s="461"/>
      <c r="Y604" s="461"/>
    </row>
    <row r="605" spans="1:25" ht="20.25" x14ac:dyDescent="0.4">
      <c r="A605" s="461"/>
      <c r="B605" s="461"/>
      <c r="C605" s="461"/>
      <c r="D605" s="461"/>
      <c r="E605" s="461"/>
      <c r="F605" s="461"/>
      <c r="G605" s="461"/>
      <c r="H605" s="461"/>
      <c r="I605" s="463"/>
      <c r="J605" s="463"/>
      <c r="K605" s="461"/>
      <c r="L605" s="461"/>
      <c r="M605" s="461"/>
      <c r="N605" s="461"/>
      <c r="O605" s="461"/>
      <c r="P605" s="461"/>
      <c r="Q605" s="461"/>
      <c r="R605" s="461"/>
      <c r="S605" s="461"/>
      <c r="T605" s="461"/>
      <c r="U605" s="461"/>
      <c r="V605" s="461"/>
      <c r="W605" s="461"/>
      <c r="X605" s="461"/>
      <c r="Y605" s="461"/>
    </row>
    <row r="606" spans="1:25" ht="20.25" x14ac:dyDescent="0.4">
      <c r="A606" s="461"/>
      <c r="B606" s="461"/>
      <c r="C606" s="461"/>
      <c r="D606" s="461"/>
      <c r="E606" s="461"/>
      <c r="F606" s="461"/>
      <c r="G606" s="461"/>
      <c r="H606" s="461"/>
      <c r="I606" s="463"/>
      <c r="J606" s="463"/>
      <c r="K606" s="461"/>
      <c r="L606" s="461"/>
      <c r="M606" s="461"/>
      <c r="N606" s="461"/>
      <c r="O606" s="461"/>
      <c r="P606" s="461"/>
      <c r="Q606" s="461"/>
      <c r="R606" s="461"/>
      <c r="S606" s="461"/>
      <c r="T606" s="461"/>
      <c r="U606" s="461"/>
      <c r="V606" s="461"/>
      <c r="W606" s="461"/>
      <c r="X606" s="461"/>
      <c r="Y606" s="461"/>
    </row>
    <row r="607" spans="1:25" ht="20.25" x14ac:dyDescent="0.4">
      <c r="A607" s="461"/>
      <c r="B607" s="461"/>
      <c r="C607" s="461"/>
      <c r="D607" s="461"/>
      <c r="E607" s="461"/>
      <c r="F607" s="461"/>
      <c r="G607" s="461"/>
      <c r="H607" s="461"/>
      <c r="I607" s="463"/>
      <c r="J607" s="463"/>
      <c r="K607" s="461"/>
      <c r="L607" s="461"/>
      <c r="M607" s="461"/>
      <c r="N607" s="461"/>
      <c r="O607" s="461"/>
      <c r="P607" s="461"/>
      <c r="Q607" s="461"/>
      <c r="R607" s="461"/>
      <c r="S607" s="461"/>
      <c r="T607" s="461"/>
      <c r="U607" s="461"/>
      <c r="V607" s="461"/>
      <c r="W607" s="461"/>
      <c r="X607" s="461"/>
      <c r="Y607" s="461"/>
    </row>
    <row r="608" spans="1:25" ht="20.25" x14ac:dyDescent="0.4">
      <c r="A608" s="461"/>
      <c r="B608" s="461"/>
      <c r="C608" s="461"/>
      <c r="D608" s="461"/>
      <c r="E608" s="461"/>
      <c r="F608" s="461"/>
      <c r="G608" s="461"/>
      <c r="H608" s="461"/>
      <c r="I608" s="463"/>
      <c r="J608" s="463"/>
      <c r="K608" s="461"/>
      <c r="L608" s="461"/>
      <c r="M608" s="461"/>
      <c r="N608" s="461"/>
      <c r="O608" s="461"/>
      <c r="P608" s="461"/>
      <c r="Q608" s="461"/>
      <c r="R608" s="461"/>
      <c r="S608" s="461"/>
      <c r="T608" s="461"/>
      <c r="U608" s="461"/>
      <c r="V608" s="461"/>
      <c r="W608" s="461"/>
      <c r="X608" s="461"/>
      <c r="Y608" s="461"/>
    </row>
    <row r="609" spans="1:25" ht="20.25" x14ac:dyDescent="0.4">
      <c r="A609" s="461"/>
      <c r="B609" s="461"/>
      <c r="C609" s="461"/>
      <c r="D609" s="461"/>
      <c r="E609" s="461"/>
      <c r="F609" s="461"/>
      <c r="G609" s="461"/>
      <c r="H609" s="461"/>
      <c r="I609" s="463"/>
      <c r="J609" s="463"/>
      <c r="K609" s="461"/>
      <c r="L609" s="461"/>
      <c r="M609" s="461"/>
      <c r="N609" s="461"/>
      <c r="O609" s="461"/>
      <c r="P609" s="461"/>
      <c r="Q609" s="461"/>
      <c r="R609" s="461"/>
      <c r="S609" s="461"/>
      <c r="T609" s="461"/>
      <c r="U609" s="461"/>
      <c r="V609" s="461"/>
      <c r="W609" s="461"/>
      <c r="X609" s="461"/>
      <c r="Y609" s="461"/>
    </row>
    <row r="610" spans="1:25" ht="20.25" x14ac:dyDescent="0.4">
      <c r="A610" s="461"/>
      <c r="B610" s="461"/>
      <c r="C610" s="461"/>
      <c r="D610" s="461"/>
      <c r="E610" s="461"/>
      <c r="F610" s="461"/>
      <c r="G610" s="461"/>
      <c r="H610" s="461"/>
      <c r="I610" s="463"/>
      <c r="J610" s="463"/>
      <c r="K610" s="461"/>
      <c r="L610" s="461"/>
      <c r="M610" s="461"/>
      <c r="N610" s="461"/>
      <c r="O610" s="461"/>
      <c r="P610" s="461"/>
      <c r="Q610" s="461"/>
      <c r="R610" s="461"/>
      <c r="S610" s="461"/>
      <c r="T610" s="461"/>
      <c r="U610" s="461"/>
      <c r="V610" s="461"/>
      <c r="W610" s="461"/>
      <c r="X610" s="461"/>
      <c r="Y610" s="461"/>
    </row>
    <row r="611" spans="1:25" ht="20.25" x14ac:dyDescent="0.4">
      <c r="A611" s="461"/>
      <c r="B611" s="461"/>
      <c r="C611" s="461"/>
      <c r="D611" s="461"/>
      <c r="E611" s="461"/>
      <c r="F611" s="461"/>
      <c r="G611" s="461"/>
      <c r="H611" s="461"/>
      <c r="I611" s="463"/>
      <c r="J611" s="463"/>
      <c r="K611" s="461"/>
      <c r="L611" s="461"/>
      <c r="M611" s="461"/>
      <c r="N611" s="461"/>
      <c r="O611" s="461"/>
      <c r="P611" s="461"/>
      <c r="Q611" s="461"/>
      <c r="R611" s="461"/>
      <c r="S611" s="461"/>
      <c r="T611" s="461"/>
      <c r="U611" s="461"/>
      <c r="V611" s="461"/>
      <c r="W611" s="461"/>
      <c r="X611" s="461"/>
      <c r="Y611" s="461"/>
    </row>
    <row r="612" spans="1:25" ht="20.25" x14ac:dyDescent="0.4">
      <c r="A612" s="461"/>
      <c r="B612" s="461"/>
      <c r="C612" s="461"/>
      <c r="D612" s="461"/>
      <c r="E612" s="461"/>
      <c r="F612" s="461"/>
      <c r="G612" s="461"/>
      <c r="H612" s="461"/>
      <c r="I612" s="463"/>
      <c r="J612" s="463"/>
      <c r="K612" s="461"/>
      <c r="L612" s="461"/>
      <c r="M612" s="461"/>
      <c r="N612" s="461"/>
      <c r="O612" s="461"/>
      <c r="P612" s="461"/>
      <c r="Q612" s="461"/>
      <c r="R612" s="461"/>
      <c r="S612" s="461"/>
      <c r="T612" s="461"/>
      <c r="U612" s="461"/>
      <c r="V612" s="461"/>
      <c r="W612" s="461"/>
      <c r="X612" s="461"/>
      <c r="Y612" s="461"/>
    </row>
    <row r="613" spans="1:25" ht="20.25" x14ac:dyDescent="0.4">
      <c r="A613" s="461"/>
      <c r="B613" s="461"/>
      <c r="C613" s="461"/>
      <c r="D613" s="461"/>
      <c r="E613" s="461"/>
      <c r="F613" s="461"/>
      <c r="G613" s="461"/>
      <c r="H613" s="461"/>
      <c r="I613" s="463"/>
      <c r="J613" s="463"/>
      <c r="K613" s="461"/>
      <c r="L613" s="461"/>
      <c r="M613" s="461"/>
      <c r="N613" s="461"/>
      <c r="O613" s="461"/>
      <c r="P613" s="461"/>
      <c r="Q613" s="461"/>
      <c r="R613" s="461"/>
      <c r="S613" s="461"/>
      <c r="T613" s="461"/>
      <c r="U613" s="461"/>
      <c r="V613" s="461"/>
      <c r="W613" s="461"/>
      <c r="X613" s="461"/>
      <c r="Y613" s="461"/>
    </row>
    <row r="614" spans="1:25" ht="20.25" x14ac:dyDescent="0.4">
      <c r="A614" s="461"/>
      <c r="B614" s="461"/>
      <c r="C614" s="461"/>
      <c r="D614" s="461"/>
      <c r="E614" s="461"/>
      <c r="F614" s="461"/>
      <c r="G614" s="461"/>
      <c r="H614" s="461"/>
      <c r="I614" s="463"/>
      <c r="J614" s="463"/>
      <c r="K614" s="461"/>
      <c r="L614" s="461"/>
      <c r="M614" s="461"/>
      <c r="N614" s="461"/>
      <c r="O614" s="461"/>
      <c r="P614" s="461"/>
      <c r="Q614" s="461"/>
      <c r="R614" s="461"/>
      <c r="S614" s="461"/>
      <c r="T614" s="461"/>
      <c r="U614" s="461"/>
      <c r="V614" s="461"/>
      <c r="W614" s="461"/>
      <c r="X614" s="461"/>
      <c r="Y614" s="461"/>
    </row>
    <row r="615" spans="1:25" ht="20.25" x14ac:dyDescent="0.4">
      <c r="A615" s="461"/>
      <c r="B615" s="461"/>
      <c r="C615" s="461"/>
      <c r="D615" s="461"/>
      <c r="E615" s="461"/>
      <c r="F615" s="461"/>
      <c r="G615" s="461"/>
      <c r="H615" s="461"/>
      <c r="I615" s="463"/>
      <c r="J615" s="463"/>
      <c r="K615" s="461"/>
      <c r="L615" s="461"/>
      <c r="M615" s="461"/>
      <c r="N615" s="461"/>
      <c r="O615" s="461"/>
      <c r="P615" s="461"/>
      <c r="Q615" s="461"/>
      <c r="R615" s="461"/>
      <c r="S615" s="461"/>
      <c r="T615" s="461"/>
      <c r="U615" s="461"/>
      <c r="V615" s="461"/>
      <c r="W615" s="461"/>
      <c r="X615" s="461"/>
      <c r="Y615" s="461"/>
    </row>
    <row r="616" spans="1:25" ht="20.25" x14ac:dyDescent="0.4">
      <c r="A616" s="461"/>
      <c r="B616" s="461"/>
      <c r="C616" s="461"/>
      <c r="D616" s="461"/>
      <c r="E616" s="461"/>
      <c r="F616" s="461"/>
      <c r="G616" s="461"/>
      <c r="H616" s="461"/>
      <c r="I616" s="463"/>
      <c r="J616" s="463"/>
      <c r="K616" s="461"/>
      <c r="L616" s="461"/>
      <c r="M616" s="461"/>
      <c r="N616" s="461"/>
      <c r="O616" s="461"/>
      <c r="P616" s="461"/>
      <c r="Q616" s="461"/>
      <c r="R616" s="461"/>
      <c r="S616" s="461"/>
      <c r="T616" s="461"/>
      <c r="U616" s="461"/>
      <c r="V616" s="461"/>
      <c r="W616" s="461"/>
      <c r="X616" s="461"/>
      <c r="Y616" s="461"/>
    </row>
    <row r="617" spans="1:25" ht="20.25" x14ac:dyDescent="0.4">
      <c r="A617" s="461"/>
      <c r="B617" s="461"/>
      <c r="C617" s="461"/>
      <c r="D617" s="461"/>
      <c r="E617" s="461"/>
      <c r="F617" s="461"/>
      <c r="G617" s="461"/>
      <c r="H617" s="461"/>
      <c r="I617" s="463"/>
      <c r="J617" s="463"/>
      <c r="K617" s="461"/>
      <c r="L617" s="461"/>
      <c r="M617" s="461"/>
      <c r="N617" s="461"/>
      <c r="O617" s="461"/>
      <c r="P617" s="461"/>
      <c r="Q617" s="461"/>
      <c r="R617" s="461"/>
      <c r="S617" s="461"/>
      <c r="T617" s="461"/>
      <c r="U617" s="461"/>
      <c r="V617" s="461"/>
      <c r="W617" s="461"/>
      <c r="X617" s="461"/>
      <c r="Y617" s="461"/>
    </row>
    <row r="618" spans="1:25" ht="20.25" x14ac:dyDescent="0.4">
      <c r="A618" s="461"/>
      <c r="B618" s="461"/>
      <c r="C618" s="461"/>
      <c r="D618" s="461"/>
      <c r="E618" s="461"/>
      <c r="F618" s="461"/>
      <c r="G618" s="461"/>
      <c r="H618" s="461"/>
      <c r="I618" s="463"/>
      <c r="J618" s="463"/>
      <c r="K618" s="461"/>
      <c r="L618" s="461"/>
      <c r="M618" s="461"/>
      <c r="N618" s="461"/>
      <c r="O618" s="461"/>
      <c r="P618" s="461"/>
      <c r="Q618" s="461"/>
      <c r="R618" s="461"/>
      <c r="S618" s="461"/>
      <c r="T618" s="461"/>
      <c r="U618" s="461"/>
      <c r="V618" s="461"/>
      <c r="W618" s="461"/>
      <c r="X618" s="461"/>
      <c r="Y618" s="461"/>
    </row>
    <row r="619" spans="1:25" ht="20.25" x14ac:dyDescent="0.4">
      <c r="A619" s="461"/>
      <c r="B619" s="461"/>
      <c r="C619" s="461"/>
      <c r="D619" s="461"/>
      <c r="E619" s="461"/>
      <c r="F619" s="461"/>
      <c r="G619" s="461"/>
      <c r="H619" s="461"/>
      <c r="I619" s="463"/>
      <c r="J619" s="463"/>
      <c r="K619" s="461"/>
      <c r="L619" s="461"/>
      <c r="M619" s="461"/>
      <c r="N619" s="461"/>
      <c r="O619" s="461"/>
      <c r="P619" s="461"/>
      <c r="Q619" s="461"/>
      <c r="R619" s="461"/>
      <c r="S619" s="461"/>
      <c r="T619" s="461"/>
      <c r="U619" s="461"/>
      <c r="V619" s="461"/>
      <c r="W619" s="461"/>
      <c r="X619" s="461"/>
      <c r="Y619" s="461"/>
    </row>
    <row r="620" spans="1:25" ht="20.25" x14ac:dyDescent="0.4">
      <c r="A620" s="461"/>
      <c r="B620" s="461"/>
      <c r="C620" s="461"/>
      <c r="D620" s="461"/>
      <c r="E620" s="461"/>
      <c r="F620" s="461"/>
      <c r="G620" s="461"/>
      <c r="H620" s="461"/>
      <c r="I620" s="463"/>
      <c r="J620" s="463"/>
      <c r="K620" s="461"/>
      <c r="L620" s="461"/>
      <c r="M620" s="461"/>
      <c r="N620" s="461"/>
      <c r="O620" s="461"/>
      <c r="P620" s="461"/>
      <c r="Q620" s="461"/>
      <c r="R620" s="461"/>
      <c r="S620" s="461"/>
      <c r="T620" s="461"/>
      <c r="U620" s="461"/>
      <c r="V620" s="461"/>
      <c r="W620" s="461"/>
      <c r="X620" s="461"/>
      <c r="Y620" s="461"/>
    </row>
    <row r="621" spans="1:25" ht="20.25" x14ac:dyDescent="0.4">
      <c r="A621" s="461"/>
      <c r="B621" s="461"/>
      <c r="C621" s="461"/>
      <c r="D621" s="461"/>
      <c r="E621" s="461"/>
      <c r="F621" s="461"/>
      <c r="G621" s="461"/>
      <c r="H621" s="461"/>
      <c r="I621" s="463"/>
      <c r="J621" s="463"/>
      <c r="K621" s="461"/>
      <c r="L621" s="461"/>
      <c r="M621" s="461"/>
      <c r="N621" s="461"/>
      <c r="O621" s="461"/>
      <c r="P621" s="461"/>
      <c r="Q621" s="461"/>
      <c r="R621" s="461"/>
      <c r="S621" s="461"/>
      <c r="T621" s="461"/>
      <c r="U621" s="461"/>
      <c r="V621" s="461"/>
      <c r="W621" s="461"/>
      <c r="X621" s="461"/>
      <c r="Y621" s="461"/>
    </row>
    <row r="622" spans="1:25" ht="20.25" x14ac:dyDescent="0.4">
      <c r="A622" s="461"/>
      <c r="B622" s="461"/>
      <c r="C622" s="461"/>
      <c r="D622" s="461"/>
      <c r="E622" s="461"/>
      <c r="F622" s="461"/>
      <c r="G622" s="461"/>
      <c r="H622" s="461"/>
      <c r="I622" s="463"/>
      <c r="J622" s="463"/>
      <c r="K622" s="461"/>
      <c r="L622" s="461"/>
      <c r="M622" s="461"/>
      <c r="N622" s="461"/>
      <c r="O622" s="461"/>
      <c r="P622" s="461"/>
      <c r="Q622" s="461"/>
      <c r="R622" s="461"/>
      <c r="S622" s="461"/>
      <c r="T622" s="461"/>
      <c r="U622" s="461"/>
      <c r="V622" s="461"/>
      <c r="W622" s="461"/>
      <c r="X622" s="461"/>
      <c r="Y622" s="461"/>
    </row>
    <row r="623" spans="1:25" ht="20.25" x14ac:dyDescent="0.4">
      <c r="A623" s="461"/>
      <c r="B623" s="461"/>
      <c r="C623" s="461"/>
      <c r="D623" s="461"/>
      <c r="E623" s="461"/>
      <c r="F623" s="461"/>
      <c r="G623" s="461"/>
      <c r="H623" s="461"/>
      <c r="I623" s="463"/>
      <c r="J623" s="463"/>
      <c r="K623" s="461"/>
      <c r="L623" s="461"/>
      <c r="M623" s="461"/>
      <c r="N623" s="461"/>
      <c r="O623" s="461"/>
      <c r="P623" s="461"/>
      <c r="Q623" s="461"/>
      <c r="R623" s="461"/>
      <c r="S623" s="461"/>
      <c r="T623" s="461"/>
      <c r="U623" s="461"/>
      <c r="V623" s="461"/>
      <c r="W623" s="461"/>
      <c r="X623" s="461"/>
      <c r="Y623" s="461"/>
    </row>
    <row r="624" spans="1:25" ht="20.25" x14ac:dyDescent="0.4">
      <c r="A624" s="461"/>
      <c r="B624" s="461"/>
      <c r="C624" s="461"/>
      <c r="D624" s="461"/>
      <c r="E624" s="461"/>
      <c r="F624" s="461"/>
      <c r="G624" s="461"/>
      <c r="H624" s="461"/>
      <c r="I624" s="463"/>
      <c r="J624" s="463"/>
      <c r="K624" s="461"/>
      <c r="L624" s="461"/>
      <c r="M624" s="461"/>
      <c r="N624" s="461"/>
      <c r="O624" s="461"/>
      <c r="P624" s="461"/>
      <c r="Q624" s="461"/>
      <c r="R624" s="461"/>
      <c r="S624" s="461"/>
      <c r="T624" s="461"/>
      <c r="U624" s="461"/>
      <c r="V624" s="461"/>
      <c r="W624" s="461"/>
      <c r="X624" s="461"/>
      <c r="Y624" s="461"/>
    </row>
    <row r="625" spans="1:25" ht="20.25" x14ac:dyDescent="0.4">
      <c r="A625" s="461"/>
      <c r="B625" s="461"/>
      <c r="C625" s="461"/>
      <c r="D625" s="461"/>
      <c r="E625" s="461"/>
      <c r="F625" s="461"/>
      <c r="G625" s="461"/>
      <c r="H625" s="461"/>
      <c r="I625" s="463"/>
      <c r="J625" s="463"/>
      <c r="K625" s="461"/>
      <c r="L625" s="461"/>
      <c r="M625" s="461"/>
      <c r="N625" s="461"/>
      <c r="O625" s="461"/>
      <c r="P625" s="461"/>
      <c r="Q625" s="461"/>
      <c r="R625" s="461"/>
      <c r="S625" s="461"/>
      <c r="T625" s="461"/>
      <c r="U625" s="461"/>
      <c r="V625" s="461"/>
      <c r="W625" s="461"/>
      <c r="X625" s="461"/>
      <c r="Y625" s="461"/>
    </row>
    <row r="626" spans="1:25" ht="20.25" x14ac:dyDescent="0.4">
      <c r="A626" s="461"/>
      <c r="B626" s="461"/>
      <c r="C626" s="461"/>
      <c r="D626" s="461"/>
      <c r="E626" s="461"/>
      <c r="F626" s="461"/>
      <c r="G626" s="461"/>
      <c r="H626" s="461"/>
      <c r="I626" s="463"/>
      <c r="J626" s="463"/>
      <c r="K626" s="461"/>
      <c r="L626" s="461"/>
      <c r="M626" s="461"/>
      <c r="N626" s="461"/>
      <c r="O626" s="461"/>
      <c r="P626" s="461"/>
      <c r="Q626" s="461"/>
      <c r="R626" s="461"/>
      <c r="S626" s="461"/>
      <c r="T626" s="461"/>
      <c r="U626" s="461"/>
      <c r="V626" s="461"/>
      <c r="W626" s="461"/>
      <c r="X626" s="461"/>
      <c r="Y626" s="461"/>
    </row>
    <row r="627" spans="1:25" ht="20.25" x14ac:dyDescent="0.4">
      <c r="A627" s="461"/>
      <c r="B627" s="461"/>
      <c r="C627" s="461"/>
      <c r="D627" s="461"/>
      <c r="E627" s="461"/>
      <c r="F627" s="461"/>
      <c r="G627" s="461"/>
      <c r="H627" s="461"/>
      <c r="I627" s="463"/>
      <c r="J627" s="463"/>
      <c r="K627" s="461"/>
      <c r="L627" s="461"/>
      <c r="M627" s="461"/>
      <c r="N627" s="461"/>
      <c r="O627" s="461"/>
      <c r="P627" s="461"/>
      <c r="Q627" s="461"/>
      <c r="R627" s="461"/>
      <c r="S627" s="461"/>
      <c r="T627" s="461"/>
      <c r="U627" s="461"/>
      <c r="V627" s="461"/>
      <c r="W627" s="461"/>
      <c r="X627" s="461"/>
      <c r="Y627" s="461"/>
    </row>
    <row r="628" spans="1:25" ht="20.25" x14ac:dyDescent="0.4">
      <c r="A628" s="461"/>
      <c r="B628" s="461"/>
      <c r="C628" s="461"/>
      <c r="D628" s="461"/>
      <c r="E628" s="461"/>
      <c r="F628" s="461"/>
      <c r="G628" s="461"/>
      <c r="H628" s="461"/>
      <c r="I628" s="463"/>
      <c r="J628" s="463"/>
      <c r="K628" s="461"/>
      <c r="L628" s="461"/>
      <c r="M628" s="461"/>
      <c r="N628" s="461"/>
      <c r="O628" s="461"/>
      <c r="P628" s="461"/>
      <c r="Q628" s="461"/>
      <c r="R628" s="461"/>
      <c r="S628" s="461"/>
      <c r="T628" s="461"/>
      <c r="U628" s="461"/>
      <c r="V628" s="461"/>
      <c r="W628" s="461"/>
      <c r="X628" s="461"/>
      <c r="Y628" s="461"/>
    </row>
    <row r="629" spans="1:25" ht="20.25" x14ac:dyDescent="0.4">
      <c r="A629" s="461"/>
      <c r="B629" s="461"/>
      <c r="C629" s="461"/>
      <c r="D629" s="461"/>
      <c r="E629" s="461"/>
      <c r="F629" s="461"/>
      <c r="G629" s="461"/>
      <c r="H629" s="461"/>
      <c r="I629" s="463"/>
      <c r="J629" s="463"/>
      <c r="K629" s="461"/>
      <c r="L629" s="461"/>
      <c r="M629" s="461"/>
      <c r="N629" s="461"/>
      <c r="O629" s="461"/>
      <c r="P629" s="461"/>
      <c r="Q629" s="461"/>
      <c r="R629" s="461"/>
      <c r="S629" s="461"/>
      <c r="T629" s="461"/>
      <c r="U629" s="461"/>
      <c r="V629" s="461"/>
      <c r="W629" s="461"/>
      <c r="X629" s="461"/>
      <c r="Y629" s="461"/>
    </row>
    <row r="630" spans="1:25" ht="20.25" x14ac:dyDescent="0.4">
      <c r="A630" s="461"/>
      <c r="B630" s="461"/>
      <c r="C630" s="461"/>
      <c r="D630" s="461"/>
      <c r="E630" s="461"/>
      <c r="F630" s="461"/>
      <c r="G630" s="461"/>
      <c r="H630" s="461"/>
      <c r="I630" s="463"/>
      <c r="J630" s="463"/>
      <c r="K630" s="461"/>
      <c r="L630" s="461"/>
      <c r="M630" s="461"/>
      <c r="N630" s="461"/>
      <c r="O630" s="461"/>
      <c r="P630" s="461"/>
      <c r="Q630" s="461"/>
      <c r="R630" s="461"/>
      <c r="S630" s="461"/>
      <c r="T630" s="461"/>
      <c r="U630" s="461"/>
      <c r="V630" s="461"/>
      <c r="W630" s="461"/>
      <c r="X630" s="461"/>
      <c r="Y630" s="461"/>
    </row>
    <row r="631" spans="1:25" ht="20.25" x14ac:dyDescent="0.4">
      <c r="A631" s="461"/>
      <c r="B631" s="461"/>
      <c r="C631" s="461"/>
      <c r="D631" s="461"/>
      <c r="E631" s="461"/>
      <c r="F631" s="461"/>
      <c r="G631" s="461"/>
      <c r="H631" s="461"/>
      <c r="I631" s="463"/>
      <c r="J631" s="463"/>
      <c r="K631" s="461"/>
      <c r="L631" s="461"/>
      <c r="M631" s="461"/>
      <c r="N631" s="461"/>
      <c r="O631" s="461"/>
      <c r="P631" s="461"/>
      <c r="Q631" s="461"/>
      <c r="R631" s="461"/>
      <c r="S631" s="461"/>
      <c r="T631" s="461"/>
      <c r="U631" s="461"/>
      <c r="V631" s="461"/>
      <c r="W631" s="461"/>
      <c r="X631" s="461"/>
      <c r="Y631" s="461"/>
    </row>
    <row r="632" spans="1:25" ht="20.25" x14ac:dyDescent="0.4">
      <c r="A632" s="461"/>
      <c r="B632" s="461"/>
      <c r="C632" s="461"/>
      <c r="D632" s="461"/>
      <c r="E632" s="461"/>
      <c r="F632" s="461"/>
      <c r="G632" s="461"/>
      <c r="H632" s="461"/>
      <c r="I632" s="463"/>
      <c r="J632" s="463"/>
      <c r="K632" s="461"/>
      <c r="L632" s="461"/>
      <c r="M632" s="461"/>
      <c r="N632" s="461"/>
      <c r="O632" s="461"/>
      <c r="P632" s="461"/>
      <c r="Q632" s="461"/>
      <c r="R632" s="461"/>
      <c r="S632" s="461"/>
      <c r="T632" s="461"/>
      <c r="U632" s="461"/>
      <c r="V632" s="461"/>
      <c r="W632" s="461"/>
      <c r="X632" s="461"/>
      <c r="Y632" s="461"/>
    </row>
    <row r="633" spans="1:25" ht="20.25" x14ac:dyDescent="0.4">
      <c r="A633" s="461"/>
      <c r="B633" s="461"/>
      <c r="C633" s="461"/>
      <c r="D633" s="461"/>
      <c r="E633" s="461"/>
      <c r="F633" s="461"/>
      <c r="G633" s="461"/>
      <c r="H633" s="461"/>
      <c r="I633" s="463"/>
      <c r="J633" s="463"/>
      <c r="K633" s="461"/>
      <c r="L633" s="461"/>
      <c r="M633" s="461"/>
      <c r="N633" s="461"/>
      <c r="O633" s="461"/>
      <c r="P633" s="461"/>
      <c r="Q633" s="461"/>
      <c r="R633" s="461"/>
      <c r="S633" s="461"/>
      <c r="T633" s="461"/>
      <c r="U633" s="461"/>
      <c r="V633" s="461"/>
      <c r="W633" s="461"/>
      <c r="X633" s="461"/>
      <c r="Y633" s="461"/>
    </row>
    <row r="634" spans="1:25" ht="20.25" x14ac:dyDescent="0.4">
      <c r="A634" s="461"/>
      <c r="B634" s="461"/>
      <c r="C634" s="461"/>
      <c r="D634" s="461"/>
      <c r="E634" s="461"/>
      <c r="F634" s="461"/>
      <c r="G634" s="461"/>
      <c r="H634" s="461"/>
      <c r="I634" s="463"/>
      <c r="J634" s="463"/>
      <c r="K634" s="461"/>
      <c r="L634" s="461"/>
      <c r="M634" s="461"/>
      <c r="N634" s="461"/>
      <c r="O634" s="461"/>
      <c r="P634" s="461"/>
      <c r="Q634" s="461"/>
      <c r="R634" s="461"/>
      <c r="S634" s="461"/>
      <c r="T634" s="461"/>
      <c r="U634" s="461"/>
      <c r="V634" s="461"/>
      <c r="W634" s="461"/>
      <c r="X634" s="461"/>
      <c r="Y634" s="461"/>
    </row>
    <row r="635" spans="1:25" ht="20.25" x14ac:dyDescent="0.4">
      <c r="A635" s="461"/>
      <c r="B635" s="461"/>
      <c r="C635" s="461"/>
      <c r="D635" s="461"/>
      <c r="E635" s="461"/>
      <c r="F635" s="461"/>
      <c r="G635" s="461"/>
      <c r="H635" s="461"/>
      <c r="I635" s="463"/>
      <c r="J635" s="463"/>
      <c r="K635" s="461"/>
      <c r="L635" s="461"/>
      <c r="M635" s="461"/>
      <c r="N635" s="461"/>
      <c r="O635" s="461"/>
      <c r="P635" s="461"/>
      <c r="Q635" s="461"/>
      <c r="R635" s="461"/>
      <c r="S635" s="461"/>
      <c r="T635" s="461"/>
      <c r="U635" s="461"/>
      <c r="V635" s="461"/>
      <c r="W635" s="461"/>
      <c r="X635" s="461"/>
      <c r="Y635" s="461"/>
    </row>
    <row r="636" spans="1:25" ht="20.25" x14ac:dyDescent="0.4">
      <c r="A636" s="461"/>
      <c r="B636" s="461"/>
      <c r="C636" s="461"/>
      <c r="D636" s="461"/>
      <c r="E636" s="461"/>
      <c r="F636" s="461"/>
      <c r="G636" s="461"/>
      <c r="H636" s="461"/>
      <c r="I636" s="463"/>
      <c r="J636" s="463"/>
      <c r="K636" s="461"/>
      <c r="L636" s="461"/>
      <c r="M636" s="461"/>
      <c r="N636" s="461"/>
      <c r="O636" s="461"/>
      <c r="P636" s="461"/>
      <c r="Q636" s="461"/>
      <c r="R636" s="461"/>
      <c r="S636" s="461"/>
      <c r="T636" s="461"/>
      <c r="U636" s="461"/>
      <c r="V636" s="461"/>
      <c r="W636" s="461"/>
      <c r="X636" s="461"/>
      <c r="Y636" s="461"/>
    </row>
    <row r="637" spans="1:25" ht="20.25" x14ac:dyDescent="0.4">
      <c r="A637" s="461"/>
      <c r="B637" s="461"/>
      <c r="C637" s="461"/>
      <c r="D637" s="461"/>
      <c r="E637" s="461"/>
      <c r="F637" s="461"/>
      <c r="G637" s="461"/>
      <c r="H637" s="461"/>
      <c r="I637" s="463"/>
      <c r="J637" s="463"/>
      <c r="K637" s="461"/>
      <c r="L637" s="461"/>
      <c r="M637" s="461"/>
      <c r="N637" s="461"/>
      <c r="O637" s="461"/>
      <c r="P637" s="461"/>
      <c r="Q637" s="461"/>
      <c r="R637" s="461"/>
      <c r="S637" s="461"/>
      <c r="T637" s="461"/>
      <c r="U637" s="461"/>
      <c r="V637" s="461"/>
      <c r="W637" s="461"/>
      <c r="X637" s="461"/>
      <c r="Y637" s="461"/>
    </row>
    <row r="638" spans="1:25" ht="20.25" x14ac:dyDescent="0.4">
      <c r="A638" s="461"/>
      <c r="B638" s="461"/>
      <c r="C638" s="461"/>
      <c r="D638" s="461"/>
      <c r="E638" s="461"/>
      <c r="F638" s="461"/>
      <c r="G638" s="461"/>
      <c r="H638" s="461"/>
      <c r="I638" s="463"/>
      <c r="J638" s="463"/>
      <c r="K638" s="461"/>
      <c r="L638" s="461"/>
      <c r="M638" s="461"/>
      <c r="N638" s="461"/>
      <c r="O638" s="461"/>
      <c r="P638" s="461"/>
      <c r="Q638" s="461"/>
      <c r="R638" s="461"/>
      <c r="S638" s="461"/>
      <c r="T638" s="461"/>
      <c r="U638" s="461"/>
      <c r="V638" s="461"/>
      <c r="W638" s="461"/>
      <c r="X638" s="461"/>
      <c r="Y638" s="461"/>
    </row>
    <row r="639" spans="1:25" ht="20.25" x14ac:dyDescent="0.4">
      <c r="A639" s="461"/>
      <c r="B639" s="461"/>
      <c r="C639" s="461"/>
      <c r="D639" s="461"/>
      <c r="E639" s="461"/>
      <c r="F639" s="461"/>
      <c r="G639" s="461"/>
      <c r="H639" s="461"/>
      <c r="I639" s="463"/>
      <c r="J639" s="463"/>
      <c r="K639" s="461"/>
      <c r="L639" s="461"/>
      <c r="M639" s="461"/>
      <c r="N639" s="461"/>
      <c r="O639" s="461"/>
      <c r="P639" s="461"/>
      <c r="Q639" s="461"/>
      <c r="R639" s="461"/>
      <c r="S639" s="461"/>
      <c r="T639" s="461"/>
      <c r="U639" s="461"/>
      <c r="V639" s="461"/>
      <c r="W639" s="461"/>
      <c r="X639" s="461"/>
      <c r="Y639" s="461"/>
    </row>
    <row r="640" spans="1:25" ht="20.25" x14ac:dyDescent="0.4">
      <c r="A640" s="461"/>
      <c r="B640" s="461"/>
      <c r="C640" s="461"/>
      <c r="D640" s="461"/>
      <c r="E640" s="461"/>
      <c r="F640" s="461"/>
      <c r="G640" s="461"/>
      <c r="H640" s="461"/>
      <c r="I640" s="463"/>
      <c r="J640" s="463"/>
      <c r="K640" s="461"/>
      <c r="L640" s="461"/>
      <c r="M640" s="461"/>
      <c r="N640" s="461"/>
      <c r="O640" s="461"/>
      <c r="P640" s="461"/>
      <c r="Q640" s="461"/>
      <c r="R640" s="461"/>
      <c r="S640" s="461"/>
      <c r="T640" s="461"/>
      <c r="U640" s="461"/>
      <c r="V640" s="461"/>
      <c r="W640" s="461"/>
      <c r="X640" s="461"/>
      <c r="Y640" s="461"/>
    </row>
    <row r="641" spans="1:25" ht="20.25" x14ac:dyDescent="0.4">
      <c r="A641" s="461"/>
      <c r="B641" s="461"/>
      <c r="C641" s="461"/>
      <c r="D641" s="461"/>
      <c r="E641" s="461"/>
      <c r="F641" s="461"/>
      <c r="G641" s="461"/>
      <c r="H641" s="461"/>
      <c r="I641" s="463"/>
      <c r="J641" s="463"/>
      <c r="K641" s="461"/>
      <c r="L641" s="461"/>
      <c r="M641" s="461"/>
      <c r="N641" s="461"/>
      <c r="O641" s="461"/>
      <c r="P641" s="461"/>
      <c r="Q641" s="461"/>
      <c r="R641" s="461"/>
      <c r="S641" s="461"/>
      <c r="T641" s="461"/>
      <c r="U641" s="461"/>
      <c r="V641" s="461"/>
      <c r="W641" s="461"/>
      <c r="X641" s="461"/>
      <c r="Y641" s="461"/>
    </row>
    <row r="642" spans="1:25" ht="20.25" x14ac:dyDescent="0.4">
      <c r="A642" s="461"/>
      <c r="B642" s="461"/>
      <c r="C642" s="461"/>
      <c r="D642" s="461"/>
      <c r="E642" s="461"/>
      <c r="F642" s="461"/>
      <c r="G642" s="461"/>
      <c r="H642" s="461"/>
      <c r="I642" s="463"/>
      <c r="J642" s="463"/>
      <c r="K642" s="461"/>
      <c r="L642" s="461"/>
      <c r="M642" s="461"/>
      <c r="N642" s="461"/>
      <c r="O642" s="461"/>
      <c r="P642" s="461"/>
      <c r="Q642" s="461"/>
      <c r="R642" s="461"/>
      <c r="S642" s="461"/>
      <c r="T642" s="461"/>
      <c r="U642" s="461"/>
      <c r="V642" s="461"/>
      <c r="W642" s="461"/>
      <c r="X642" s="461"/>
      <c r="Y642" s="461"/>
    </row>
    <row r="643" spans="1:25" ht="20.25" x14ac:dyDescent="0.4">
      <c r="A643" s="461"/>
      <c r="B643" s="461"/>
      <c r="C643" s="461"/>
      <c r="D643" s="461"/>
      <c r="E643" s="461"/>
      <c r="F643" s="461"/>
      <c r="G643" s="461"/>
      <c r="H643" s="461"/>
      <c r="I643" s="463"/>
      <c r="J643" s="463"/>
      <c r="K643" s="461"/>
      <c r="L643" s="461"/>
      <c r="M643" s="461"/>
      <c r="N643" s="461"/>
      <c r="O643" s="461"/>
      <c r="P643" s="461"/>
      <c r="Q643" s="461"/>
      <c r="R643" s="461"/>
      <c r="S643" s="461"/>
      <c r="T643" s="461"/>
      <c r="U643" s="461"/>
      <c r="V643" s="461"/>
      <c r="W643" s="461"/>
      <c r="X643" s="461"/>
      <c r="Y643" s="461"/>
    </row>
    <row r="644" spans="1:25" ht="20.25" x14ac:dyDescent="0.4">
      <c r="A644" s="461"/>
      <c r="B644" s="461"/>
      <c r="C644" s="461"/>
      <c r="D644" s="461"/>
      <c r="E644" s="461"/>
      <c r="F644" s="461"/>
      <c r="G644" s="461"/>
      <c r="H644" s="461"/>
      <c r="I644" s="463"/>
      <c r="J644" s="463"/>
      <c r="K644" s="461"/>
      <c r="L644" s="461"/>
      <c r="M644" s="461"/>
      <c r="N644" s="461"/>
      <c r="O644" s="461"/>
      <c r="P644" s="461"/>
      <c r="Q644" s="461"/>
      <c r="R644" s="461"/>
      <c r="S644" s="461"/>
      <c r="T644" s="461"/>
      <c r="U644" s="461"/>
      <c r="V644" s="461"/>
      <c r="W644" s="461"/>
      <c r="X644" s="461"/>
      <c r="Y644" s="461"/>
    </row>
    <row r="645" spans="1:25" ht="20.25" x14ac:dyDescent="0.4">
      <c r="A645" s="461"/>
      <c r="B645" s="461"/>
      <c r="C645" s="461"/>
      <c r="D645" s="461"/>
      <c r="E645" s="461"/>
      <c r="F645" s="461"/>
      <c r="G645" s="461"/>
      <c r="H645" s="461"/>
      <c r="I645" s="463"/>
      <c r="J645" s="463"/>
      <c r="K645" s="461"/>
      <c r="L645" s="461"/>
      <c r="M645" s="461"/>
      <c r="N645" s="461"/>
      <c r="O645" s="461"/>
      <c r="P645" s="461"/>
      <c r="Q645" s="461"/>
      <c r="R645" s="461"/>
      <c r="S645" s="461"/>
      <c r="T645" s="461"/>
      <c r="U645" s="461"/>
      <c r="V645" s="461"/>
      <c r="W645" s="461"/>
      <c r="X645" s="461"/>
      <c r="Y645" s="461"/>
    </row>
    <row r="646" spans="1:25" ht="20.25" x14ac:dyDescent="0.4">
      <c r="A646" s="461"/>
      <c r="B646" s="461"/>
      <c r="C646" s="461"/>
      <c r="D646" s="461"/>
      <c r="E646" s="461"/>
      <c r="F646" s="461"/>
      <c r="G646" s="461"/>
      <c r="H646" s="461"/>
      <c r="I646" s="463"/>
      <c r="J646" s="463"/>
      <c r="K646" s="461"/>
      <c r="L646" s="461"/>
      <c r="M646" s="461"/>
      <c r="N646" s="461"/>
      <c r="O646" s="461"/>
      <c r="P646" s="461"/>
      <c r="Q646" s="461"/>
      <c r="R646" s="461"/>
      <c r="S646" s="461"/>
      <c r="T646" s="461"/>
      <c r="U646" s="461"/>
      <c r="V646" s="461"/>
      <c r="W646" s="461"/>
      <c r="X646" s="461"/>
      <c r="Y646" s="461"/>
    </row>
    <row r="647" spans="1:25" ht="20.25" x14ac:dyDescent="0.4">
      <c r="A647" s="461"/>
      <c r="B647" s="461"/>
      <c r="C647" s="461"/>
      <c r="D647" s="461"/>
      <c r="E647" s="461"/>
      <c r="F647" s="461"/>
      <c r="G647" s="461"/>
      <c r="H647" s="461"/>
      <c r="I647" s="463"/>
      <c r="J647" s="463"/>
      <c r="K647" s="461"/>
      <c r="L647" s="461"/>
      <c r="M647" s="461"/>
      <c r="N647" s="461"/>
      <c r="O647" s="461"/>
      <c r="P647" s="461"/>
      <c r="Q647" s="461"/>
      <c r="R647" s="461"/>
      <c r="S647" s="461"/>
      <c r="T647" s="461"/>
      <c r="U647" s="461"/>
      <c r="V647" s="461"/>
      <c r="W647" s="461"/>
      <c r="X647" s="461"/>
      <c r="Y647" s="461"/>
    </row>
    <row r="648" spans="1:25" ht="20.25" x14ac:dyDescent="0.4">
      <c r="A648" s="461"/>
      <c r="B648" s="461"/>
      <c r="C648" s="461"/>
      <c r="D648" s="461"/>
      <c r="E648" s="461"/>
      <c r="F648" s="461"/>
      <c r="G648" s="461"/>
      <c r="H648" s="461"/>
      <c r="I648" s="463"/>
      <c r="J648" s="463"/>
      <c r="K648" s="461"/>
      <c r="L648" s="461"/>
      <c r="M648" s="461"/>
      <c r="N648" s="461"/>
      <c r="O648" s="461"/>
      <c r="P648" s="461"/>
      <c r="Q648" s="461"/>
      <c r="R648" s="461"/>
      <c r="S648" s="461"/>
      <c r="T648" s="461"/>
      <c r="U648" s="461"/>
      <c r="V648" s="461"/>
      <c r="W648" s="461"/>
      <c r="X648" s="461"/>
      <c r="Y648" s="461"/>
    </row>
    <row r="649" spans="1:25" ht="20.25" x14ac:dyDescent="0.4">
      <c r="A649" s="461"/>
      <c r="B649" s="461"/>
      <c r="C649" s="461"/>
      <c r="D649" s="461"/>
      <c r="E649" s="461"/>
      <c r="F649" s="461"/>
      <c r="G649" s="461"/>
      <c r="H649" s="461"/>
      <c r="I649" s="463"/>
      <c r="J649" s="463"/>
      <c r="K649" s="461"/>
      <c r="L649" s="461"/>
      <c r="M649" s="461"/>
      <c r="N649" s="461"/>
      <c r="O649" s="461"/>
      <c r="P649" s="461"/>
      <c r="Q649" s="461"/>
      <c r="R649" s="461"/>
      <c r="S649" s="461"/>
      <c r="T649" s="461"/>
      <c r="U649" s="461"/>
      <c r="V649" s="461"/>
      <c r="W649" s="461"/>
      <c r="X649" s="461"/>
      <c r="Y649" s="461"/>
    </row>
    <row r="650" spans="1:25" ht="20.25" x14ac:dyDescent="0.4">
      <c r="A650" s="461"/>
      <c r="B650" s="461"/>
      <c r="C650" s="461"/>
      <c r="D650" s="461"/>
      <c r="E650" s="461"/>
      <c r="F650" s="461"/>
      <c r="G650" s="461"/>
      <c r="H650" s="461"/>
      <c r="I650" s="463"/>
      <c r="J650" s="463"/>
      <c r="K650" s="461"/>
      <c r="L650" s="461"/>
      <c r="M650" s="461"/>
      <c r="N650" s="461"/>
      <c r="O650" s="461"/>
      <c r="P650" s="461"/>
      <c r="Q650" s="461"/>
      <c r="R650" s="461"/>
      <c r="S650" s="461"/>
      <c r="T650" s="461"/>
      <c r="U650" s="461"/>
      <c r="V650" s="461"/>
      <c r="W650" s="461"/>
      <c r="X650" s="461"/>
      <c r="Y650" s="461"/>
    </row>
    <row r="651" spans="1:25" ht="20.25" x14ac:dyDescent="0.4">
      <c r="A651" s="461"/>
      <c r="B651" s="461"/>
      <c r="C651" s="461"/>
      <c r="D651" s="461"/>
      <c r="E651" s="461"/>
      <c r="F651" s="461"/>
      <c r="G651" s="461"/>
      <c r="H651" s="461"/>
      <c r="I651" s="463"/>
      <c r="J651" s="463"/>
      <c r="K651" s="461"/>
      <c r="L651" s="461"/>
      <c r="M651" s="461"/>
      <c r="N651" s="461"/>
      <c r="O651" s="461"/>
      <c r="P651" s="461"/>
      <c r="Q651" s="461"/>
      <c r="R651" s="461"/>
      <c r="S651" s="461"/>
      <c r="T651" s="461"/>
      <c r="U651" s="461"/>
      <c r="V651" s="461"/>
      <c r="W651" s="461"/>
      <c r="X651" s="461"/>
      <c r="Y651" s="461"/>
    </row>
    <row r="652" spans="1:25" ht="20.25" x14ac:dyDescent="0.4">
      <c r="A652" s="461"/>
      <c r="B652" s="461"/>
      <c r="C652" s="461"/>
      <c r="D652" s="461"/>
      <c r="E652" s="461"/>
      <c r="F652" s="461"/>
      <c r="G652" s="461"/>
      <c r="H652" s="461"/>
      <c r="I652" s="463"/>
      <c r="J652" s="463"/>
      <c r="K652" s="461"/>
      <c r="L652" s="461"/>
      <c r="M652" s="461"/>
      <c r="N652" s="461"/>
      <c r="O652" s="461"/>
      <c r="P652" s="461"/>
      <c r="Q652" s="461"/>
      <c r="R652" s="461"/>
      <c r="S652" s="461"/>
      <c r="T652" s="461"/>
      <c r="U652" s="461"/>
      <c r="V652" s="461"/>
      <c r="W652" s="461"/>
      <c r="X652" s="461"/>
      <c r="Y652" s="461"/>
    </row>
    <row r="653" spans="1:25" ht="20.25" x14ac:dyDescent="0.4">
      <c r="A653" s="461"/>
      <c r="B653" s="461"/>
      <c r="C653" s="461"/>
      <c r="D653" s="461"/>
      <c r="E653" s="461"/>
      <c r="F653" s="461"/>
      <c r="G653" s="461"/>
      <c r="H653" s="461"/>
      <c r="I653" s="463"/>
      <c r="J653" s="463"/>
      <c r="K653" s="461"/>
      <c r="L653" s="461"/>
      <c r="M653" s="461"/>
      <c r="N653" s="461"/>
      <c r="O653" s="461"/>
      <c r="P653" s="461"/>
      <c r="Q653" s="461"/>
      <c r="R653" s="461"/>
      <c r="S653" s="461"/>
      <c r="T653" s="461"/>
      <c r="U653" s="461"/>
      <c r="V653" s="461"/>
      <c r="W653" s="461"/>
      <c r="X653" s="461"/>
      <c r="Y653" s="461"/>
    </row>
    <row r="654" spans="1:25" ht="20.25" x14ac:dyDescent="0.4">
      <c r="A654" s="461"/>
      <c r="B654" s="461"/>
      <c r="C654" s="461"/>
      <c r="D654" s="461"/>
      <c r="E654" s="461"/>
      <c r="F654" s="461"/>
      <c r="G654" s="461"/>
      <c r="H654" s="461"/>
      <c r="I654" s="463"/>
      <c r="J654" s="463"/>
      <c r="K654" s="461"/>
      <c r="L654" s="461"/>
      <c r="M654" s="461"/>
      <c r="N654" s="461"/>
      <c r="O654" s="461"/>
      <c r="P654" s="461"/>
      <c r="Q654" s="461"/>
      <c r="R654" s="461"/>
      <c r="S654" s="461"/>
      <c r="T654" s="461"/>
      <c r="U654" s="461"/>
      <c r="V654" s="461"/>
      <c r="W654" s="461"/>
      <c r="X654" s="461"/>
      <c r="Y654" s="461"/>
    </row>
    <row r="655" spans="1:25" ht="20.25" x14ac:dyDescent="0.4">
      <c r="A655" s="461"/>
      <c r="B655" s="461"/>
      <c r="C655" s="461"/>
      <c r="D655" s="461"/>
      <c r="E655" s="461"/>
      <c r="F655" s="461"/>
      <c r="G655" s="461"/>
      <c r="H655" s="461"/>
      <c r="I655" s="463"/>
      <c r="J655" s="463"/>
      <c r="K655" s="461"/>
      <c r="L655" s="461"/>
      <c r="M655" s="461"/>
      <c r="N655" s="461"/>
      <c r="O655" s="461"/>
      <c r="P655" s="461"/>
      <c r="Q655" s="461"/>
      <c r="R655" s="461"/>
      <c r="S655" s="461"/>
      <c r="T655" s="461"/>
      <c r="U655" s="461"/>
      <c r="V655" s="461"/>
      <c r="W655" s="461"/>
      <c r="X655" s="461"/>
      <c r="Y655" s="461"/>
    </row>
    <row r="656" spans="1:25" ht="20.25" x14ac:dyDescent="0.4">
      <c r="A656" s="461"/>
      <c r="B656" s="461"/>
      <c r="C656" s="461"/>
      <c r="D656" s="461"/>
      <c r="E656" s="461"/>
      <c r="F656" s="461"/>
      <c r="G656" s="461"/>
      <c r="H656" s="461"/>
      <c r="I656" s="463"/>
      <c r="J656" s="463"/>
      <c r="K656" s="461"/>
      <c r="L656" s="461"/>
      <c r="M656" s="461"/>
      <c r="N656" s="461"/>
      <c r="O656" s="461"/>
      <c r="P656" s="461"/>
      <c r="Q656" s="461"/>
      <c r="R656" s="461"/>
      <c r="S656" s="461"/>
      <c r="T656" s="461"/>
      <c r="U656" s="461"/>
      <c r="V656" s="461"/>
      <c r="W656" s="461"/>
      <c r="X656" s="461"/>
      <c r="Y656" s="461"/>
    </row>
    <row r="657" spans="1:25" ht="20.25" x14ac:dyDescent="0.4">
      <c r="A657" s="461"/>
      <c r="B657" s="461"/>
      <c r="C657" s="461"/>
      <c r="D657" s="461"/>
      <c r="E657" s="461"/>
      <c r="F657" s="461"/>
      <c r="G657" s="461"/>
      <c r="H657" s="461"/>
      <c r="I657" s="463"/>
      <c r="J657" s="463"/>
      <c r="K657" s="461"/>
      <c r="L657" s="461"/>
      <c r="M657" s="461"/>
      <c r="N657" s="461"/>
      <c r="O657" s="461"/>
      <c r="P657" s="461"/>
      <c r="Q657" s="461"/>
      <c r="R657" s="461"/>
      <c r="S657" s="461"/>
      <c r="T657" s="461"/>
      <c r="U657" s="461"/>
      <c r="V657" s="461"/>
      <c r="W657" s="461"/>
      <c r="X657" s="461"/>
      <c r="Y657" s="461"/>
    </row>
    <row r="658" spans="1:25" ht="20.25" x14ac:dyDescent="0.4">
      <c r="A658" s="461"/>
      <c r="B658" s="461"/>
      <c r="C658" s="461"/>
      <c r="D658" s="461"/>
      <c r="E658" s="461"/>
      <c r="F658" s="461"/>
      <c r="G658" s="461"/>
      <c r="H658" s="461"/>
      <c r="I658" s="463"/>
      <c r="J658" s="463"/>
      <c r="K658" s="461"/>
      <c r="L658" s="461"/>
      <c r="M658" s="461"/>
      <c r="N658" s="461"/>
      <c r="O658" s="461"/>
      <c r="P658" s="461"/>
      <c r="Q658" s="461"/>
      <c r="R658" s="461"/>
      <c r="S658" s="461"/>
      <c r="T658" s="461"/>
      <c r="U658" s="461"/>
      <c r="V658" s="461"/>
      <c r="W658" s="461"/>
      <c r="X658" s="461"/>
      <c r="Y658" s="461"/>
    </row>
    <row r="659" spans="1:25" ht="20.25" x14ac:dyDescent="0.4">
      <c r="A659" s="461"/>
      <c r="B659" s="461"/>
      <c r="C659" s="461"/>
      <c r="D659" s="461"/>
      <c r="E659" s="461"/>
      <c r="F659" s="461"/>
      <c r="G659" s="461"/>
      <c r="H659" s="461"/>
      <c r="I659" s="463"/>
      <c r="J659" s="463"/>
      <c r="K659" s="461"/>
      <c r="L659" s="461"/>
      <c r="M659" s="461"/>
      <c r="N659" s="461"/>
      <c r="O659" s="461"/>
      <c r="P659" s="461"/>
      <c r="Q659" s="461"/>
      <c r="R659" s="461"/>
      <c r="S659" s="461"/>
      <c r="T659" s="461"/>
      <c r="U659" s="461"/>
      <c r="V659" s="461"/>
      <c r="W659" s="461"/>
      <c r="X659" s="461"/>
      <c r="Y659" s="461"/>
    </row>
    <row r="660" spans="1:25" ht="20.25" x14ac:dyDescent="0.4">
      <c r="A660" s="461"/>
      <c r="B660" s="461"/>
      <c r="C660" s="461"/>
      <c r="D660" s="461"/>
      <c r="E660" s="461"/>
      <c r="F660" s="461"/>
      <c r="G660" s="461"/>
      <c r="H660" s="461"/>
      <c r="I660" s="463"/>
      <c r="J660" s="463"/>
      <c r="K660" s="461"/>
      <c r="L660" s="461"/>
      <c r="M660" s="461"/>
      <c r="N660" s="461"/>
      <c r="O660" s="461"/>
      <c r="P660" s="461"/>
      <c r="Q660" s="461"/>
      <c r="R660" s="461"/>
      <c r="S660" s="461"/>
      <c r="T660" s="461"/>
      <c r="U660" s="461"/>
      <c r="V660" s="461"/>
      <c r="W660" s="461"/>
      <c r="X660" s="461"/>
      <c r="Y660" s="461"/>
    </row>
    <row r="661" spans="1:25" ht="20.25" x14ac:dyDescent="0.4">
      <c r="A661" s="461"/>
      <c r="B661" s="461"/>
      <c r="C661" s="461"/>
      <c r="D661" s="461"/>
      <c r="E661" s="461"/>
      <c r="F661" s="461"/>
      <c r="G661" s="461"/>
      <c r="H661" s="461"/>
      <c r="I661" s="463"/>
      <c r="J661" s="463"/>
      <c r="K661" s="461"/>
      <c r="L661" s="461"/>
      <c r="M661" s="461"/>
      <c r="N661" s="461"/>
      <c r="O661" s="461"/>
      <c r="P661" s="461"/>
      <c r="Q661" s="461"/>
      <c r="R661" s="461"/>
      <c r="S661" s="461"/>
      <c r="T661" s="461"/>
      <c r="U661" s="461"/>
      <c r="V661" s="461"/>
      <c r="W661" s="461"/>
      <c r="X661" s="461"/>
      <c r="Y661" s="461"/>
    </row>
    <row r="662" spans="1:25" ht="20.25" x14ac:dyDescent="0.4">
      <c r="A662" s="461"/>
      <c r="B662" s="461"/>
      <c r="C662" s="461"/>
      <c r="D662" s="461"/>
      <c r="E662" s="461"/>
      <c r="F662" s="461"/>
      <c r="G662" s="461"/>
      <c r="H662" s="461"/>
      <c r="I662" s="463"/>
      <c r="J662" s="463"/>
      <c r="K662" s="461"/>
      <c r="L662" s="461"/>
      <c r="M662" s="461"/>
      <c r="N662" s="461"/>
      <c r="O662" s="461"/>
      <c r="P662" s="461"/>
      <c r="Q662" s="461"/>
      <c r="R662" s="461"/>
      <c r="S662" s="461"/>
      <c r="T662" s="461"/>
      <c r="U662" s="461"/>
      <c r="V662" s="461"/>
      <c r="W662" s="461"/>
      <c r="X662" s="461"/>
      <c r="Y662" s="461"/>
    </row>
    <row r="663" spans="1:25" ht="20.25" x14ac:dyDescent="0.4">
      <c r="A663" s="461"/>
      <c r="B663" s="461"/>
      <c r="C663" s="461"/>
      <c r="D663" s="461"/>
      <c r="E663" s="461"/>
      <c r="F663" s="461"/>
      <c r="G663" s="461"/>
      <c r="H663" s="461"/>
      <c r="I663" s="463"/>
      <c r="J663" s="463"/>
      <c r="K663" s="461"/>
      <c r="L663" s="461"/>
      <c r="M663" s="461"/>
      <c r="N663" s="461"/>
      <c r="O663" s="461"/>
      <c r="P663" s="461"/>
      <c r="Q663" s="461"/>
      <c r="R663" s="461"/>
      <c r="S663" s="461"/>
      <c r="T663" s="461"/>
      <c r="U663" s="461"/>
      <c r="V663" s="461"/>
      <c r="W663" s="461"/>
      <c r="X663" s="461"/>
      <c r="Y663" s="461"/>
    </row>
    <row r="664" spans="1:25" ht="20.25" x14ac:dyDescent="0.4">
      <c r="A664" s="461"/>
      <c r="B664" s="461"/>
      <c r="C664" s="461"/>
      <c r="D664" s="461"/>
      <c r="E664" s="461"/>
      <c r="F664" s="461"/>
      <c r="G664" s="461"/>
      <c r="H664" s="461"/>
      <c r="I664" s="463"/>
      <c r="J664" s="463"/>
      <c r="K664" s="461"/>
      <c r="L664" s="461"/>
      <c r="M664" s="461"/>
      <c r="N664" s="461"/>
      <c r="O664" s="461"/>
      <c r="P664" s="461"/>
      <c r="Q664" s="461"/>
      <c r="R664" s="461"/>
      <c r="S664" s="461"/>
      <c r="T664" s="461"/>
      <c r="U664" s="461"/>
      <c r="V664" s="461"/>
      <c r="W664" s="461"/>
      <c r="X664" s="461"/>
      <c r="Y664" s="461"/>
    </row>
    <row r="665" spans="1:25" ht="20.25" x14ac:dyDescent="0.4">
      <c r="A665" s="461"/>
      <c r="B665" s="461"/>
      <c r="C665" s="461"/>
      <c r="D665" s="461"/>
      <c r="E665" s="461"/>
      <c r="F665" s="461"/>
      <c r="G665" s="461"/>
      <c r="H665" s="461"/>
      <c r="I665" s="463"/>
      <c r="J665" s="463"/>
      <c r="K665" s="461"/>
      <c r="L665" s="461"/>
      <c r="M665" s="461"/>
      <c r="N665" s="461"/>
      <c r="O665" s="461"/>
      <c r="P665" s="461"/>
      <c r="Q665" s="461"/>
      <c r="R665" s="461"/>
      <c r="S665" s="461"/>
      <c r="T665" s="461"/>
      <c r="U665" s="461"/>
      <c r="V665" s="461"/>
      <c r="W665" s="461"/>
      <c r="X665" s="461"/>
      <c r="Y665" s="461"/>
    </row>
    <row r="666" spans="1:25" ht="20.25" x14ac:dyDescent="0.4">
      <c r="A666" s="461"/>
      <c r="B666" s="461"/>
      <c r="C666" s="461"/>
      <c r="D666" s="461"/>
      <c r="E666" s="461"/>
      <c r="F666" s="461"/>
      <c r="G666" s="461"/>
      <c r="H666" s="461"/>
      <c r="I666" s="463"/>
      <c r="J666" s="463"/>
      <c r="K666" s="461"/>
      <c r="L666" s="461"/>
      <c r="M666" s="461"/>
      <c r="N666" s="461"/>
      <c r="O666" s="461"/>
      <c r="P666" s="461"/>
      <c r="Q666" s="461"/>
      <c r="R666" s="461"/>
      <c r="S666" s="461"/>
      <c r="T666" s="461"/>
      <c r="U666" s="461"/>
      <c r="V666" s="461"/>
      <c r="W666" s="461"/>
      <c r="X666" s="461"/>
      <c r="Y666" s="461"/>
    </row>
    <row r="667" spans="1:25" ht="20.25" x14ac:dyDescent="0.4">
      <c r="A667" s="461"/>
      <c r="B667" s="461"/>
      <c r="C667" s="461"/>
      <c r="D667" s="461"/>
      <c r="E667" s="461"/>
      <c r="F667" s="461"/>
      <c r="G667" s="461"/>
      <c r="H667" s="461"/>
      <c r="I667" s="463"/>
      <c r="J667" s="463"/>
      <c r="K667" s="461"/>
      <c r="L667" s="461"/>
      <c r="M667" s="461"/>
      <c r="N667" s="461"/>
      <c r="O667" s="461"/>
      <c r="P667" s="461"/>
      <c r="Q667" s="461"/>
      <c r="R667" s="461"/>
      <c r="S667" s="461"/>
      <c r="T667" s="461"/>
      <c r="U667" s="461"/>
      <c r="V667" s="461"/>
      <c r="W667" s="461"/>
      <c r="X667" s="461"/>
      <c r="Y667" s="461"/>
    </row>
    <row r="668" spans="1:25" ht="20.25" x14ac:dyDescent="0.4">
      <c r="A668" s="461"/>
      <c r="B668" s="461"/>
      <c r="C668" s="461"/>
      <c r="D668" s="461"/>
      <c r="E668" s="461"/>
      <c r="F668" s="461"/>
      <c r="G668" s="461"/>
      <c r="H668" s="461"/>
      <c r="I668" s="463"/>
      <c r="J668" s="463"/>
      <c r="K668" s="461"/>
      <c r="L668" s="461"/>
      <c r="M668" s="461"/>
      <c r="N668" s="461"/>
      <c r="O668" s="461"/>
      <c r="P668" s="461"/>
      <c r="Q668" s="461"/>
      <c r="R668" s="461"/>
      <c r="S668" s="461"/>
      <c r="T668" s="461"/>
      <c r="U668" s="461"/>
      <c r="V668" s="461"/>
      <c r="W668" s="461"/>
      <c r="X668" s="461"/>
      <c r="Y668" s="461"/>
    </row>
    <row r="669" spans="1:25" ht="20.25" x14ac:dyDescent="0.4">
      <c r="A669" s="461"/>
      <c r="B669" s="461"/>
      <c r="C669" s="461"/>
      <c r="D669" s="461"/>
      <c r="E669" s="461"/>
      <c r="F669" s="461"/>
      <c r="G669" s="461"/>
      <c r="H669" s="461"/>
      <c r="I669" s="463"/>
      <c r="J669" s="463"/>
      <c r="K669" s="461"/>
      <c r="L669" s="461"/>
      <c r="M669" s="461"/>
      <c r="N669" s="461"/>
      <c r="O669" s="461"/>
      <c r="P669" s="461"/>
      <c r="Q669" s="461"/>
      <c r="R669" s="461"/>
      <c r="S669" s="461"/>
      <c r="T669" s="461"/>
      <c r="U669" s="461"/>
      <c r="V669" s="461"/>
      <c r="W669" s="461"/>
      <c r="X669" s="461"/>
      <c r="Y669" s="461"/>
    </row>
    <row r="670" spans="1:25" ht="20.25" x14ac:dyDescent="0.4">
      <c r="A670" s="461"/>
      <c r="B670" s="461"/>
      <c r="C670" s="461"/>
      <c r="D670" s="461"/>
      <c r="E670" s="461"/>
      <c r="F670" s="461"/>
      <c r="G670" s="461"/>
      <c r="H670" s="461"/>
      <c r="I670" s="463"/>
      <c r="J670" s="463"/>
      <c r="K670" s="461"/>
      <c r="L670" s="461"/>
      <c r="M670" s="461"/>
      <c r="N670" s="461"/>
      <c r="O670" s="461"/>
      <c r="P670" s="461"/>
      <c r="Q670" s="461"/>
      <c r="R670" s="461"/>
      <c r="S670" s="461"/>
      <c r="T670" s="461"/>
      <c r="U670" s="461"/>
      <c r="V670" s="461"/>
      <c r="W670" s="461"/>
      <c r="X670" s="461"/>
      <c r="Y670" s="461"/>
    </row>
    <row r="671" spans="1:25" ht="20.25" x14ac:dyDescent="0.4">
      <c r="A671" s="461"/>
      <c r="B671" s="461"/>
      <c r="C671" s="461"/>
      <c r="D671" s="461"/>
      <c r="E671" s="461"/>
      <c r="F671" s="461"/>
      <c r="G671" s="461"/>
      <c r="H671" s="461"/>
      <c r="I671" s="463"/>
      <c r="J671" s="463"/>
      <c r="K671" s="461"/>
      <c r="L671" s="461"/>
      <c r="M671" s="461"/>
      <c r="N671" s="461"/>
      <c r="O671" s="461"/>
      <c r="P671" s="461"/>
      <c r="Q671" s="461"/>
      <c r="R671" s="461"/>
      <c r="S671" s="461"/>
      <c r="T671" s="461"/>
      <c r="U671" s="461"/>
      <c r="V671" s="461"/>
      <c r="W671" s="461"/>
      <c r="X671" s="461"/>
      <c r="Y671" s="461"/>
    </row>
    <row r="672" spans="1:25" ht="20.25" x14ac:dyDescent="0.4">
      <c r="A672" s="461"/>
      <c r="B672" s="461"/>
      <c r="C672" s="461"/>
      <c r="D672" s="461"/>
      <c r="E672" s="461"/>
      <c r="F672" s="461"/>
      <c r="G672" s="461"/>
      <c r="H672" s="461"/>
      <c r="I672" s="463"/>
      <c r="J672" s="463"/>
      <c r="K672" s="461"/>
      <c r="L672" s="461"/>
      <c r="M672" s="461"/>
      <c r="N672" s="461"/>
      <c r="O672" s="461"/>
      <c r="P672" s="461"/>
      <c r="Q672" s="461"/>
      <c r="R672" s="461"/>
      <c r="S672" s="461"/>
      <c r="T672" s="461"/>
      <c r="U672" s="461"/>
      <c r="V672" s="461"/>
      <c r="W672" s="461"/>
      <c r="X672" s="461"/>
      <c r="Y672" s="461"/>
    </row>
    <row r="673" spans="1:25" ht="20.25" x14ac:dyDescent="0.4">
      <c r="A673" s="461"/>
      <c r="B673" s="461"/>
      <c r="C673" s="461"/>
      <c r="D673" s="461"/>
      <c r="E673" s="461"/>
      <c r="F673" s="461"/>
      <c r="G673" s="461"/>
      <c r="H673" s="461"/>
      <c r="I673" s="463"/>
      <c r="J673" s="463"/>
      <c r="K673" s="461"/>
      <c r="L673" s="461"/>
      <c r="M673" s="461"/>
      <c r="N673" s="461"/>
      <c r="O673" s="461"/>
      <c r="P673" s="461"/>
      <c r="Q673" s="461"/>
      <c r="R673" s="461"/>
      <c r="S673" s="461"/>
      <c r="T673" s="461"/>
      <c r="U673" s="461"/>
      <c r="V673" s="461"/>
      <c r="W673" s="461"/>
      <c r="X673" s="461"/>
      <c r="Y673" s="461"/>
    </row>
    <row r="674" spans="1:25" ht="20.25" x14ac:dyDescent="0.4">
      <c r="A674" s="461"/>
      <c r="B674" s="461"/>
      <c r="C674" s="461"/>
      <c r="D674" s="461"/>
      <c r="E674" s="461"/>
      <c r="F674" s="461"/>
      <c r="G674" s="461"/>
      <c r="H674" s="461"/>
      <c r="I674" s="463"/>
      <c r="J674" s="463"/>
      <c r="K674" s="461"/>
      <c r="L674" s="461"/>
      <c r="M674" s="461"/>
      <c r="N674" s="461"/>
      <c r="O674" s="461"/>
      <c r="P674" s="461"/>
      <c r="Q674" s="461"/>
      <c r="R674" s="461"/>
      <c r="S674" s="461"/>
      <c r="T674" s="461"/>
      <c r="U674" s="461"/>
      <c r="V674" s="461"/>
      <c r="W674" s="461"/>
      <c r="X674" s="461"/>
      <c r="Y674" s="461"/>
    </row>
    <row r="675" spans="1:25" ht="20.25" x14ac:dyDescent="0.4">
      <c r="A675" s="461"/>
      <c r="B675" s="461"/>
      <c r="C675" s="461"/>
      <c r="D675" s="461"/>
      <c r="E675" s="461"/>
      <c r="F675" s="461"/>
      <c r="G675" s="461"/>
      <c r="H675" s="461"/>
      <c r="I675" s="463"/>
      <c r="J675" s="463"/>
      <c r="K675" s="461"/>
      <c r="L675" s="461"/>
      <c r="M675" s="461"/>
      <c r="N675" s="461"/>
      <c r="O675" s="461"/>
      <c r="P675" s="461"/>
      <c r="Q675" s="461"/>
      <c r="R675" s="461"/>
      <c r="S675" s="461"/>
      <c r="T675" s="461"/>
      <c r="U675" s="461"/>
      <c r="V675" s="461"/>
      <c r="W675" s="461"/>
      <c r="X675" s="461"/>
      <c r="Y675" s="461"/>
    </row>
    <row r="676" spans="1:25" ht="20.25" x14ac:dyDescent="0.4">
      <c r="A676" s="461"/>
      <c r="B676" s="461"/>
      <c r="C676" s="461"/>
      <c r="D676" s="461"/>
      <c r="E676" s="461"/>
      <c r="F676" s="461"/>
      <c r="G676" s="461"/>
      <c r="H676" s="461"/>
      <c r="I676" s="463"/>
      <c r="J676" s="463"/>
      <c r="K676" s="461"/>
      <c r="L676" s="461"/>
      <c r="M676" s="461"/>
      <c r="N676" s="461"/>
      <c r="O676" s="461"/>
      <c r="P676" s="461"/>
      <c r="Q676" s="461"/>
      <c r="R676" s="461"/>
      <c r="S676" s="461"/>
      <c r="T676" s="461"/>
      <c r="U676" s="461"/>
      <c r="V676" s="461"/>
      <c r="W676" s="461"/>
      <c r="X676" s="461"/>
      <c r="Y676" s="461"/>
    </row>
    <row r="677" spans="1:25" ht="20.25" x14ac:dyDescent="0.4">
      <c r="A677" s="461"/>
      <c r="B677" s="461"/>
      <c r="C677" s="461"/>
      <c r="D677" s="461"/>
      <c r="E677" s="461"/>
      <c r="F677" s="461"/>
      <c r="G677" s="461"/>
      <c r="H677" s="461"/>
      <c r="I677" s="463"/>
      <c r="J677" s="463"/>
      <c r="K677" s="461"/>
      <c r="L677" s="461"/>
      <c r="M677" s="461"/>
      <c r="N677" s="461"/>
      <c r="O677" s="461"/>
      <c r="P677" s="461"/>
      <c r="Q677" s="461"/>
      <c r="R677" s="461"/>
      <c r="S677" s="461"/>
      <c r="T677" s="461"/>
      <c r="U677" s="461"/>
      <c r="V677" s="461"/>
      <c r="W677" s="461"/>
      <c r="X677" s="461"/>
      <c r="Y677" s="461"/>
    </row>
    <row r="678" spans="1:25" ht="20.25" x14ac:dyDescent="0.4">
      <c r="A678" s="461"/>
      <c r="B678" s="461"/>
      <c r="C678" s="461"/>
      <c r="D678" s="461"/>
      <c r="E678" s="461"/>
      <c r="F678" s="461"/>
      <c r="G678" s="461"/>
      <c r="H678" s="461"/>
      <c r="I678" s="463"/>
      <c r="J678" s="463"/>
      <c r="K678" s="461"/>
      <c r="L678" s="461"/>
      <c r="M678" s="461"/>
      <c r="N678" s="461"/>
      <c r="O678" s="461"/>
      <c r="P678" s="461"/>
      <c r="Q678" s="461"/>
      <c r="R678" s="461"/>
      <c r="S678" s="461"/>
      <c r="T678" s="461"/>
      <c r="U678" s="461"/>
      <c r="V678" s="461"/>
      <c r="W678" s="461"/>
      <c r="X678" s="461"/>
      <c r="Y678" s="461"/>
    </row>
    <row r="679" spans="1:25" ht="20.25" x14ac:dyDescent="0.4">
      <c r="A679" s="461"/>
      <c r="B679" s="461"/>
      <c r="C679" s="461"/>
      <c r="D679" s="461"/>
      <c r="E679" s="461"/>
      <c r="F679" s="461"/>
      <c r="G679" s="461"/>
      <c r="H679" s="461"/>
      <c r="I679" s="463"/>
      <c r="J679" s="463"/>
      <c r="K679" s="461"/>
      <c r="L679" s="461"/>
      <c r="M679" s="461"/>
      <c r="N679" s="461"/>
      <c r="O679" s="461"/>
      <c r="P679" s="461"/>
      <c r="Q679" s="461"/>
      <c r="R679" s="461"/>
      <c r="S679" s="461"/>
      <c r="T679" s="461"/>
      <c r="U679" s="461"/>
      <c r="V679" s="461"/>
      <c r="W679" s="461"/>
      <c r="X679" s="461"/>
      <c r="Y679" s="461"/>
    </row>
    <row r="680" spans="1:25" ht="20.25" x14ac:dyDescent="0.4">
      <c r="A680" s="461"/>
      <c r="B680" s="461"/>
      <c r="C680" s="461"/>
      <c r="D680" s="461"/>
      <c r="E680" s="461"/>
      <c r="F680" s="461"/>
      <c r="G680" s="461"/>
      <c r="H680" s="461"/>
      <c r="I680" s="463"/>
      <c r="J680" s="463"/>
      <c r="K680" s="461"/>
      <c r="L680" s="461"/>
      <c r="M680" s="461"/>
      <c r="N680" s="461"/>
      <c r="O680" s="461"/>
      <c r="P680" s="461"/>
      <c r="Q680" s="461"/>
      <c r="R680" s="461"/>
      <c r="S680" s="461"/>
      <c r="T680" s="461"/>
      <c r="U680" s="461"/>
      <c r="V680" s="461"/>
      <c r="W680" s="461"/>
      <c r="X680" s="461"/>
      <c r="Y680" s="461"/>
    </row>
    <row r="681" spans="1:25" ht="20.25" x14ac:dyDescent="0.4">
      <c r="A681" s="461"/>
      <c r="B681" s="461"/>
      <c r="C681" s="461"/>
      <c r="D681" s="461"/>
      <c r="E681" s="461"/>
      <c r="F681" s="461"/>
      <c r="G681" s="461"/>
      <c r="H681" s="461"/>
      <c r="I681" s="463"/>
      <c r="J681" s="463"/>
      <c r="K681" s="461"/>
      <c r="L681" s="461"/>
      <c r="M681" s="461"/>
      <c r="N681" s="461"/>
      <c r="O681" s="461"/>
      <c r="P681" s="461"/>
      <c r="Q681" s="461"/>
      <c r="R681" s="461"/>
      <c r="S681" s="461"/>
      <c r="T681" s="461"/>
      <c r="U681" s="461"/>
      <c r="V681" s="461"/>
      <c r="W681" s="461"/>
      <c r="X681" s="461"/>
      <c r="Y681" s="461"/>
    </row>
    <row r="682" spans="1:25" ht="20.25" x14ac:dyDescent="0.4">
      <c r="A682" s="461"/>
      <c r="B682" s="461"/>
      <c r="C682" s="461"/>
      <c r="D682" s="461"/>
      <c r="E682" s="461"/>
      <c r="F682" s="461"/>
      <c r="G682" s="461"/>
      <c r="H682" s="461"/>
      <c r="I682" s="463"/>
      <c r="J682" s="463"/>
      <c r="K682" s="461"/>
      <c r="L682" s="461"/>
      <c r="M682" s="461"/>
      <c r="N682" s="461"/>
      <c r="O682" s="461"/>
      <c r="P682" s="461"/>
      <c r="Q682" s="461"/>
      <c r="R682" s="461"/>
      <c r="S682" s="461"/>
      <c r="T682" s="461"/>
      <c r="U682" s="461"/>
      <c r="V682" s="461"/>
      <c r="W682" s="461"/>
      <c r="X682" s="461"/>
      <c r="Y682" s="461"/>
    </row>
    <row r="683" spans="1:25" ht="20.25" x14ac:dyDescent="0.4">
      <c r="A683" s="461"/>
      <c r="B683" s="461"/>
      <c r="C683" s="461"/>
      <c r="D683" s="461"/>
      <c r="E683" s="461"/>
      <c r="F683" s="461"/>
      <c r="G683" s="461"/>
      <c r="H683" s="461"/>
      <c r="I683" s="463"/>
      <c r="J683" s="463"/>
      <c r="K683" s="461"/>
      <c r="L683" s="461"/>
      <c r="M683" s="461"/>
      <c r="N683" s="461"/>
      <c r="O683" s="461"/>
      <c r="P683" s="461"/>
      <c r="Q683" s="461"/>
      <c r="R683" s="461"/>
      <c r="S683" s="461"/>
      <c r="T683" s="461"/>
      <c r="U683" s="461"/>
      <c r="V683" s="461"/>
      <c r="W683" s="461"/>
      <c r="X683" s="461"/>
      <c r="Y683" s="461"/>
    </row>
    <row r="684" spans="1:25" ht="20.25" x14ac:dyDescent="0.4">
      <c r="A684" s="461"/>
      <c r="B684" s="461"/>
      <c r="C684" s="461"/>
      <c r="D684" s="461"/>
      <c r="E684" s="461"/>
      <c r="F684" s="461"/>
      <c r="G684" s="461"/>
      <c r="H684" s="461"/>
      <c r="I684" s="463"/>
      <c r="J684" s="463"/>
      <c r="K684" s="461"/>
      <c r="L684" s="461"/>
      <c r="M684" s="461"/>
      <c r="N684" s="461"/>
      <c r="O684" s="461"/>
      <c r="P684" s="461"/>
      <c r="Q684" s="461"/>
      <c r="R684" s="461"/>
      <c r="S684" s="461"/>
      <c r="T684" s="461"/>
      <c r="U684" s="461"/>
      <c r="V684" s="461"/>
      <c r="W684" s="461"/>
      <c r="X684" s="461"/>
      <c r="Y684" s="461"/>
    </row>
    <row r="685" spans="1:25" ht="20.25" x14ac:dyDescent="0.4">
      <c r="A685" s="461"/>
      <c r="B685" s="461"/>
      <c r="C685" s="461"/>
      <c r="D685" s="461"/>
      <c r="E685" s="461"/>
      <c r="F685" s="461"/>
      <c r="G685" s="461"/>
      <c r="H685" s="461"/>
      <c r="I685" s="463"/>
      <c r="J685" s="463"/>
      <c r="K685" s="461"/>
      <c r="L685" s="461"/>
      <c r="M685" s="461"/>
      <c r="N685" s="461"/>
      <c r="O685" s="461"/>
      <c r="P685" s="461"/>
      <c r="Q685" s="461"/>
      <c r="R685" s="461"/>
      <c r="S685" s="461"/>
      <c r="T685" s="461"/>
      <c r="U685" s="461"/>
      <c r="V685" s="461"/>
      <c r="W685" s="461"/>
      <c r="X685" s="461"/>
      <c r="Y685" s="461"/>
    </row>
    <row r="686" spans="1:25" ht="20.25" x14ac:dyDescent="0.4">
      <c r="A686" s="461"/>
      <c r="B686" s="461"/>
      <c r="C686" s="461"/>
      <c r="D686" s="461"/>
      <c r="E686" s="461"/>
      <c r="F686" s="461"/>
      <c r="G686" s="461"/>
      <c r="H686" s="461"/>
      <c r="I686" s="463"/>
      <c r="J686" s="463"/>
      <c r="K686" s="461"/>
      <c r="L686" s="461"/>
      <c r="M686" s="461"/>
      <c r="N686" s="461"/>
      <c r="O686" s="461"/>
      <c r="P686" s="461"/>
      <c r="Q686" s="461"/>
      <c r="R686" s="461"/>
      <c r="S686" s="461"/>
      <c r="T686" s="461"/>
      <c r="U686" s="461"/>
      <c r="V686" s="461"/>
      <c r="W686" s="461"/>
      <c r="X686" s="461"/>
      <c r="Y686" s="461"/>
    </row>
    <row r="687" spans="1:25" ht="20.25" x14ac:dyDescent="0.4">
      <c r="A687" s="461"/>
      <c r="B687" s="461"/>
      <c r="C687" s="461"/>
      <c r="D687" s="461"/>
      <c r="E687" s="461"/>
      <c r="F687" s="461"/>
      <c r="G687" s="461"/>
      <c r="H687" s="461"/>
      <c r="I687" s="463"/>
      <c r="J687" s="463"/>
      <c r="K687" s="461"/>
      <c r="L687" s="461"/>
      <c r="M687" s="461"/>
      <c r="N687" s="461"/>
      <c r="O687" s="461"/>
      <c r="P687" s="461"/>
      <c r="Q687" s="461"/>
      <c r="R687" s="461"/>
      <c r="S687" s="461"/>
      <c r="T687" s="461"/>
      <c r="U687" s="461"/>
      <c r="V687" s="461"/>
      <c r="W687" s="461"/>
      <c r="X687" s="461"/>
      <c r="Y687" s="461"/>
    </row>
    <row r="688" spans="1:25" ht="20.25" x14ac:dyDescent="0.4">
      <c r="A688" s="461"/>
      <c r="B688" s="461"/>
      <c r="C688" s="461"/>
      <c r="D688" s="461"/>
      <c r="E688" s="461"/>
      <c r="F688" s="461"/>
      <c r="G688" s="461"/>
      <c r="H688" s="461"/>
      <c r="I688" s="463"/>
      <c r="J688" s="463"/>
      <c r="K688" s="461"/>
      <c r="L688" s="461"/>
      <c r="M688" s="461"/>
      <c r="N688" s="461"/>
      <c r="O688" s="461"/>
      <c r="P688" s="461"/>
      <c r="Q688" s="461"/>
      <c r="R688" s="461"/>
      <c r="S688" s="461"/>
      <c r="T688" s="461"/>
      <c r="U688" s="461"/>
      <c r="V688" s="461"/>
      <c r="W688" s="461"/>
      <c r="X688" s="461"/>
      <c r="Y688" s="461"/>
    </row>
    <row r="689" spans="1:25" ht="20.25" x14ac:dyDescent="0.4">
      <c r="A689" s="461"/>
      <c r="B689" s="461"/>
      <c r="C689" s="461"/>
      <c r="D689" s="461"/>
      <c r="E689" s="461"/>
      <c r="F689" s="461"/>
      <c r="G689" s="461"/>
      <c r="H689" s="461"/>
      <c r="I689" s="463"/>
      <c r="J689" s="463"/>
      <c r="K689" s="461"/>
      <c r="L689" s="461"/>
      <c r="M689" s="461"/>
      <c r="N689" s="461"/>
      <c r="O689" s="461"/>
      <c r="P689" s="461"/>
      <c r="Q689" s="461"/>
      <c r="R689" s="461"/>
      <c r="S689" s="461"/>
      <c r="T689" s="461"/>
      <c r="U689" s="461"/>
      <c r="V689" s="461"/>
      <c r="W689" s="461"/>
      <c r="X689" s="461"/>
      <c r="Y689" s="461"/>
    </row>
    <row r="690" spans="1:25" ht="20.25" x14ac:dyDescent="0.4">
      <c r="A690" s="461"/>
      <c r="B690" s="461"/>
      <c r="C690" s="461"/>
      <c r="D690" s="461"/>
      <c r="E690" s="461"/>
      <c r="F690" s="461"/>
      <c r="G690" s="461"/>
      <c r="H690" s="461"/>
      <c r="I690" s="463"/>
      <c r="J690" s="463"/>
      <c r="K690" s="461"/>
      <c r="L690" s="461"/>
      <c r="M690" s="461"/>
      <c r="N690" s="461"/>
      <c r="O690" s="461"/>
      <c r="P690" s="461"/>
      <c r="Q690" s="461"/>
      <c r="R690" s="461"/>
      <c r="S690" s="461"/>
      <c r="T690" s="461"/>
      <c r="U690" s="461"/>
      <c r="V690" s="461"/>
      <c r="W690" s="461"/>
      <c r="X690" s="461"/>
      <c r="Y690" s="461"/>
    </row>
    <row r="691" spans="1:25" ht="20.25" x14ac:dyDescent="0.4">
      <c r="A691" s="461"/>
      <c r="B691" s="461"/>
      <c r="C691" s="461"/>
      <c r="D691" s="461"/>
      <c r="E691" s="461"/>
      <c r="F691" s="461"/>
      <c r="G691" s="461"/>
      <c r="H691" s="461"/>
      <c r="I691" s="463"/>
      <c r="J691" s="463"/>
      <c r="K691" s="461"/>
      <c r="L691" s="461"/>
      <c r="M691" s="461"/>
      <c r="N691" s="461"/>
      <c r="O691" s="461"/>
      <c r="P691" s="461"/>
      <c r="Q691" s="461"/>
      <c r="R691" s="461"/>
      <c r="S691" s="461"/>
      <c r="T691" s="461"/>
      <c r="U691" s="461"/>
      <c r="V691" s="461"/>
      <c r="W691" s="461"/>
      <c r="X691" s="461"/>
      <c r="Y691" s="461"/>
    </row>
    <row r="692" spans="1:25" ht="20.25" x14ac:dyDescent="0.4">
      <c r="A692" s="461"/>
      <c r="B692" s="461"/>
      <c r="C692" s="461"/>
      <c r="D692" s="461"/>
      <c r="E692" s="461"/>
      <c r="F692" s="461"/>
      <c r="G692" s="461"/>
      <c r="H692" s="461"/>
      <c r="I692" s="463"/>
      <c r="J692" s="463"/>
      <c r="K692" s="461"/>
      <c r="L692" s="461"/>
      <c r="M692" s="461"/>
      <c r="N692" s="461"/>
      <c r="O692" s="461"/>
      <c r="P692" s="461"/>
      <c r="Q692" s="461"/>
      <c r="R692" s="461"/>
      <c r="S692" s="461"/>
      <c r="T692" s="461"/>
      <c r="U692" s="461"/>
      <c r="V692" s="461"/>
      <c r="W692" s="461"/>
      <c r="X692" s="461"/>
      <c r="Y692" s="461"/>
    </row>
    <row r="693" spans="1:25" ht="20.25" x14ac:dyDescent="0.4">
      <c r="A693" s="461"/>
      <c r="B693" s="461"/>
      <c r="C693" s="461"/>
      <c r="D693" s="461"/>
      <c r="E693" s="461"/>
      <c r="F693" s="461"/>
      <c r="G693" s="461"/>
      <c r="H693" s="461"/>
      <c r="I693" s="463"/>
      <c r="J693" s="463"/>
      <c r="K693" s="461"/>
      <c r="L693" s="461"/>
      <c r="M693" s="461"/>
      <c r="N693" s="461"/>
      <c r="O693" s="461"/>
      <c r="P693" s="461"/>
      <c r="Q693" s="461"/>
      <c r="R693" s="461"/>
      <c r="S693" s="461"/>
      <c r="T693" s="461"/>
      <c r="U693" s="461"/>
      <c r="V693" s="461"/>
      <c r="W693" s="461"/>
      <c r="X693" s="461"/>
      <c r="Y693" s="461"/>
    </row>
    <row r="694" spans="1:25" ht="20.25" x14ac:dyDescent="0.4">
      <c r="A694" s="461"/>
      <c r="B694" s="461"/>
      <c r="C694" s="461"/>
      <c r="D694" s="461"/>
      <c r="E694" s="461"/>
      <c r="F694" s="461"/>
      <c r="G694" s="461"/>
      <c r="H694" s="461"/>
      <c r="I694" s="463"/>
      <c r="J694" s="463"/>
      <c r="K694" s="461"/>
      <c r="L694" s="461"/>
      <c r="M694" s="461"/>
      <c r="N694" s="461"/>
      <c r="O694" s="461"/>
      <c r="P694" s="461"/>
      <c r="Q694" s="461"/>
      <c r="R694" s="461"/>
      <c r="S694" s="461"/>
      <c r="T694" s="461"/>
      <c r="U694" s="461"/>
      <c r="V694" s="461"/>
      <c r="W694" s="461"/>
      <c r="X694" s="461"/>
      <c r="Y694" s="461"/>
    </row>
    <row r="695" spans="1:25" ht="20.25" x14ac:dyDescent="0.4">
      <c r="A695" s="461"/>
      <c r="B695" s="461"/>
      <c r="C695" s="461"/>
      <c r="D695" s="461"/>
      <c r="E695" s="461"/>
      <c r="F695" s="461"/>
      <c r="G695" s="461"/>
      <c r="H695" s="461"/>
      <c r="I695" s="463"/>
      <c r="J695" s="463"/>
      <c r="K695" s="461"/>
      <c r="L695" s="461"/>
      <c r="M695" s="461"/>
      <c r="N695" s="461"/>
      <c r="O695" s="461"/>
      <c r="P695" s="461"/>
      <c r="Q695" s="461"/>
      <c r="R695" s="461"/>
      <c r="S695" s="461"/>
      <c r="T695" s="461"/>
      <c r="U695" s="461"/>
      <c r="V695" s="461"/>
      <c r="W695" s="461"/>
      <c r="X695" s="461"/>
      <c r="Y695" s="461"/>
    </row>
    <row r="696" spans="1:25" ht="20.25" x14ac:dyDescent="0.4">
      <c r="A696" s="461"/>
      <c r="B696" s="461"/>
      <c r="C696" s="461"/>
      <c r="D696" s="461"/>
      <c r="E696" s="461"/>
      <c r="F696" s="461"/>
      <c r="G696" s="461"/>
      <c r="H696" s="461"/>
      <c r="I696" s="463"/>
      <c r="J696" s="463"/>
      <c r="K696" s="461"/>
      <c r="L696" s="461"/>
      <c r="M696" s="461"/>
      <c r="N696" s="461"/>
      <c r="O696" s="461"/>
      <c r="P696" s="461"/>
      <c r="Q696" s="461"/>
      <c r="R696" s="461"/>
      <c r="S696" s="461"/>
      <c r="T696" s="461"/>
      <c r="U696" s="461"/>
      <c r="V696" s="461"/>
      <c r="W696" s="461"/>
      <c r="X696" s="461"/>
      <c r="Y696" s="461"/>
    </row>
    <row r="697" spans="1:25" ht="20.25" x14ac:dyDescent="0.4">
      <c r="A697" s="461"/>
      <c r="B697" s="461"/>
      <c r="C697" s="461"/>
      <c r="D697" s="461"/>
      <c r="E697" s="461"/>
      <c r="F697" s="461"/>
      <c r="G697" s="461"/>
      <c r="H697" s="461"/>
      <c r="I697" s="463"/>
      <c r="J697" s="463"/>
      <c r="K697" s="461"/>
      <c r="L697" s="461"/>
      <c r="M697" s="461"/>
      <c r="N697" s="461"/>
      <c r="O697" s="461"/>
      <c r="P697" s="461"/>
      <c r="Q697" s="461"/>
      <c r="R697" s="461"/>
      <c r="S697" s="461"/>
      <c r="T697" s="461"/>
      <c r="U697" s="461"/>
      <c r="V697" s="461"/>
      <c r="W697" s="461"/>
      <c r="X697" s="461"/>
      <c r="Y697" s="461"/>
    </row>
    <row r="698" spans="1:25" ht="20.25" x14ac:dyDescent="0.4">
      <c r="A698" s="461"/>
      <c r="B698" s="461"/>
      <c r="C698" s="461"/>
      <c r="D698" s="461"/>
      <c r="E698" s="461"/>
      <c r="F698" s="461"/>
      <c r="G698" s="461"/>
      <c r="H698" s="461"/>
      <c r="I698" s="463"/>
      <c r="J698" s="463"/>
      <c r="K698" s="461"/>
      <c r="L698" s="461"/>
      <c r="M698" s="461"/>
      <c r="N698" s="461"/>
      <c r="O698" s="461"/>
      <c r="P698" s="461"/>
      <c r="Q698" s="461"/>
      <c r="R698" s="461"/>
      <c r="S698" s="461"/>
      <c r="T698" s="461"/>
      <c r="U698" s="461"/>
      <c r="V698" s="461"/>
      <c r="W698" s="461"/>
      <c r="X698" s="461"/>
      <c r="Y698" s="461"/>
    </row>
    <row r="699" spans="1:25" ht="20.25" x14ac:dyDescent="0.4">
      <c r="A699" s="461"/>
      <c r="B699" s="461"/>
      <c r="C699" s="461"/>
      <c r="D699" s="461"/>
      <c r="E699" s="461"/>
      <c r="F699" s="461"/>
      <c r="G699" s="461"/>
      <c r="H699" s="461"/>
      <c r="I699" s="463"/>
      <c r="J699" s="463"/>
      <c r="K699" s="461"/>
      <c r="L699" s="461"/>
      <c r="M699" s="461"/>
      <c r="N699" s="461"/>
      <c r="O699" s="461"/>
      <c r="P699" s="461"/>
      <c r="Q699" s="461"/>
      <c r="R699" s="461"/>
      <c r="S699" s="461"/>
      <c r="T699" s="461"/>
      <c r="U699" s="461"/>
      <c r="V699" s="461"/>
      <c r="W699" s="461"/>
      <c r="X699" s="461"/>
      <c r="Y699" s="461"/>
    </row>
    <row r="700" spans="1:25" ht="20.25" x14ac:dyDescent="0.4">
      <c r="A700" s="461"/>
      <c r="B700" s="461"/>
      <c r="C700" s="461"/>
      <c r="D700" s="461"/>
      <c r="E700" s="461"/>
      <c r="F700" s="461"/>
      <c r="G700" s="461"/>
      <c r="H700" s="461"/>
      <c r="I700" s="463"/>
      <c r="J700" s="463"/>
      <c r="K700" s="461"/>
      <c r="L700" s="461"/>
      <c r="M700" s="461"/>
      <c r="N700" s="461"/>
      <c r="O700" s="461"/>
      <c r="P700" s="461"/>
      <c r="Q700" s="461"/>
      <c r="R700" s="461"/>
      <c r="S700" s="461"/>
      <c r="T700" s="461"/>
      <c r="U700" s="461"/>
      <c r="V700" s="461"/>
      <c r="W700" s="461"/>
      <c r="X700" s="461"/>
      <c r="Y700" s="461"/>
    </row>
    <row r="701" spans="1:25" ht="20.25" x14ac:dyDescent="0.4">
      <c r="A701" s="461"/>
      <c r="B701" s="461"/>
      <c r="C701" s="461"/>
      <c r="D701" s="461"/>
      <c r="E701" s="461"/>
      <c r="F701" s="461"/>
      <c r="G701" s="461"/>
      <c r="H701" s="461"/>
      <c r="I701" s="463"/>
      <c r="J701" s="463"/>
      <c r="K701" s="461"/>
      <c r="L701" s="461"/>
      <c r="M701" s="461"/>
      <c r="N701" s="461"/>
      <c r="O701" s="461"/>
      <c r="P701" s="461"/>
      <c r="Q701" s="461"/>
      <c r="R701" s="461"/>
      <c r="S701" s="461"/>
      <c r="T701" s="461"/>
      <c r="U701" s="461"/>
      <c r="V701" s="461"/>
      <c r="W701" s="461"/>
      <c r="X701" s="461"/>
      <c r="Y701" s="461"/>
    </row>
    <row r="702" spans="1:25" ht="20.25" x14ac:dyDescent="0.4">
      <c r="A702" s="461"/>
      <c r="B702" s="461"/>
      <c r="C702" s="461"/>
      <c r="D702" s="461"/>
      <c r="E702" s="461"/>
      <c r="F702" s="461"/>
      <c r="G702" s="461"/>
      <c r="H702" s="461"/>
      <c r="I702" s="463"/>
      <c r="J702" s="463"/>
      <c r="K702" s="461"/>
      <c r="L702" s="461"/>
      <c r="M702" s="461"/>
      <c r="N702" s="461"/>
      <c r="O702" s="461"/>
      <c r="P702" s="461"/>
      <c r="Q702" s="461"/>
      <c r="R702" s="461"/>
      <c r="S702" s="461"/>
      <c r="T702" s="461"/>
      <c r="U702" s="461"/>
      <c r="V702" s="461"/>
      <c r="W702" s="461"/>
      <c r="X702" s="461"/>
      <c r="Y702" s="461"/>
    </row>
    <row r="703" spans="1:25" ht="20.25" x14ac:dyDescent="0.4">
      <c r="A703" s="461"/>
      <c r="B703" s="461"/>
      <c r="C703" s="461"/>
      <c r="D703" s="461"/>
      <c r="E703" s="461"/>
      <c r="F703" s="461"/>
      <c r="G703" s="461"/>
      <c r="H703" s="461"/>
      <c r="I703" s="463"/>
      <c r="J703" s="463"/>
      <c r="K703" s="461"/>
      <c r="L703" s="461"/>
      <c r="M703" s="461"/>
      <c r="N703" s="461"/>
      <c r="O703" s="461"/>
      <c r="P703" s="461"/>
      <c r="Q703" s="461"/>
      <c r="R703" s="461"/>
      <c r="S703" s="461"/>
      <c r="T703" s="461"/>
      <c r="U703" s="461"/>
      <c r="V703" s="461"/>
      <c r="W703" s="461"/>
      <c r="X703" s="461"/>
      <c r="Y703" s="461"/>
    </row>
    <row r="704" spans="1:25" ht="20.25" x14ac:dyDescent="0.4">
      <c r="A704" s="461"/>
      <c r="B704" s="461"/>
      <c r="C704" s="461"/>
      <c r="D704" s="461"/>
      <c r="E704" s="461"/>
      <c r="F704" s="461"/>
      <c r="G704" s="461"/>
      <c r="H704" s="461"/>
      <c r="I704" s="463"/>
      <c r="J704" s="463"/>
      <c r="K704" s="461"/>
      <c r="L704" s="461"/>
      <c r="M704" s="461"/>
      <c r="N704" s="461"/>
      <c r="O704" s="461"/>
      <c r="P704" s="461"/>
      <c r="Q704" s="461"/>
      <c r="R704" s="461"/>
      <c r="S704" s="461"/>
      <c r="T704" s="461"/>
      <c r="U704" s="461"/>
      <c r="V704" s="461"/>
      <c r="W704" s="461"/>
      <c r="X704" s="461"/>
      <c r="Y704" s="461"/>
    </row>
    <row r="705" spans="1:25" ht="20.25" x14ac:dyDescent="0.4">
      <c r="A705" s="461"/>
      <c r="B705" s="461"/>
      <c r="C705" s="461"/>
      <c r="D705" s="461"/>
      <c r="E705" s="461"/>
      <c r="F705" s="461"/>
      <c r="G705" s="461"/>
      <c r="H705" s="461"/>
      <c r="I705" s="463"/>
      <c r="J705" s="463"/>
      <c r="K705" s="461"/>
      <c r="L705" s="461"/>
      <c r="M705" s="461"/>
      <c r="N705" s="461"/>
      <c r="O705" s="461"/>
      <c r="P705" s="461"/>
      <c r="Q705" s="461"/>
      <c r="R705" s="461"/>
      <c r="S705" s="461"/>
      <c r="T705" s="461"/>
      <c r="U705" s="461"/>
      <c r="V705" s="461"/>
      <c r="W705" s="461"/>
      <c r="X705" s="461"/>
      <c r="Y705" s="461"/>
    </row>
    <row r="706" spans="1:25" ht="20.25" x14ac:dyDescent="0.4">
      <c r="A706" s="461"/>
      <c r="B706" s="461"/>
      <c r="C706" s="461"/>
      <c r="D706" s="461"/>
      <c r="E706" s="461"/>
      <c r="F706" s="461"/>
      <c r="G706" s="461"/>
      <c r="H706" s="461"/>
      <c r="I706" s="463"/>
      <c r="J706" s="463"/>
      <c r="K706" s="461"/>
      <c r="L706" s="461"/>
      <c r="M706" s="461"/>
      <c r="N706" s="461"/>
      <c r="O706" s="461"/>
      <c r="P706" s="461"/>
      <c r="Q706" s="461"/>
      <c r="R706" s="461"/>
      <c r="S706" s="461"/>
      <c r="T706" s="461"/>
      <c r="U706" s="461"/>
      <c r="V706" s="461"/>
      <c r="W706" s="461"/>
      <c r="X706" s="461"/>
      <c r="Y706" s="461"/>
    </row>
    <row r="707" spans="1:25" ht="20.25" x14ac:dyDescent="0.4">
      <c r="A707" s="461"/>
      <c r="B707" s="461"/>
      <c r="C707" s="461"/>
      <c r="D707" s="461"/>
      <c r="E707" s="461"/>
      <c r="F707" s="461"/>
      <c r="G707" s="461"/>
      <c r="H707" s="461"/>
      <c r="I707" s="463"/>
      <c r="J707" s="463"/>
      <c r="K707" s="461"/>
      <c r="L707" s="461"/>
      <c r="M707" s="461"/>
      <c r="N707" s="461"/>
      <c r="O707" s="461"/>
      <c r="P707" s="461"/>
      <c r="Q707" s="461"/>
      <c r="R707" s="461"/>
      <c r="S707" s="461"/>
      <c r="T707" s="461"/>
      <c r="U707" s="461"/>
      <c r="V707" s="461"/>
      <c r="W707" s="461"/>
      <c r="X707" s="461"/>
      <c r="Y707" s="461"/>
    </row>
    <row r="708" spans="1:25" ht="20.25" x14ac:dyDescent="0.4">
      <c r="A708" s="461"/>
      <c r="B708" s="461"/>
      <c r="C708" s="461"/>
      <c r="D708" s="461"/>
      <c r="E708" s="461"/>
      <c r="F708" s="461"/>
      <c r="G708" s="461"/>
      <c r="H708" s="461"/>
      <c r="I708" s="463"/>
      <c r="J708" s="463"/>
      <c r="K708" s="461"/>
      <c r="L708" s="461"/>
      <c r="M708" s="461"/>
      <c r="N708" s="461"/>
      <c r="O708" s="461"/>
      <c r="P708" s="461"/>
      <c r="Q708" s="461"/>
      <c r="R708" s="461"/>
      <c r="S708" s="461"/>
      <c r="T708" s="461"/>
      <c r="U708" s="461"/>
      <c r="V708" s="461"/>
      <c r="W708" s="461"/>
      <c r="X708" s="461"/>
      <c r="Y708" s="461"/>
    </row>
    <row r="709" spans="1:25" ht="20.25" x14ac:dyDescent="0.4">
      <c r="A709" s="461"/>
      <c r="B709" s="461"/>
      <c r="C709" s="461"/>
      <c r="D709" s="461"/>
      <c r="E709" s="461"/>
      <c r="F709" s="461"/>
      <c r="G709" s="461"/>
      <c r="H709" s="461"/>
      <c r="I709" s="463"/>
      <c r="J709" s="463"/>
      <c r="K709" s="461"/>
      <c r="L709" s="461"/>
      <c r="M709" s="461"/>
      <c r="N709" s="461"/>
      <c r="O709" s="461"/>
      <c r="P709" s="461"/>
      <c r="Q709" s="461"/>
      <c r="R709" s="461"/>
      <c r="S709" s="461"/>
      <c r="T709" s="461"/>
      <c r="U709" s="461"/>
      <c r="V709" s="461"/>
      <c r="W709" s="461"/>
      <c r="X709" s="461"/>
      <c r="Y709" s="461"/>
    </row>
    <row r="710" spans="1:25" ht="20.25" x14ac:dyDescent="0.4">
      <c r="A710" s="461"/>
      <c r="B710" s="461"/>
      <c r="C710" s="461"/>
      <c r="D710" s="461"/>
      <c r="E710" s="461"/>
      <c r="F710" s="461"/>
      <c r="G710" s="461"/>
      <c r="H710" s="461"/>
      <c r="I710" s="463"/>
      <c r="J710" s="463"/>
      <c r="K710" s="461"/>
      <c r="L710" s="461"/>
      <c r="M710" s="461"/>
      <c r="N710" s="461"/>
      <c r="O710" s="461"/>
      <c r="P710" s="461"/>
      <c r="Q710" s="461"/>
      <c r="R710" s="461"/>
      <c r="S710" s="461"/>
      <c r="T710" s="461"/>
      <c r="U710" s="461"/>
      <c r="V710" s="461"/>
      <c r="W710" s="461"/>
      <c r="X710" s="461"/>
      <c r="Y710" s="461"/>
    </row>
    <row r="711" spans="1:25" ht="20.25" x14ac:dyDescent="0.4">
      <c r="A711" s="461"/>
      <c r="B711" s="461"/>
      <c r="C711" s="461"/>
      <c r="D711" s="461"/>
      <c r="E711" s="461"/>
      <c r="F711" s="461"/>
      <c r="G711" s="461"/>
      <c r="H711" s="461"/>
      <c r="I711" s="463"/>
      <c r="J711" s="463"/>
      <c r="K711" s="461"/>
      <c r="L711" s="461"/>
      <c r="M711" s="461"/>
      <c r="N711" s="461"/>
      <c r="O711" s="461"/>
      <c r="P711" s="461"/>
      <c r="Q711" s="461"/>
      <c r="R711" s="461"/>
      <c r="S711" s="461"/>
      <c r="T711" s="461"/>
      <c r="U711" s="461"/>
      <c r="V711" s="461"/>
      <c r="W711" s="461"/>
      <c r="X711" s="461"/>
      <c r="Y711" s="461"/>
    </row>
    <row r="712" spans="1:25" ht="20.25" x14ac:dyDescent="0.4">
      <c r="A712" s="461"/>
      <c r="B712" s="461"/>
      <c r="C712" s="461"/>
      <c r="D712" s="461"/>
      <c r="E712" s="461"/>
      <c r="F712" s="461"/>
      <c r="G712" s="461"/>
      <c r="H712" s="461"/>
      <c r="I712" s="463"/>
      <c r="J712" s="463"/>
      <c r="K712" s="461"/>
      <c r="L712" s="461"/>
      <c r="M712" s="461"/>
      <c r="N712" s="461"/>
      <c r="O712" s="461"/>
      <c r="P712" s="461"/>
      <c r="Q712" s="461"/>
      <c r="R712" s="461"/>
      <c r="S712" s="461"/>
      <c r="T712" s="461"/>
      <c r="U712" s="461"/>
      <c r="V712" s="461"/>
      <c r="W712" s="461"/>
      <c r="X712" s="461"/>
      <c r="Y712" s="461"/>
    </row>
    <row r="713" spans="1:25" ht="20.25" x14ac:dyDescent="0.4">
      <c r="A713" s="461"/>
      <c r="B713" s="461"/>
      <c r="C713" s="461"/>
      <c r="D713" s="461"/>
      <c r="E713" s="461"/>
      <c r="F713" s="461"/>
      <c r="G713" s="461"/>
      <c r="H713" s="461"/>
      <c r="I713" s="463"/>
      <c r="J713" s="463"/>
      <c r="K713" s="461"/>
      <c r="L713" s="461"/>
      <c r="M713" s="461"/>
      <c r="N713" s="461"/>
      <c r="O713" s="461"/>
      <c r="P713" s="461"/>
      <c r="Q713" s="461"/>
      <c r="R713" s="461"/>
      <c r="S713" s="461"/>
      <c r="T713" s="461"/>
      <c r="U713" s="461"/>
      <c r="V713" s="461"/>
      <c r="W713" s="461"/>
      <c r="X713" s="461"/>
      <c r="Y713" s="461"/>
    </row>
    <row r="714" spans="1:25" ht="20.25" x14ac:dyDescent="0.4">
      <c r="A714" s="461"/>
      <c r="B714" s="461"/>
      <c r="C714" s="461"/>
      <c r="D714" s="461"/>
      <c r="E714" s="461"/>
      <c r="F714" s="461"/>
      <c r="G714" s="461"/>
      <c r="H714" s="461"/>
      <c r="I714" s="463"/>
      <c r="J714" s="463"/>
      <c r="K714" s="461"/>
      <c r="L714" s="461"/>
      <c r="M714" s="461"/>
      <c r="N714" s="461"/>
      <c r="O714" s="461"/>
      <c r="P714" s="461"/>
      <c r="Q714" s="461"/>
      <c r="R714" s="461"/>
      <c r="S714" s="461"/>
      <c r="T714" s="461"/>
      <c r="U714" s="461"/>
      <c r="V714" s="461"/>
      <c r="W714" s="461"/>
      <c r="X714" s="461"/>
      <c r="Y714" s="461"/>
    </row>
    <row r="715" spans="1:25" ht="20.25" x14ac:dyDescent="0.4">
      <c r="A715" s="461"/>
      <c r="B715" s="461"/>
      <c r="C715" s="461"/>
      <c r="D715" s="461"/>
      <c r="E715" s="461"/>
      <c r="F715" s="461"/>
      <c r="G715" s="461"/>
      <c r="H715" s="461"/>
      <c r="I715" s="463"/>
      <c r="J715" s="463"/>
      <c r="K715" s="461"/>
      <c r="L715" s="461"/>
      <c r="M715" s="461"/>
      <c r="N715" s="461"/>
      <c r="O715" s="461"/>
      <c r="P715" s="461"/>
      <c r="Q715" s="461"/>
      <c r="R715" s="461"/>
      <c r="S715" s="461"/>
      <c r="T715" s="461"/>
      <c r="U715" s="461"/>
      <c r="V715" s="461"/>
      <c r="W715" s="461"/>
      <c r="X715" s="461"/>
      <c r="Y715" s="461"/>
    </row>
    <row r="716" spans="1:25" ht="20.25" x14ac:dyDescent="0.4">
      <c r="A716" s="461"/>
      <c r="B716" s="461"/>
      <c r="C716" s="461"/>
      <c r="D716" s="461"/>
      <c r="E716" s="461"/>
      <c r="F716" s="461"/>
      <c r="G716" s="461"/>
      <c r="H716" s="461"/>
      <c r="I716" s="463"/>
      <c r="J716" s="463"/>
      <c r="K716" s="461"/>
      <c r="L716" s="461"/>
      <c r="M716" s="461"/>
      <c r="N716" s="461"/>
      <c r="O716" s="461"/>
      <c r="P716" s="461"/>
      <c r="Q716" s="461"/>
      <c r="R716" s="461"/>
      <c r="S716" s="461"/>
      <c r="T716" s="461"/>
      <c r="U716" s="461"/>
      <c r="V716" s="461"/>
      <c r="W716" s="461"/>
      <c r="X716" s="461"/>
      <c r="Y716" s="461"/>
    </row>
    <row r="717" spans="1:25" ht="20.25" x14ac:dyDescent="0.4">
      <c r="A717" s="461"/>
      <c r="B717" s="461"/>
      <c r="C717" s="461"/>
      <c r="D717" s="461"/>
      <c r="E717" s="461"/>
      <c r="F717" s="461"/>
      <c r="G717" s="461"/>
      <c r="H717" s="461"/>
      <c r="I717" s="463"/>
      <c r="J717" s="463"/>
      <c r="K717" s="461"/>
      <c r="L717" s="461"/>
      <c r="M717" s="461"/>
      <c r="N717" s="461"/>
      <c r="O717" s="461"/>
      <c r="P717" s="461"/>
      <c r="Q717" s="461"/>
      <c r="R717" s="461"/>
      <c r="S717" s="461"/>
      <c r="T717" s="461"/>
      <c r="U717" s="461"/>
      <c r="V717" s="461"/>
      <c r="W717" s="461"/>
      <c r="X717" s="461"/>
      <c r="Y717" s="461"/>
    </row>
    <row r="718" spans="1:25" ht="20.25" x14ac:dyDescent="0.4">
      <c r="A718" s="461"/>
      <c r="B718" s="461"/>
      <c r="C718" s="461"/>
      <c r="D718" s="461"/>
      <c r="E718" s="461"/>
      <c r="F718" s="461"/>
      <c r="G718" s="461"/>
      <c r="H718" s="461"/>
      <c r="I718" s="463"/>
      <c r="J718" s="463"/>
      <c r="K718" s="461"/>
      <c r="L718" s="461"/>
      <c r="M718" s="461"/>
      <c r="N718" s="461"/>
      <c r="O718" s="461"/>
      <c r="P718" s="461"/>
      <c r="Q718" s="461"/>
      <c r="R718" s="461"/>
      <c r="S718" s="461"/>
      <c r="T718" s="461"/>
      <c r="U718" s="461"/>
      <c r="V718" s="461"/>
      <c r="W718" s="461"/>
      <c r="X718" s="461"/>
      <c r="Y718" s="461"/>
    </row>
    <row r="719" spans="1:25" ht="20.25" x14ac:dyDescent="0.4">
      <c r="A719" s="461"/>
      <c r="B719" s="461"/>
      <c r="C719" s="461"/>
      <c r="D719" s="461"/>
      <c r="E719" s="461"/>
      <c r="F719" s="461"/>
      <c r="G719" s="461"/>
      <c r="H719" s="461"/>
      <c r="I719" s="463"/>
      <c r="J719" s="463"/>
      <c r="K719" s="461"/>
      <c r="L719" s="461"/>
      <c r="M719" s="461"/>
      <c r="N719" s="461"/>
      <c r="O719" s="461"/>
      <c r="P719" s="461"/>
      <c r="Q719" s="461"/>
      <c r="R719" s="461"/>
      <c r="S719" s="461"/>
      <c r="T719" s="461"/>
      <c r="U719" s="461"/>
      <c r="V719" s="461"/>
      <c r="W719" s="461"/>
      <c r="X719" s="461"/>
      <c r="Y719" s="461"/>
    </row>
    <row r="720" spans="1:25" ht="20.25" x14ac:dyDescent="0.4">
      <c r="A720" s="461"/>
      <c r="B720" s="461"/>
      <c r="C720" s="461"/>
      <c r="D720" s="461"/>
      <c r="E720" s="461"/>
      <c r="F720" s="461"/>
      <c r="G720" s="461"/>
      <c r="H720" s="461"/>
      <c r="I720" s="463"/>
      <c r="J720" s="463"/>
      <c r="K720" s="461"/>
      <c r="L720" s="461"/>
      <c r="M720" s="461"/>
      <c r="N720" s="461"/>
      <c r="O720" s="461"/>
      <c r="P720" s="461"/>
      <c r="Q720" s="461"/>
      <c r="R720" s="461"/>
      <c r="S720" s="461"/>
      <c r="T720" s="461"/>
      <c r="U720" s="461"/>
      <c r="V720" s="461"/>
      <c r="W720" s="461"/>
      <c r="X720" s="461"/>
      <c r="Y720" s="461"/>
    </row>
    <row r="721" spans="1:25" ht="20.25" x14ac:dyDescent="0.4">
      <c r="A721" s="461"/>
      <c r="B721" s="461"/>
      <c r="C721" s="461"/>
      <c r="D721" s="461"/>
      <c r="E721" s="461"/>
      <c r="F721" s="461"/>
      <c r="G721" s="461"/>
      <c r="H721" s="461"/>
      <c r="I721" s="463"/>
      <c r="J721" s="463"/>
      <c r="K721" s="461"/>
      <c r="L721" s="461"/>
      <c r="M721" s="461"/>
      <c r="N721" s="461"/>
      <c r="O721" s="461"/>
      <c r="P721" s="461"/>
      <c r="Q721" s="461"/>
      <c r="R721" s="461"/>
      <c r="S721" s="461"/>
      <c r="T721" s="461"/>
      <c r="U721" s="461"/>
      <c r="V721" s="461"/>
      <c r="W721" s="461"/>
      <c r="X721" s="461"/>
      <c r="Y721" s="461"/>
    </row>
    <row r="722" spans="1:25" ht="20.25" x14ac:dyDescent="0.4">
      <c r="A722" s="461"/>
      <c r="B722" s="461"/>
      <c r="C722" s="461"/>
      <c r="D722" s="461"/>
      <c r="E722" s="461"/>
      <c r="F722" s="461"/>
      <c r="G722" s="461"/>
      <c r="H722" s="461"/>
      <c r="I722" s="463"/>
      <c r="J722" s="463"/>
      <c r="K722" s="461"/>
      <c r="L722" s="461"/>
      <c r="M722" s="461"/>
      <c r="N722" s="461"/>
      <c r="O722" s="461"/>
      <c r="P722" s="461"/>
      <c r="Q722" s="461"/>
      <c r="R722" s="461"/>
      <c r="S722" s="461"/>
      <c r="T722" s="461"/>
      <c r="U722" s="461"/>
      <c r="V722" s="461"/>
      <c r="W722" s="461"/>
      <c r="X722" s="461"/>
      <c r="Y722" s="461"/>
    </row>
    <row r="723" spans="1:25" ht="20.25" x14ac:dyDescent="0.4">
      <c r="A723" s="461"/>
      <c r="B723" s="461"/>
      <c r="C723" s="461"/>
      <c r="D723" s="461"/>
      <c r="E723" s="461"/>
      <c r="F723" s="461"/>
      <c r="G723" s="461"/>
      <c r="H723" s="461"/>
      <c r="I723" s="463"/>
      <c r="J723" s="463"/>
      <c r="K723" s="461"/>
      <c r="L723" s="461"/>
      <c r="M723" s="461"/>
      <c r="N723" s="461"/>
      <c r="O723" s="461"/>
      <c r="P723" s="461"/>
      <c r="Q723" s="461"/>
      <c r="R723" s="461"/>
      <c r="S723" s="461"/>
      <c r="T723" s="461"/>
      <c r="U723" s="461"/>
      <c r="V723" s="461"/>
      <c r="W723" s="461"/>
      <c r="X723" s="461"/>
      <c r="Y723" s="461"/>
    </row>
    <row r="724" spans="1:25" ht="20.25" x14ac:dyDescent="0.4">
      <c r="A724" s="461"/>
      <c r="B724" s="461"/>
      <c r="C724" s="461"/>
      <c r="D724" s="461"/>
      <c r="E724" s="461"/>
      <c r="F724" s="461"/>
      <c r="G724" s="461"/>
      <c r="H724" s="461"/>
      <c r="I724" s="463"/>
      <c r="J724" s="463"/>
      <c r="K724" s="461"/>
      <c r="L724" s="461"/>
      <c r="M724" s="461"/>
      <c r="N724" s="461"/>
      <c r="O724" s="461"/>
      <c r="P724" s="461"/>
      <c r="Q724" s="461"/>
      <c r="R724" s="461"/>
      <c r="S724" s="461"/>
      <c r="T724" s="461"/>
      <c r="U724" s="461"/>
      <c r="V724" s="461"/>
      <c r="W724" s="461"/>
      <c r="X724" s="461"/>
      <c r="Y724" s="461"/>
    </row>
    <row r="725" spans="1:25" ht="20.25" x14ac:dyDescent="0.4">
      <c r="A725" s="461"/>
      <c r="B725" s="461"/>
      <c r="C725" s="461"/>
      <c r="D725" s="461"/>
      <c r="E725" s="461"/>
      <c r="F725" s="461"/>
      <c r="G725" s="461"/>
      <c r="H725" s="461"/>
      <c r="I725" s="463"/>
      <c r="J725" s="463"/>
      <c r="K725" s="461"/>
      <c r="L725" s="461"/>
      <c r="M725" s="461"/>
      <c r="N725" s="461"/>
      <c r="O725" s="461"/>
      <c r="P725" s="461"/>
      <c r="Q725" s="461"/>
      <c r="R725" s="461"/>
      <c r="S725" s="461"/>
      <c r="T725" s="461"/>
      <c r="U725" s="461"/>
      <c r="V725" s="461"/>
      <c r="W725" s="461"/>
      <c r="X725" s="461"/>
      <c r="Y725" s="461"/>
    </row>
    <row r="726" spans="1:25" ht="20.25" x14ac:dyDescent="0.4">
      <c r="A726" s="461"/>
      <c r="B726" s="461"/>
      <c r="C726" s="461"/>
      <c r="D726" s="461"/>
      <c r="E726" s="461"/>
      <c r="F726" s="461"/>
      <c r="G726" s="461"/>
      <c r="H726" s="461"/>
      <c r="I726" s="463"/>
      <c r="J726" s="463"/>
      <c r="K726" s="461"/>
      <c r="L726" s="461"/>
      <c r="M726" s="461"/>
      <c r="N726" s="461"/>
      <c r="O726" s="461"/>
      <c r="P726" s="461"/>
      <c r="Q726" s="461"/>
      <c r="R726" s="461"/>
      <c r="S726" s="461"/>
      <c r="T726" s="461"/>
      <c r="U726" s="461"/>
      <c r="V726" s="461"/>
      <c r="W726" s="461"/>
      <c r="X726" s="461"/>
      <c r="Y726" s="461"/>
    </row>
    <row r="727" spans="1:25" ht="20.25" x14ac:dyDescent="0.4">
      <c r="A727" s="461"/>
      <c r="B727" s="461"/>
      <c r="C727" s="461"/>
      <c r="D727" s="461"/>
      <c r="E727" s="461"/>
      <c r="F727" s="461"/>
      <c r="G727" s="461"/>
      <c r="H727" s="461"/>
      <c r="I727" s="463"/>
      <c r="J727" s="463"/>
      <c r="K727" s="461"/>
      <c r="L727" s="461"/>
      <c r="M727" s="461"/>
      <c r="N727" s="461"/>
      <c r="O727" s="461"/>
      <c r="P727" s="461"/>
      <c r="Q727" s="461"/>
      <c r="R727" s="461"/>
      <c r="S727" s="461"/>
      <c r="T727" s="461"/>
      <c r="U727" s="461"/>
      <c r="V727" s="461"/>
      <c r="W727" s="461"/>
      <c r="X727" s="461"/>
      <c r="Y727" s="461"/>
    </row>
    <row r="728" spans="1:25" ht="20.25" x14ac:dyDescent="0.4">
      <c r="A728" s="461"/>
      <c r="B728" s="461"/>
      <c r="C728" s="461"/>
      <c r="D728" s="461"/>
      <c r="E728" s="461"/>
      <c r="F728" s="461"/>
      <c r="G728" s="461"/>
      <c r="H728" s="461"/>
      <c r="I728" s="463"/>
      <c r="J728" s="463"/>
      <c r="K728" s="461"/>
      <c r="L728" s="461"/>
      <c r="M728" s="461"/>
      <c r="N728" s="461"/>
      <c r="O728" s="461"/>
      <c r="P728" s="461"/>
      <c r="Q728" s="461"/>
      <c r="R728" s="461"/>
      <c r="S728" s="461"/>
      <c r="T728" s="461"/>
      <c r="U728" s="461"/>
      <c r="V728" s="461"/>
      <c r="W728" s="461"/>
      <c r="X728" s="461"/>
      <c r="Y728" s="461"/>
    </row>
    <row r="729" spans="1:25" ht="20.25" x14ac:dyDescent="0.4">
      <c r="A729" s="461"/>
      <c r="B729" s="461"/>
      <c r="C729" s="461"/>
      <c r="D729" s="461"/>
      <c r="E729" s="461"/>
      <c r="F729" s="461"/>
      <c r="G729" s="461"/>
      <c r="H729" s="461"/>
      <c r="I729" s="463"/>
      <c r="J729" s="463"/>
      <c r="K729" s="461"/>
      <c r="L729" s="461"/>
      <c r="M729" s="461"/>
      <c r="N729" s="461"/>
      <c r="O729" s="461"/>
      <c r="P729" s="461"/>
      <c r="Q729" s="461"/>
      <c r="R729" s="461"/>
      <c r="S729" s="461"/>
      <c r="T729" s="461"/>
      <c r="U729" s="461"/>
      <c r="V729" s="461"/>
      <c r="W729" s="461"/>
      <c r="X729" s="461"/>
      <c r="Y729" s="461"/>
    </row>
    <row r="730" spans="1:25" ht="20.25" x14ac:dyDescent="0.4">
      <c r="A730" s="461"/>
      <c r="B730" s="461"/>
      <c r="C730" s="461"/>
      <c r="D730" s="461"/>
      <c r="E730" s="461"/>
      <c r="F730" s="461"/>
      <c r="G730" s="461"/>
      <c r="H730" s="461"/>
      <c r="I730" s="463"/>
      <c r="J730" s="463"/>
      <c r="K730" s="461"/>
      <c r="L730" s="461"/>
      <c r="M730" s="461"/>
      <c r="N730" s="461"/>
      <c r="O730" s="461"/>
      <c r="P730" s="461"/>
      <c r="Q730" s="461"/>
      <c r="R730" s="461"/>
      <c r="S730" s="461"/>
      <c r="T730" s="461"/>
      <c r="U730" s="461"/>
      <c r="V730" s="461"/>
      <c r="W730" s="461"/>
      <c r="X730" s="461"/>
      <c r="Y730" s="461"/>
    </row>
    <row r="731" spans="1:25" ht="20.25" x14ac:dyDescent="0.4">
      <c r="A731" s="461"/>
      <c r="B731" s="461"/>
      <c r="C731" s="461"/>
      <c r="D731" s="461"/>
      <c r="E731" s="461"/>
      <c r="F731" s="461"/>
      <c r="G731" s="461"/>
      <c r="H731" s="461"/>
      <c r="I731" s="463"/>
      <c r="J731" s="463"/>
      <c r="K731" s="461"/>
      <c r="L731" s="461"/>
      <c r="M731" s="461"/>
      <c r="N731" s="461"/>
      <c r="O731" s="461"/>
      <c r="P731" s="461"/>
      <c r="Q731" s="461"/>
      <c r="R731" s="461"/>
      <c r="S731" s="461"/>
      <c r="T731" s="461"/>
      <c r="U731" s="461"/>
      <c r="V731" s="461"/>
      <c r="W731" s="461"/>
      <c r="X731" s="461"/>
      <c r="Y731" s="461"/>
    </row>
    <row r="732" spans="1:25" ht="20.25" x14ac:dyDescent="0.4">
      <c r="A732" s="461"/>
      <c r="B732" s="461"/>
      <c r="C732" s="461"/>
      <c r="D732" s="461"/>
      <c r="E732" s="461"/>
      <c r="F732" s="461"/>
      <c r="G732" s="461"/>
      <c r="H732" s="461"/>
      <c r="I732" s="463"/>
      <c r="J732" s="463"/>
      <c r="K732" s="461"/>
      <c r="L732" s="461"/>
      <c r="M732" s="461"/>
      <c r="N732" s="461"/>
      <c r="O732" s="461"/>
      <c r="P732" s="461"/>
      <c r="Q732" s="461"/>
      <c r="R732" s="461"/>
      <c r="S732" s="461"/>
      <c r="T732" s="461"/>
      <c r="U732" s="461"/>
      <c r="V732" s="461"/>
      <c r="W732" s="461"/>
      <c r="X732" s="461"/>
      <c r="Y732" s="461"/>
    </row>
    <row r="733" spans="1:25" ht="20.25" x14ac:dyDescent="0.4">
      <c r="A733" s="461"/>
      <c r="B733" s="461"/>
      <c r="C733" s="461"/>
      <c r="D733" s="461"/>
      <c r="E733" s="461"/>
      <c r="F733" s="461"/>
      <c r="G733" s="461"/>
      <c r="H733" s="461"/>
      <c r="I733" s="463"/>
      <c r="J733" s="463"/>
      <c r="K733" s="461"/>
      <c r="L733" s="461"/>
      <c r="M733" s="461"/>
      <c r="N733" s="461"/>
      <c r="O733" s="461"/>
      <c r="P733" s="461"/>
      <c r="Q733" s="461"/>
      <c r="R733" s="461"/>
      <c r="S733" s="461"/>
      <c r="T733" s="461"/>
      <c r="U733" s="461"/>
      <c r="V733" s="461"/>
      <c r="W733" s="461"/>
      <c r="X733" s="461"/>
      <c r="Y733" s="461"/>
    </row>
    <row r="734" spans="1:25" ht="20.25" x14ac:dyDescent="0.4">
      <c r="A734" s="461"/>
      <c r="B734" s="461"/>
      <c r="C734" s="461"/>
      <c r="D734" s="461"/>
      <c r="E734" s="461"/>
      <c r="F734" s="461"/>
      <c r="G734" s="461"/>
      <c r="H734" s="461"/>
      <c r="I734" s="463"/>
      <c r="J734" s="463"/>
      <c r="K734" s="461"/>
      <c r="L734" s="461"/>
      <c r="M734" s="461"/>
      <c r="N734" s="461"/>
      <c r="O734" s="461"/>
      <c r="P734" s="461"/>
      <c r="Q734" s="461"/>
      <c r="R734" s="461"/>
      <c r="S734" s="461"/>
      <c r="T734" s="461"/>
      <c r="U734" s="461"/>
      <c r="V734" s="461"/>
      <c r="W734" s="461"/>
      <c r="X734" s="461"/>
      <c r="Y734" s="461"/>
    </row>
    <row r="735" spans="1:25" ht="20.25" x14ac:dyDescent="0.4">
      <c r="A735" s="461"/>
      <c r="B735" s="461"/>
      <c r="C735" s="461"/>
      <c r="D735" s="461"/>
      <c r="E735" s="461"/>
      <c r="F735" s="461"/>
      <c r="G735" s="461"/>
      <c r="H735" s="461"/>
      <c r="I735" s="463"/>
      <c r="J735" s="463"/>
      <c r="K735" s="461"/>
      <c r="L735" s="461"/>
      <c r="M735" s="461"/>
      <c r="N735" s="461"/>
      <c r="O735" s="461"/>
      <c r="P735" s="461"/>
      <c r="Q735" s="461"/>
      <c r="R735" s="461"/>
      <c r="S735" s="461"/>
      <c r="T735" s="461"/>
      <c r="U735" s="461"/>
      <c r="V735" s="461"/>
      <c r="W735" s="461"/>
      <c r="X735" s="461"/>
      <c r="Y735" s="461"/>
    </row>
    <row r="736" spans="1:25" ht="20.25" x14ac:dyDescent="0.4">
      <c r="A736" s="461"/>
      <c r="B736" s="461"/>
      <c r="C736" s="461"/>
      <c r="D736" s="461"/>
      <c r="E736" s="461"/>
      <c r="F736" s="461"/>
      <c r="G736" s="461"/>
      <c r="H736" s="461"/>
      <c r="I736" s="463"/>
      <c r="J736" s="463"/>
      <c r="K736" s="461"/>
      <c r="L736" s="461"/>
      <c r="M736" s="461"/>
      <c r="N736" s="461"/>
      <c r="O736" s="461"/>
      <c r="P736" s="461"/>
      <c r="Q736" s="461"/>
      <c r="R736" s="461"/>
      <c r="S736" s="461"/>
      <c r="T736" s="461"/>
      <c r="U736" s="461"/>
      <c r="V736" s="461"/>
      <c r="W736" s="461"/>
      <c r="X736" s="461"/>
      <c r="Y736" s="461"/>
    </row>
    <row r="737" spans="1:25" ht="20.25" x14ac:dyDescent="0.4">
      <c r="A737" s="461"/>
      <c r="B737" s="461"/>
      <c r="C737" s="461"/>
      <c r="D737" s="461"/>
      <c r="E737" s="461"/>
      <c r="F737" s="461"/>
      <c r="G737" s="461"/>
      <c r="H737" s="461"/>
      <c r="I737" s="463"/>
      <c r="J737" s="463"/>
      <c r="K737" s="461"/>
      <c r="L737" s="461"/>
      <c r="M737" s="461"/>
      <c r="N737" s="461"/>
      <c r="O737" s="461"/>
      <c r="P737" s="461"/>
      <c r="Q737" s="461"/>
      <c r="R737" s="461"/>
      <c r="S737" s="461"/>
      <c r="T737" s="461"/>
      <c r="U737" s="461"/>
      <c r="V737" s="461"/>
      <c r="W737" s="461"/>
      <c r="X737" s="461"/>
      <c r="Y737" s="461"/>
    </row>
    <row r="738" spans="1:25" ht="20.25" x14ac:dyDescent="0.4">
      <c r="A738" s="461"/>
      <c r="B738" s="461"/>
      <c r="C738" s="461"/>
      <c r="D738" s="461"/>
      <c r="E738" s="461"/>
      <c r="F738" s="461"/>
      <c r="G738" s="461"/>
      <c r="H738" s="461"/>
      <c r="I738" s="463"/>
      <c r="J738" s="463"/>
      <c r="K738" s="461"/>
      <c r="L738" s="461"/>
      <c r="M738" s="461"/>
      <c r="N738" s="461"/>
      <c r="O738" s="461"/>
      <c r="P738" s="461"/>
      <c r="Q738" s="461"/>
      <c r="R738" s="461"/>
      <c r="S738" s="461"/>
      <c r="T738" s="461"/>
      <c r="U738" s="461"/>
      <c r="V738" s="461"/>
      <c r="W738" s="461"/>
      <c r="X738" s="461"/>
      <c r="Y738" s="461"/>
    </row>
    <row r="739" spans="1:25" ht="20.25" x14ac:dyDescent="0.4">
      <c r="A739" s="461"/>
      <c r="B739" s="461"/>
      <c r="C739" s="461"/>
      <c r="D739" s="461"/>
      <c r="E739" s="461"/>
      <c r="F739" s="461"/>
      <c r="G739" s="461"/>
      <c r="H739" s="461"/>
      <c r="I739" s="463"/>
      <c r="J739" s="463"/>
      <c r="K739" s="461"/>
      <c r="L739" s="461"/>
      <c r="M739" s="461"/>
      <c r="N739" s="461"/>
      <c r="O739" s="461"/>
      <c r="P739" s="461"/>
      <c r="Q739" s="461"/>
      <c r="R739" s="461"/>
      <c r="S739" s="461"/>
      <c r="T739" s="461"/>
      <c r="U739" s="461"/>
      <c r="V739" s="461"/>
      <c r="W739" s="461"/>
      <c r="X739" s="461"/>
      <c r="Y739" s="461"/>
    </row>
    <row r="740" spans="1:25" ht="20.25" x14ac:dyDescent="0.4">
      <c r="A740" s="461"/>
      <c r="B740" s="461"/>
      <c r="C740" s="461"/>
      <c r="D740" s="461"/>
      <c r="E740" s="461"/>
      <c r="F740" s="461"/>
      <c r="G740" s="461"/>
      <c r="H740" s="461"/>
      <c r="I740" s="463"/>
      <c r="J740" s="463"/>
      <c r="K740" s="461"/>
      <c r="L740" s="461"/>
      <c r="M740" s="461"/>
      <c r="N740" s="461"/>
      <c r="O740" s="461"/>
      <c r="P740" s="461"/>
      <c r="Q740" s="461"/>
      <c r="R740" s="461"/>
      <c r="S740" s="461"/>
      <c r="T740" s="461"/>
      <c r="U740" s="461"/>
      <c r="V740" s="461"/>
      <c r="W740" s="461"/>
      <c r="X740" s="461"/>
      <c r="Y740" s="461"/>
    </row>
    <row r="741" spans="1:25" ht="20.25" x14ac:dyDescent="0.4">
      <c r="A741" s="461"/>
      <c r="B741" s="461"/>
      <c r="C741" s="461"/>
      <c r="D741" s="461"/>
      <c r="E741" s="461"/>
      <c r="F741" s="461"/>
      <c r="G741" s="461"/>
      <c r="H741" s="461"/>
      <c r="I741" s="463"/>
      <c r="J741" s="463"/>
      <c r="K741" s="461"/>
      <c r="L741" s="461"/>
      <c r="M741" s="461"/>
      <c r="N741" s="461"/>
      <c r="O741" s="461"/>
      <c r="P741" s="461"/>
      <c r="Q741" s="461"/>
      <c r="R741" s="461"/>
      <c r="S741" s="461"/>
      <c r="T741" s="461"/>
      <c r="U741" s="461"/>
      <c r="V741" s="461"/>
      <c r="W741" s="461"/>
      <c r="X741" s="461"/>
      <c r="Y741" s="461"/>
    </row>
    <row r="742" spans="1:25" ht="20.25" x14ac:dyDescent="0.4">
      <c r="A742" s="461"/>
      <c r="B742" s="461"/>
      <c r="C742" s="461"/>
      <c r="D742" s="461"/>
      <c r="E742" s="461"/>
      <c r="F742" s="461"/>
      <c r="G742" s="461"/>
      <c r="H742" s="461"/>
      <c r="I742" s="463"/>
      <c r="J742" s="463"/>
      <c r="K742" s="461"/>
      <c r="L742" s="461"/>
      <c r="M742" s="461"/>
      <c r="N742" s="461"/>
      <c r="O742" s="461"/>
      <c r="P742" s="461"/>
      <c r="Q742" s="461"/>
      <c r="R742" s="461"/>
      <c r="S742" s="461"/>
      <c r="T742" s="461"/>
      <c r="U742" s="461"/>
      <c r="V742" s="461"/>
      <c r="W742" s="461"/>
      <c r="X742" s="461"/>
      <c r="Y742" s="461"/>
    </row>
    <row r="743" spans="1:25" ht="20.25" x14ac:dyDescent="0.4">
      <c r="A743" s="461"/>
      <c r="B743" s="461"/>
      <c r="C743" s="461"/>
      <c r="D743" s="461"/>
      <c r="E743" s="461"/>
      <c r="F743" s="461"/>
      <c r="G743" s="461"/>
      <c r="H743" s="461"/>
      <c r="I743" s="463"/>
      <c r="J743" s="463"/>
      <c r="K743" s="461"/>
      <c r="L743" s="461"/>
      <c r="M743" s="461"/>
      <c r="N743" s="461"/>
      <c r="O743" s="461"/>
      <c r="P743" s="461"/>
      <c r="Q743" s="461"/>
      <c r="R743" s="461"/>
      <c r="S743" s="461"/>
      <c r="T743" s="461"/>
      <c r="U743" s="461"/>
      <c r="V743" s="461"/>
      <c r="W743" s="461"/>
      <c r="X743" s="461"/>
      <c r="Y743" s="461"/>
    </row>
    <row r="744" spans="1:25" ht="20.25" x14ac:dyDescent="0.4">
      <c r="A744" s="461"/>
      <c r="B744" s="461"/>
      <c r="C744" s="461"/>
      <c r="D744" s="461"/>
      <c r="E744" s="461"/>
      <c r="F744" s="461"/>
      <c r="G744" s="461"/>
      <c r="H744" s="461"/>
      <c r="I744" s="463"/>
      <c r="J744" s="463"/>
      <c r="K744" s="461"/>
      <c r="L744" s="461"/>
      <c r="M744" s="461"/>
      <c r="N744" s="461"/>
      <c r="O744" s="461"/>
      <c r="P744" s="461"/>
      <c r="Q744" s="461"/>
      <c r="R744" s="461"/>
      <c r="S744" s="461"/>
      <c r="T744" s="461"/>
      <c r="U744" s="461"/>
      <c r="V744" s="461"/>
      <c r="W744" s="461"/>
      <c r="X744" s="461"/>
      <c r="Y744" s="461"/>
    </row>
    <row r="745" spans="1:25" ht="20.25" x14ac:dyDescent="0.4">
      <c r="A745" s="461"/>
      <c r="B745" s="461"/>
      <c r="C745" s="461"/>
      <c r="D745" s="461"/>
      <c r="E745" s="461"/>
      <c r="F745" s="461"/>
      <c r="G745" s="461"/>
      <c r="H745" s="461"/>
      <c r="I745" s="463"/>
      <c r="J745" s="463"/>
      <c r="K745" s="461"/>
      <c r="L745" s="461"/>
      <c r="M745" s="461"/>
      <c r="N745" s="461"/>
      <c r="O745" s="461"/>
      <c r="P745" s="461"/>
      <c r="Q745" s="461"/>
      <c r="R745" s="461"/>
      <c r="S745" s="461"/>
      <c r="T745" s="461"/>
      <c r="U745" s="461"/>
      <c r="V745" s="461"/>
      <c r="W745" s="461"/>
      <c r="X745" s="461"/>
      <c r="Y745" s="461"/>
    </row>
    <row r="746" spans="1:25" ht="20.25" x14ac:dyDescent="0.4">
      <c r="A746" s="461"/>
      <c r="B746" s="461"/>
      <c r="C746" s="461"/>
      <c r="D746" s="461"/>
      <c r="E746" s="461"/>
      <c r="F746" s="461"/>
      <c r="G746" s="461"/>
      <c r="H746" s="461"/>
      <c r="I746" s="463"/>
      <c r="J746" s="463"/>
      <c r="K746" s="461"/>
      <c r="L746" s="461"/>
      <c r="M746" s="461"/>
      <c r="N746" s="461"/>
      <c r="O746" s="461"/>
      <c r="P746" s="461"/>
      <c r="Q746" s="461"/>
      <c r="R746" s="461"/>
      <c r="S746" s="461"/>
      <c r="T746" s="461"/>
      <c r="U746" s="461"/>
      <c r="V746" s="461"/>
      <c r="W746" s="461"/>
      <c r="X746" s="461"/>
      <c r="Y746" s="461"/>
    </row>
    <row r="747" spans="1:25" ht="20.25" x14ac:dyDescent="0.4">
      <c r="A747" s="461"/>
      <c r="B747" s="461"/>
      <c r="C747" s="461"/>
      <c r="D747" s="461"/>
      <c r="E747" s="461"/>
      <c r="F747" s="461"/>
      <c r="G747" s="461"/>
      <c r="H747" s="461"/>
      <c r="I747" s="463"/>
      <c r="J747" s="463"/>
      <c r="K747" s="461"/>
      <c r="L747" s="461"/>
      <c r="M747" s="461"/>
      <c r="N747" s="461"/>
      <c r="O747" s="461"/>
      <c r="P747" s="461"/>
      <c r="Q747" s="461"/>
      <c r="R747" s="461"/>
      <c r="S747" s="461"/>
      <c r="T747" s="461"/>
      <c r="U747" s="461"/>
      <c r="V747" s="461"/>
      <c r="W747" s="461"/>
      <c r="X747" s="461"/>
      <c r="Y747" s="461"/>
    </row>
    <row r="748" spans="1:25" ht="20.25" x14ac:dyDescent="0.4">
      <c r="A748" s="461"/>
      <c r="B748" s="461"/>
      <c r="C748" s="461"/>
      <c r="D748" s="461"/>
      <c r="E748" s="461"/>
      <c r="F748" s="461"/>
      <c r="G748" s="461"/>
      <c r="H748" s="461"/>
      <c r="I748" s="463"/>
      <c r="J748" s="463"/>
      <c r="K748" s="461"/>
      <c r="L748" s="461"/>
      <c r="M748" s="461"/>
      <c r="N748" s="461"/>
      <c r="O748" s="461"/>
      <c r="P748" s="461"/>
      <c r="Q748" s="461"/>
      <c r="R748" s="461"/>
      <c r="S748" s="461"/>
      <c r="T748" s="461"/>
      <c r="U748" s="461"/>
      <c r="V748" s="461"/>
      <c r="W748" s="461"/>
      <c r="X748" s="461"/>
      <c r="Y748" s="461"/>
    </row>
    <row r="749" spans="1:25" ht="20.25" x14ac:dyDescent="0.4">
      <c r="A749" s="461"/>
      <c r="B749" s="461"/>
      <c r="C749" s="461"/>
      <c r="D749" s="461"/>
      <c r="E749" s="461"/>
      <c r="F749" s="461"/>
      <c r="G749" s="461"/>
      <c r="H749" s="461"/>
      <c r="I749" s="463"/>
      <c r="J749" s="463"/>
      <c r="K749" s="461"/>
      <c r="L749" s="461"/>
      <c r="M749" s="461"/>
      <c r="N749" s="461"/>
      <c r="O749" s="461"/>
      <c r="P749" s="461"/>
      <c r="Q749" s="461"/>
      <c r="R749" s="461"/>
      <c r="S749" s="461"/>
      <c r="T749" s="461"/>
      <c r="U749" s="461"/>
      <c r="V749" s="461"/>
      <c r="W749" s="461"/>
      <c r="X749" s="461"/>
      <c r="Y749" s="461"/>
    </row>
    <row r="750" spans="1:25" ht="20.25" x14ac:dyDescent="0.4">
      <c r="A750" s="461"/>
      <c r="B750" s="461"/>
      <c r="C750" s="461"/>
      <c r="D750" s="461"/>
      <c r="E750" s="461"/>
      <c r="F750" s="461"/>
      <c r="G750" s="461"/>
      <c r="H750" s="461"/>
      <c r="I750" s="463"/>
      <c r="J750" s="463"/>
      <c r="K750" s="461"/>
      <c r="L750" s="461"/>
      <c r="M750" s="461"/>
      <c r="N750" s="461"/>
      <c r="O750" s="461"/>
      <c r="P750" s="461"/>
      <c r="Q750" s="461"/>
      <c r="R750" s="461"/>
      <c r="S750" s="461"/>
      <c r="T750" s="461"/>
      <c r="U750" s="461"/>
      <c r="V750" s="461"/>
      <c r="W750" s="461"/>
      <c r="X750" s="461"/>
      <c r="Y750" s="461"/>
    </row>
    <row r="751" spans="1:25" ht="20.25" x14ac:dyDescent="0.4">
      <c r="A751" s="461"/>
      <c r="B751" s="461"/>
      <c r="C751" s="461"/>
      <c r="D751" s="461"/>
      <c r="E751" s="461"/>
      <c r="F751" s="461"/>
      <c r="G751" s="461"/>
      <c r="H751" s="461"/>
      <c r="I751" s="463"/>
      <c r="J751" s="463"/>
      <c r="K751" s="461"/>
      <c r="L751" s="461"/>
      <c r="M751" s="461"/>
      <c r="N751" s="461"/>
      <c r="O751" s="461"/>
      <c r="P751" s="461"/>
      <c r="Q751" s="461"/>
      <c r="R751" s="461"/>
      <c r="S751" s="461"/>
      <c r="T751" s="461"/>
      <c r="U751" s="461"/>
      <c r="V751" s="461"/>
      <c r="W751" s="461"/>
      <c r="X751" s="461"/>
      <c r="Y751" s="461"/>
    </row>
    <row r="752" spans="1:25" ht="20.25" x14ac:dyDescent="0.4">
      <c r="A752" s="461"/>
      <c r="B752" s="461"/>
      <c r="C752" s="461"/>
      <c r="D752" s="461"/>
      <c r="E752" s="461"/>
      <c r="F752" s="461"/>
      <c r="G752" s="461"/>
      <c r="H752" s="461"/>
      <c r="I752" s="463"/>
      <c r="J752" s="463"/>
      <c r="K752" s="461"/>
      <c r="L752" s="461"/>
      <c r="M752" s="461"/>
      <c r="N752" s="461"/>
      <c r="O752" s="461"/>
      <c r="P752" s="461"/>
      <c r="Q752" s="461"/>
      <c r="R752" s="461"/>
      <c r="S752" s="461"/>
      <c r="T752" s="461"/>
      <c r="U752" s="461"/>
      <c r="V752" s="461"/>
      <c r="W752" s="461"/>
      <c r="X752" s="461"/>
      <c r="Y752" s="461"/>
    </row>
    <row r="753" spans="1:25" ht="20.25" x14ac:dyDescent="0.4">
      <c r="A753" s="461"/>
      <c r="B753" s="461"/>
      <c r="C753" s="461"/>
      <c r="D753" s="461"/>
      <c r="E753" s="461"/>
      <c r="F753" s="461"/>
      <c r="G753" s="461"/>
      <c r="H753" s="461"/>
      <c r="I753" s="463"/>
      <c r="J753" s="463"/>
      <c r="K753" s="461"/>
      <c r="L753" s="461"/>
      <c r="M753" s="461"/>
      <c r="N753" s="461"/>
      <c r="O753" s="461"/>
      <c r="P753" s="461"/>
      <c r="Q753" s="461"/>
      <c r="R753" s="461"/>
      <c r="S753" s="461"/>
      <c r="T753" s="461"/>
      <c r="U753" s="461"/>
      <c r="V753" s="461"/>
      <c r="W753" s="461"/>
      <c r="X753" s="461"/>
      <c r="Y753" s="461"/>
    </row>
    <row r="754" spans="1:25" ht="20.25" x14ac:dyDescent="0.4">
      <c r="A754" s="461"/>
      <c r="B754" s="461"/>
      <c r="C754" s="461"/>
      <c r="D754" s="461"/>
      <c r="E754" s="461"/>
      <c r="F754" s="461"/>
      <c r="G754" s="461"/>
      <c r="H754" s="461"/>
      <c r="I754" s="463"/>
      <c r="J754" s="463"/>
      <c r="K754" s="461"/>
      <c r="L754" s="461"/>
      <c r="M754" s="461"/>
      <c r="N754" s="461"/>
      <c r="O754" s="461"/>
      <c r="P754" s="461"/>
      <c r="Q754" s="461"/>
      <c r="R754" s="461"/>
      <c r="S754" s="461"/>
      <c r="T754" s="461"/>
      <c r="U754" s="461"/>
      <c r="V754" s="461"/>
      <c r="W754" s="461"/>
      <c r="X754" s="461"/>
      <c r="Y754" s="461"/>
    </row>
    <row r="755" spans="1:25" ht="20.25" x14ac:dyDescent="0.4">
      <c r="A755" s="461"/>
      <c r="B755" s="461"/>
      <c r="C755" s="461"/>
      <c r="D755" s="461"/>
      <c r="E755" s="461"/>
      <c r="F755" s="461"/>
      <c r="G755" s="461"/>
      <c r="H755" s="461"/>
      <c r="I755" s="463"/>
      <c r="J755" s="463"/>
      <c r="K755" s="461"/>
      <c r="L755" s="461"/>
      <c r="M755" s="461"/>
      <c r="N755" s="461"/>
      <c r="O755" s="461"/>
      <c r="P755" s="461"/>
      <c r="Q755" s="461"/>
      <c r="R755" s="461"/>
      <c r="S755" s="461"/>
      <c r="T755" s="461"/>
      <c r="U755" s="461"/>
      <c r="V755" s="461"/>
      <c r="W755" s="461"/>
      <c r="X755" s="461"/>
      <c r="Y755" s="461"/>
    </row>
    <row r="756" spans="1:25" ht="20.25" x14ac:dyDescent="0.4">
      <c r="A756" s="461"/>
      <c r="B756" s="461"/>
      <c r="C756" s="461"/>
      <c r="D756" s="461"/>
      <c r="E756" s="461"/>
      <c r="F756" s="461"/>
      <c r="G756" s="461"/>
      <c r="H756" s="461"/>
      <c r="I756" s="463"/>
      <c r="J756" s="463"/>
      <c r="K756" s="461"/>
      <c r="L756" s="461"/>
      <c r="M756" s="461"/>
      <c r="N756" s="461"/>
      <c r="O756" s="461"/>
      <c r="P756" s="461"/>
      <c r="Q756" s="461"/>
      <c r="R756" s="461"/>
      <c r="S756" s="461"/>
      <c r="T756" s="461"/>
      <c r="U756" s="461"/>
      <c r="V756" s="461"/>
      <c r="W756" s="461"/>
      <c r="X756" s="461"/>
      <c r="Y756" s="461"/>
    </row>
    <row r="757" spans="1:25" ht="20.25" x14ac:dyDescent="0.4">
      <c r="A757" s="461"/>
      <c r="B757" s="461"/>
      <c r="C757" s="461"/>
      <c r="D757" s="461"/>
      <c r="E757" s="461"/>
      <c r="F757" s="461"/>
      <c r="G757" s="461"/>
      <c r="H757" s="461"/>
      <c r="I757" s="463"/>
      <c r="J757" s="463"/>
      <c r="K757" s="461"/>
      <c r="L757" s="461"/>
      <c r="M757" s="461"/>
      <c r="N757" s="461"/>
      <c r="O757" s="461"/>
      <c r="P757" s="461"/>
      <c r="Q757" s="461"/>
      <c r="R757" s="461"/>
      <c r="S757" s="461"/>
      <c r="T757" s="461"/>
      <c r="U757" s="461"/>
      <c r="V757" s="461"/>
      <c r="W757" s="461"/>
      <c r="X757" s="461"/>
      <c r="Y757" s="461"/>
    </row>
    <row r="758" spans="1:25" ht="20.25" x14ac:dyDescent="0.4">
      <c r="A758" s="461"/>
      <c r="B758" s="461"/>
      <c r="C758" s="461"/>
      <c r="D758" s="461"/>
      <c r="E758" s="461"/>
      <c r="F758" s="461"/>
      <c r="G758" s="461"/>
      <c r="H758" s="461"/>
      <c r="I758" s="463"/>
      <c r="J758" s="463"/>
      <c r="K758" s="461"/>
      <c r="L758" s="461"/>
      <c r="M758" s="461"/>
      <c r="N758" s="461"/>
      <c r="O758" s="461"/>
      <c r="P758" s="461"/>
      <c r="Q758" s="461"/>
      <c r="R758" s="461"/>
      <c r="S758" s="461"/>
      <c r="T758" s="461"/>
      <c r="U758" s="461"/>
      <c r="V758" s="461"/>
      <c r="W758" s="461"/>
      <c r="X758" s="461"/>
      <c r="Y758" s="461"/>
    </row>
    <row r="759" spans="1:25" ht="20.25" x14ac:dyDescent="0.4">
      <c r="A759" s="461"/>
      <c r="B759" s="461"/>
      <c r="C759" s="461"/>
      <c r="D759" s="461"/>
      <c r="E759" s="461"/>
      <c r="F759" s="461"/>
      <c r="G759" s="461"/>
      <c r="H759" s="461"/>
      <c r="I759" s="463"/>
      <c r="J759" s="463"/>
      <c r="K759" s="461"/>
      <c r="L759" s="461"/>
      <c r="M759" s="461"/>
      <c r="N759" s="461"/>
      <c r="O759" s="461"/>
      <c r="P759" s="461"/>
      <c r="Q759" s="461"/>
      <c r="R759" s="461"/>
      <c r="S759" s="461"/>
      <c r="T759" s="461"/>
      <c r="U759" s="461"/>
      <c r="V759" s="461"/>
      <c r="W759" s="461"/>
      <c r="X759" s="461"/>
      <c r="Y759" s="461"/>
    </row>
    <row r="760" spans="1:25" ht="20.25" x14ac:dyDescent="0.4">
      <c r="A760" s="461"/>
      <c r="B760" s="461"/>
      <c r="C760" s="461"/>
      <c r="D760" s="461"/>
      <c r="E760" s="461"/>
      <c r="F760" s="461"/>
      <c r="G760" s="461"/>
      <c r="H760" s="461"/>
      <c r="I760" s="463"/>
      <c r="J760" s="463"/>
      <c r="K760" s="461"/>
      <c r="L760" s="461"/>
      <c r="M760" s="461"/>
      <c r="N760" s="461"/>
      <c r="O760" s="461"/>
      <c r="P760" s="461"/>
      <c r="Q760" s="461"/>
      <c r="R760" s="461"/>
      <c r="S760" s="461"/>
      <c r="T760" s="461"/>
      <c r="U760" s="461"/>
      <c r="V760" s="461"/>
      <c r="W760" s="461"/>
      <c r="X760" s="461"/>
      <c r="Y760" s="461"/>
    </row>
    <row r="761" spans="1:25" ht="20.25" x14ac:dyDescent="0.4">
      <c r="A761" s="461"/>
      <c r="B761" s="461"/>
      <c r="C761" s="461"/>
      <c r="D761" s="461"/>
      <c r="E761" s="461"/>
      <c r="F761" s="461"/>
      <c r="G761" s="461"/>
      <c r="H761" s="461"/>
      <c r="I761" s="463"/>
      <c r="J761" s="463"/>
      <c r="K761" s="461"/>
      <c r="L761" s="461"/>
      <c r="M761" s="461"/>
      <c r="N761" s="461"/>
      <c r="O761" s="461"/>
      <c r="P761" s="461"/>
      <c r="Q761" s="461"/>
      <c r="R761" s="461"/>
      <c r="S761" s="461"/>
      <c r="T761" s="461"/>
      <c r="U761" s="461"/>
      <c r="V761" s="461"/>
      <c r="W761" s="461"/>
      <c r="X761" s="461"/>
      <c r="Y761" s="461"/>
    </row>
    <row r="762" spans="1:25" ht="20.25" x14ac:dyDescent="0.4">
      <c r="A762" s="461"/>
      <c r="B762" s="461"/>
      <c r="C762" s="461"/>
      <c r="D762" s="461"/>
      <c r="E762" s="461"/>
      <c r="F762" s="461"/>
      <c r="G762" s="461"/>
      <c r="H762" s="461"/>
      <c r="I762" s="463"/>
      <c r="J762" s="463"/>
      <c r="K762" s="461"/>
      <c r="L762" s="461"/>
      <c r="M762" s="461"/>
      <c r="N762" s="461"/>
      <c r="O762" s="461"/>
      <c r="P762" s="461"/>
      <c r="Q762" s="461"/>
      <c r="R762" s="461"/>
      <c r="S762" s="461"/>
      <c r="T762" s="461"/>
      <c r="U762" s="461"/>
      <c r="V762" s="461"/>
      <c r="W762" s="461"/>
      <c r="X762" s="461"/>
      <c r="Y762" s="461"/>
    </row>
    <row r="763" spans="1:25" ht="20.25" x14ac:dyDescent="0.4">
      <c r="A763" s="461"/>
      <c r="B763" s="461"/>
      <c r="C763" s="461"/>
      <c r="D763" s="461"/>
      <c r="E763" s="461"/>
      <c r="F763" s="461"/>
      <c r="G763" s="461"/>
      <c r="H763" s="461"/>
      <c r="I763" s="463"/>
      <c r="J763" s="463"/>
      <c r="K763" s="461"/>
      <c r="L763" s="461"/>
      <c r="M763" s="461"/>
      <c r="N763" s="461"/>
      <c r="O763" s="461"/>
      <c r="P763" s="461"/>
      <c r="Q763" s="461"/>
      <c r="R763" s="461"/>
      <c r="S763" s="461"/>
      <c r="T763" s="461"/>
      <c r="U763" s="461"/>
      <c r="V763" s="461"/>
      <c r="W763" s="461"/>
      <c r="X763" s="461"/>
      <c r="Y763" s="461"/>
    </row>
    <row r="764" spans="1:25" ht="20.25" x14ac:dyDescent="0.4">
      <c r="A764" s="461"/>
      <c r="B764" s="461"/>
      <c r="C764" s="461"/>
      <c r="D764" s="461"/>
      <c r="E764" s="461"/>
      <c r="F764" s="461"/>
      <c r="G764" s="461"/>
      <c r="H764" s="461"/>
      <c r="I764" s="463"/>
      <c r="J764" s="463"/>
      <c r="K764" s="461"/>
      <c r="L764" s="461"/>
      <c r="M764" s="461"/>
      <c r="N764" s="461"/>
      <c r="O764" s="461"/>
      <c r="P764" s="461"/>
      <c r="Q764" s="461"/>
      <c r="R764" s="461"/>
      <c r="S764" s="461"/>
      <c r="T764" s="461"/>
      <c r="U764" s="461"/>
      <c r="V764" s="461"/>
      <c r="W764" s="461"/>
      <c r="X764" s="461"/>
      <c r="Y764" s="461"/>
    </row>
    <row r="765" spans="1:25" ht="20.25" x14ac:dyDescent="0.4">
      <c r="A765" s="461"/>
      <c r="B765" s="461"/>
      <c r="C765" s="461"/>
      <c r="D765" s="461"/>
      <c r="E765" s="461"/>
      <c r="F765" s="461"/>
      <c r="G765" s="461"/>
      <c r="H765" s="461"/>
      <c r="I765" s="463"/>
      <c r="J765" s="463"/>
      <c r="K765" s="461"/>
      <c r="L765" s="461"/>
      <c r="M765" s="461"/>
      <c r="N765" s="461"/>
      <c r="O765" s="461"/>
      <c r="P765" s="461"/>
      <c r="Q765" s="461"/>
      <c r="R765" s="461"/>
      <c r="S765" s="461"/>
      <c r="T765" s="461"/>
      <c r="U765" s="461"/>
      <c r="V765" s="461"/>
      <c r="W765" s="461"/>
      <c r="X765" s="461"/>
      <c r="Y765" s="461"/>
    </row>
    <row r="766" spans="1:25" ht="20.25" x14ac:dyDescent="0.4">
      <c r="A766" s="461"/>
      <c r="B766" s="461"/>
      <c r="C766" s="461"/>
      <c r="D766" s="461"/>
      <c r="E766" s="461"/>
      <c r="F766" s="461"/>
      <c r="G766" s="461"/>
      <c r="H766" s="461"/>
      <c r="I766" s="463"/>
      <c r="J766" s="463"/>
      <c r="K766" s="461"/>
      <c r="L766" s="461"/>
      <c r="M766" s="461"/>
      <c r="N766" s="461"/>
      <c r="O766" s="461"/>
      <c r="P766" s="461"/>
      <c r="Q766" s="461"/>
      <c r="R766" s="461"/>
      <c r="S766" s="461"/>
      <c r="T766" s="461"/>
      <c r="U766" s="461"/>
      <c r="V766" s="461"/>
      <c r="W766" s="461"/>
      <c r="X766" s="461"/>
      <c r="Y766" s="461"/>
    </row>
    <row r="767" spans="1:25" ht="20.25" x14ac:dyDescent="0.4">
      <c r="A767" s="461"/>
      <c r="B767" s="461"/>
      <c r="C767" s="461"/>
      <c r="D767" s="461"/>
      <c r="E767" s="461"/>
      <c r="F767" s="461"/>
      <c r="G767" s="461"/>
      <c r="H767" s="461"/>
      <c r="I767" s="463"/>
      <c r="J767" s="463"/>
      <c r="K767" s="461"/>
      <c r="L767" s="461"/>
      <c r="M767" s="461"/>
      <c r="N767" s="461"/>
      <c r="O767" s="461"/>
      <c r="P767" s="461"/>
      <c r="Q767" s="461"/>
      <c r="R767" s="461"/>
      <c r="S767" s="461"/>
      <c r="T767" s="461"/>
      <c r="U767" s="461"/>
      <c r="V767" s="461"/>
      <c r="W767" s="461"/>
      <c r="X767" s="461"/>
      <c r="Y767" s="461"/>
    </row>
    <row r="768" spans="1:25" ht="20.25" x14ac:dyDescent="0.4">
      <c r="A768" s="461"/>
      <c r="B768" s="461"/>
      <c r="C768" s="461"/>
      <c r="D768" s="461"/>
      <c r="E768" s="461"/>
      <c r="F768" s="461"/>
      <c r="G768" s="461"/>
      <c r="H768" s="461"/>
      <c r="I768" s="463"/>
      <c r="J768" s="463"/>
      <c r="K768" s="461"/>
      <c r="L768" s="461"/>
      <c r="M768" s="461"/>
      <c r="N768" s="461"/>
      <c r="O768" s="461"/>
      <c r="P768" s="461"/>
      <c r="Q768" s="461"/>
      <c r="R768" s="461"/>
      <c r="S768" s="461"/>
      <c r="T768" s="461"/>
      <c r="U768" s="461"/>
      <c r="V768" s="461"/>
      <c r="W768" s="461"/>
      <c r="X768" s="461"/>
      <c r="Y768" s="461"/>
    </row>
    <row r="769" spans="1:25" ht="20.25" x14ac:dyDescent="0.4">
      <c r="A769" s="461"/>
      <c r="B769" s="461"/>
      <c r="C769" s="461"/>
      <c r="D769" s="461"/>
      <c r="E769" s="461"/>
      <c r="F769" s="461"/>
      <c r="G769" s="461"/>
      <c r="H769" s="461"/>
      <c r="I769" s="463"/>
      <c r="J769" s="463"/>
      <c r="K769" s="461"/>
      <c r="L769" s="461"/>
      <c r="M769" s="461"/>
      <c r="N769" s="461"/>
      <c r="O769" s="461"/>
      <c r="P769" s="461"/>
      <c r="Q769" s="461"/>
      <c r="R769" s="461"/>
      <c r="S769" s="461"/>
      <c r="T769" s="461"/>
      <c r="U769" s="461"/>
      <c r="V769" s="461"/>
      <c r="W769" s="461"/>
      <c r="X769" s="461"/>
      <c r="Y769" s="461"/>
    </row>
    <row r="770" spans="1:25" ht="20.25" x14ac:dyDescent="0.4">
      <c r="A770" s="461"/>
      <c r="B770" s="461"/>
      <c r="C770" s="461"/>
      <c r="D770" s="461"/>
      <c r="E770" s="461"/>
      <c r="F770" s="461"/>
      <c r="G770" s="461"/>
      <c r="H770" s="461"/>
      <c r="I770" s="463"/>
      <c r="J770" s="463"/>
      <c r="K770" s="461"/>
      <c r="L770" s="461"/>
      <c r="M770" s="461"/>
      <c r="N770" s="461"/>
      <c r="O770" s="461"/>
      <c r="P770" s="461"/>
      <c r="Q770" s="461"/>
      <c r="R770" s="461"/>
      <c r="S770" s="461"/>
      <c r="T770" s="461"/>
      <c r="U770" s="461"/>
      <c r="V770" s="461"/>
      <c r="W770" s="461"/>
      <c r="X770" s="461"/>
      <c r="Y770" s="461"/>
    </row>
    <row r="771" spans="1:25" ht="20.25" x14ac:dyDescent="0.4">
      <c r="A771" s="461"/>
      <c r="B771" s="461"/>
      <c r="C771" s="461"/>
      <c r="D771" s="461"/>
      <c r="E771" s="461"/>
      <c r="F771" s="461"/>
      <c r="G771" s="461"/>
      <c r="H771" s="461"/>
      <c r="I771" s="463"/>
      <c r="J771" s="463"/>
      <c r="K771" s="461"/>
      <c r="L771" s="461"/>
      <c r="M771" s="461"/>
      <c r="N771" s="461"/>
      <c r="O771" s="461"/>
      <c r="P771" s="461"/>
      <c r="Q771" s="461"/>
      <c r="R771" s="461"/>
      <c r="S771" s="461"/>
      <c r="T771" s="461"/>
      <c r="U771" s="461"/>
      <c r="V771" s="461"/>
      <c r="W771" s="461"/>
      <c r="X771" s="461"/>
      <c r="Y771" s="461"/>
    </row>
    <row r="772" spans="1:25" ht="20.25" x14ac:dyDescent="0.4">
      <c r="A772" s="461"/>
      <c r="B772" s="461"/>
      <c r="C772" s="461"/>
      <c r="D772" s="461"/>
      <c r="E772" s="461"/>
      <c r="F772" s="461"/>
      <c r="G772" s="461"/>
      <c r="H772" s="461"/>
      <c r="I772" s="463"/>
      <c r="J772" s="463"/>
      <c r="K772" s="461"/>
      <c r="L772" s="461"/>
      <c r="M772" s="461"/>
      <c r="N772" s="461"/>
      <c r="O772" s="461"/>
      <c r="P772" s="461"/>
      <c r="Q772" s="461"/>
      <c r="R772" s="461"/>
      <c r="S772" s="461"/>
      <c r="T772" s="461"/>
      <c r="U772" s="461"/>
      <c r="V772" s="461"/>
      <c r="W772" s="461"/>
      <c r="X772" s="461"/>
      <c r="Y772" s="461"/>
    </row>
    <row r="773" spans="1:25" ht="20.25" x14ac:dyDescent="0.4">
      <c r="A773" s="461"/>
      <c r="B773" s="461"/>
      <c r="C773" s="461"/>
      <c r="D773" s="461"/>
      <c r="E773" s="461"/>
      <c r="F773" s="461"/>
      <c r="G773" s="461"/>
      <c r="H773" s="461"/>
      <c r="I773" s="463"/>
      <c r="J773" s="463"/>
      <c r="K773" s="461"/>
      <c r="L773" s="461"/>
      <c r="M773" s="461"/>
      <c r="N773" s="461"/>
      <c r="O773" s="461"/>
      <c r="P773" s="461"/>
      <c r="Q773" s="461"/>
      <c r="R773" s="461"/>
      <c r="S773" s="461"/>
      <c r="T773" s="461"/>
      <c r="U773" s="461"/>
      <c r="V773" s="461"/>
      <c r="W773" s="461"/>
      <c r="X773" s="461"/>
      <c r="Y773" s="461"/>
    </row>
    <row r="774" spans="1:25" ht="20.25" x14ac:dyDescent="0.4">
      <c r="A774" s="461"/>
      <c r="B774" s="461"/>
      <c r="C774" s="461"/>
      <c r="D774" s="461"/>
      <c r="E774" s="461"/>
      <c r="F774" s="461"/>
      <c r="G774" s="461"/>
      <c r="H774" s="461"/>
      <c r="I774" s="463"/>
      <c r="J774" s="463"/>
      <c r="K774" s="461"/>
      <c r="L774" s="461"/>
      <c r="M774" s="461"/>
      <c r="N774" s="461"/>
      <c r="O774" s="461"/>
      <c r="P774" s="461"/>
      <c r="Q774" s="461"/>
      <c r="R774" s="461"/>
      <c r="S774" s="461"/>
      <c r="T774" s="461"/>
      <c r="U774" s="461"/>
      <c r="V774" s="461"/>
      <c r="W774" s="461"/>
      <c r="X774" s="461"/>
      <c r="Y774" s="461"/>
    </row>
    <row r="775" spans="1:25" ht="20.25" x14ac:dyDescent="0.4">
      <c r="A775" s="461"/>
      <c r="B775" s="461"/>
      <c r="C775" s="461"/>
      <c r="D775" s="461"/>
      <c r="E775" s="461"/>
      <c r="F775" s="461"/>
      <c r="G775" s="461"/>
      <c r="H775" s="461"/>
      <c r="I775" s="463"/>
      <c r="J775" s="463"/>
      <c r="K775" s="461"/>
      <c r="L775" s="461"/>
      <c r="M775" s="461"/>
      <c r="N775" s="461"/>
      <c r="O775" s="461"/>
      <c r="P775" s="461"/>
      <c r="Q775" s="461"/>
      <c r="R775" s="461"/>
      <c r="S775" s="461"/>
      <c r="T775" s="461"/>
      <c r="U775" s="461"/>
      <c r="V775" s="461"/>
      <c r="W775" s="461"/>
      <c r="X775" s="461"/>
      <c r="Y775" s="461"/>
    </row>
    <row r="776" spans="1:25" ht="20.25" x14ac:dyDescent="0.4">
      <c r="A776" s="461"/>
      <c r="B776" s="461"/>
      <c r="C776" s="461"/>
      <c r="D776" s="461"/>
      <c r="E776" s="461"/>
      <c r="F776" s="461"/>
      <c r="G776" s="461"/>
      <c r="H776" s="461"/>
      <c r="I776" s="463"/>
      <c r="J776" s="463"/>
      <c r="K776" s="461"/>
      <c r="L776" s="461"/>
      <c r="M776" s="461"/>
      <c r="N776" s="461"/>
      <c r="O776" s="461"/>
      <c r="P776" s="461"/>
      <c r="Q776" s="461"/>
      <c r="R776" s="461"/>
      <c r="S776" s="461"/>
      <c r="T776" s="461"/>
      <c r="U776" s="461"/>
      <c r="V776" s="461"/>
      <c r="W776" s="461"/>
      <c r="X776" s="461"/>
      <c r="Y776" s="461"/>
    </row>
    <row r="777" spans="1:25" ht="20.25" x14ac:dyDescent="0.4">
      <c r="A777" s="461"/>
      <c r="B777" s="461"/>
      <c r="C777" s="461"/>
      <c r="D777" s="461"/>
      <c r="E777" s="461"/>
      <c r="F777" s="461"/>
      <c r="G777" s="461"/>
      <c r="H777" s="461"/>
      <c r="I777" s="463"/>
      <c r="J777" s="463"/>
      <c r="K777" s="461"/>
      <c r="L777" s="461"/>
      <c r="M777" s="461"/>
      <c r="N777" s="461"/>
      <c r="O777" s="461"/>
      <c r="P777" s="461"/>
      <c r="Q777" s="461"/>
      <c r="R777" s="461"/>
      <c r="S777" s="461"/>
      <c r="T777" s="461"/>
      <c r="U777" s="461"/>
      <c r="V777" s="461"/>
      <c r="W777" s="461"/>
      <c r="X777" s="461"/>
      <c r="Y777" s="461"/>
    </row>
    <row r="778" spans="1:25" ht="20.25" x14ac:dyDescent="0.4">
      <c r="A778" s="461"/>
      <c r="B778" s="461"/>
      <c r="C778" s="461"/>
      <c r="D778" s="461"/>
      <c r="E778" s="461"/>
      <c r="F778" s="461"/>
      <c r="G778" s="461"/>
      <c r="H778" s="461"/>
      <c r="I778" s="463"/>
      <c r="J778" s="463"/>
      <c r="K778" s="461"/>
      <c r="L778" s="461"/>
      <c r="M778" s="461"/>
      <c r="N778" s="461"/>
      <c r="O778" s="461"/>
      <c r="P778" s="461"/>
      <c r="Q778" s="461"/>
      <c r="R778" s="461"/>
      <c r="S778" s="461"/>
      <c r="T778" s="461"/>
      <c r="U778" s="461"/>
      <c r="V778" s="461"/>
      <c r="W778" s="461"/>
      <c r="X778" s="461"/>
      <c r="Y778" s="461"/>
    </row>
    <row r="779" spans="1:25" ht="20.25" x14ac:dyDescent="0.4">
      <c r="A779" s="461"/>
      <c r="B779" s="461"/>
      <c r="C779" s="461"/>
      <c r="D779" s="461"/>
      <c r="E779" s="461"/>
      <c r="F779" s="461"/>
      <c r="G779" s="461"/>
      <c r="H779" s="461"/>
      <c r="I779" s="463"/>
      <c r="J779" s="463"/>
      <c r="K779" s="461"/>
      <c r="L779" s="461"/>
      <c r="M779" s="461"/>
      <c r="N779" s="461"/>
      <c r="O779" s="461"/>
      <c r="P779" s="461"/>
      <c r="Q779" s="461"/>
      <c r="R779" s="461"/>
      <c r="S779" s="461"/>
      <c r="T779" s="461"/>
      <c r="U779" s="461"/>
      <c r="V779" s="461"/>
      <c r="W779" s="461"/>
      <c r="X779" s="461"/>
      <c r="Y779" s="461"/>
    </row>
    <row r="780" spans="1:25" ht="20.25" x14ac:dyDescent="0.4">
      <c r="A780" s="461"/>
      <c r="B780" s="461"/>
      <c r="C780" s="461"/>
      <c r="D780" s="461"/>
      <c r="E780" s="461"/>
      <c r="F780" s="461"/>
      <c r="G780" s="461"/>
      <c r="H780" s="461"/>
      <c r="I780" s="463"/>
      <c r="J780" s="463"/>
      <c r="K780" s="461"/>
      <c r="L780" s="461"/>
      <c r="M780" s="461"/>
      <c r="N780" s="461"/>
      <c r="O780" s="461"/>
      <c r="P780" s="461"/>
      <c r="Q780" s="461"/>
      <c r="R780" s="461"/>
      <c r="S780" s="461"/>
      <c r="T780" s="461"/>
      <c r="U780" s="461"/>
      <c r="V780" s="461"/>
      <c r="W780" s="461"/>
      <c r="X780" s="461"/>
      <c r="Y780" s="461"/>
    </row>
    <row r="781" spans="1:25" ht="20.25" x14ac:dyDescent="0.4">
      <c r="A781" s="461"/>
      <c r="B781" s="461"/>
      <c r="C781" s="461"/>
      <c r="D781" s="461"/>
      <c r="E781" s="461"/>
      <c r="F781" s="461"/>
      <c r="G781" s="461"/>
      <c r="H781" s="461"/>
      <c r="I781" s="463"/>
      <c r="J781" s="463"/>
      <c r="K781" s="461"/>
      <c r="L781" s="461"/>
      <c r="M781" s="461"/>
      <c r="N781" s="461"/>
      <c r="O781" s="461"/>
      <c r="P781" s="461"/>
      <c r="Q781" s="461"/>
      <c r="R781" s="461"/>
      <c r="S781" s="461"/>
      <c r="T781" s="461"/>
      <c r="U781" s="461"/>
      <c r="V781" s="461"/>
      <c r="W781" s="461"/>
      <c r="X781" s="461"/>
      <c r="Y781" s="461"/>
    </row>
    <row r="782" spans="1:25" ht="20.25" x14ac:dyDescent="0.4">
      <c r="A782" s="461"/>
      <c r="B782" s="461"/>
      <c r="C782" s="461"/>
      <c r="D782" s="461"/>
      <c r="E782" s="461"/>
      <c r="F782" s="461"/>
      <c r="G782" s="461"/>
      <c r="H782" s="461"/>
      <c r="I782" s="463"/>
      <c r="J782" s="463"/>
      <c r="K782" s="461"/>
      <c r="L782" s="461"/>
      <c r="M782" s="461"/>
      <c r="N782" s="461"/>
      <c r="O782" s="461"/>
      <c r="P782" s="461"/>
      <c r="Q782" s="461"/>
      <c r="R782" s="461"/>
      <c r="S782" s="461"/>
      <c r="T782" s="461"/>
      <c r="U782" s="461"/>
      <c r="V782" s="461"/>
      <c r="W782" s="461"/>
      <c r="X782" s="461"/>
      <c r="Y782" s="461"/>
    </row>
    <row r="783" spans="1:25" ht="20.25" x14ac:dyDescent="0.4">
      <c r="A783" s="461"/>
      <c r="B783" s="461"/>
      <c r="C783" s="461"/>
      <c r="D783" s="461"/>
      <c r="E783" s="461"/>
      <c r="F783" s="461"/>
      <c r="G783" s="461"/>
      <c r="H783" s="461"/>
      <c r="I783" s="463"/>
      <c r="J783" s="463"/>
      <c r="K783" s="461"/>
      <c r="L783" s="461"/>
      <c r="M783" s="461"/>
      <c r="N783" s="461"/>
      <c r="O783" s="461"/>
      <c r="P783" s="461"/>
      <c r="Q783" s="461"/>
      <c r="R783" s="461"/>
      <c r="S783" s="461"/>
      <c r="T783" s="461"/>
      <c r="U783" s="461"/>
      <c r="V783" s="461"/>
      <c r="W783" s="461"/>
      <c r="X783" s="461"/>
      <c r="Y783" s="461"/>
    </row>
    <row r="784" spans="1:25" ht="20.25" x14ac:dyDescent="0.4">
      <c r="A784" s="461"/>
      <c r="B784" s="461"/>
      <c r="C784" s="461"/>
      <c r="D784" s="461"/>
      <c r="E784" s="461"/>
      <c r="F784" s="461"/>
      <c r="G784" s="461"/>
      <c r="H784" s="461"/>
      <c r="I784" s="463"/>
      <c r="J784" s="463"/>
      <c r="K784" s="461"/>
      <c r="L784" s="461"/>
      <c r="M784" s="461"/>
      <c r="N784" s="461"/>
      <c r="O784" s="461"/>
      <c r="P784" s="461"/>
      <c r="Q784" s="461"/>
      <c r="R784" s="461"/>
      <c r="S784" s="461"/>
      <c r="T784" s="461"/>
      <c r="U784" s="461"/>
      <c r="V784" s="461"/>
      <c r="W784" s="461"/>
      <c r="X784" s="461"/>
      <c r="Y784" s="461"/>
    </row>
    <row r="785" spans="1:25" ht="20.25" x14ac:dyDescent="0.4">
      <c r="A785" s="461"/>
      <c r="B785" s="461"/>
      <c r="C785" s="461"/>
      <c r="D785" s="461"/>
      <c r="E785" s="461"/>
      <c r="F785" s="461"/>
      <c r="G785" s="461"/>
      <c r="H785" s="461"/>
      <c r="I785" s="463"/>
      <c r="J785" s="463"/>
      <c r="K785" s="461"/>
      <c r="L785" s="461"/>
      <c r="M785" s="461"/>
      <c r="N785" s="461"/>
      <c r="O785" s="461"/>
      <c r="P785" s="461"/>
      <c r="Q785" s="461"/>
      <c r="R785" s="461"/>
      <c r="S785" s="461"/>
      <c r="T785" s="461"/>
      <c r="U785" s="461"/>
      <c r="V785" s="461"/>
      <c r="W785" s="461"/>
      <c r="X785" s="461"/>
      <c r="Y785" s="461"/>
    </row>
    <row r="786" spans="1:25" ht="20.25" x14ac:dyDescent="0.4">
      <c r="A786" s="461"/>
      <c r="B786" s="461"/>
      <c r="C786" s="461"/>
      <c r="D786" s="461"/>
      <c r="E786" s="461"/>
      <c r="F786" s="461"/>
      <c r="G786" s="461"/>
      <c r="H786" s="461"/>
      <c r="I786" s="463"/>
      <c r="J786" s="463"/>
      <c r="K786" s="461"/>
      <c r="L786" s="461"/>
      <c r="M786" s="461"/>
      <c r="N786" s="461"/>
      <c r="O786" s="461"/>
      <c r="P786" s="461"/>
      <c r="Q786" s="461"/>
      <c r="R786" s="461"/>
      <c r="S786" s="461"/>
      <c r="T786" s="461"/>
      <c r="U786" s="461"/>
      <c r="V786" s="461"/>
      <c r="W786" s="461"/>
      <c r="X786" s="461"/>
      <c r="Y786" s="461"/>
    </row>
    <row r="787" spans="1:25" ht="20.25" x14ac:dyDescent="0.4">
      <c r="A787" s="461"/>
      <c r="B787" s="461"/>
      <c r="C787" s="461"/>
      <c r="D787" s="461"/>
      <c r="E787" s="461"/>
      <c r="F787" s="461"/>
      <c r="G787" s="461"/>
      <c r="H787" s="461"/>
      <c r="I787" s="463"/>
      <c r="J787" s="463"/>
      <c r="K787" s="461"/>
      <c r="L787" s="461"/>
      <c r="M787" s="461"/>
      <c r="N787" s="461"/>
      <c r="O787" s="461"/>
      <c r="P787" s="461"/>
      <c r="Q787" s="461"/>
      <c r="R787" s="461"/>
      <c r="S787" s="461"/>
      <c r="T787" s="461"/>
      <c r="U787" s="461"/>
      <c r="V787" s="461"/>
      <c r="W787" s="461"/>
      <c r="X787" s="461"/>
      <c r="Y787" s="461"/>
    </row>
    <row r="788" spans="1:25" ht="20.25" x14ac:dyDescent="0.4">
      <c r="A788" s="461"/>
      <c r="B788" s="461"/>
      <c r="C788" s="461"/>
      <c r="D788" s="461"/>
      <c r="E788" s="461"/>
      <c r="F788" s="461"/>
      <c r="G788" s="461"/>
      <c r="H788" s="461"/>
      <c r="I788" s="463"/>
      <c r="J788" s="463"/>
      <c r="K788" s="461"/>
      <c r="L788" s="461"/>
      <c r="M788" s="461"/>
      <c r="N788" s="461"/>
      <c r="O788" s="461"/>
      <c r="P788" s="461"/>
      <c r="Q788" s="461"/>
      <c r="R788" s="461"/>
      <c r="S788" s="461"/>
      <c r="T788" s="461"/>
      <c r="U788" s="461"/>
      <c r="V788" s="461"/>
      <c r="W788" s="461"/>
      <c r="X788" s="461"/>
      <c r="Y788" s="461"/>
    </row>
    <row r="789" spans="1:25" ht="20.25" x14ac:dyDescent="0.4">
      <c r="A789" s="461"/>
      <c r="B789" s="461"/>
      <c r="C789" s="461"/>
      <c r="D789" s="461"/>
      <c r="E789" s="461"/>
      <c r="F789" s="461"/>
      <c r="G789" s="461"/>
      <c r="H789" s="461"/>
      <c r="I789" s="463"/>
      <c r="J789" s="463"/>
      <c r="K789" s="461"/>
      <c r="L789" s="461"/>
      <c r="M789" s="461"/>
      <c r="N789" s="461"/>
      <c r="O789" s="461"/>
      <c r="P789" s="461"/>
      <c r="Q789" s="461"/>
      <c r="R789" s="461"/>
      <c r="S789" s="461"/>
      <c r="T789" s="461"/>
      <c r="U789" s="461"/>
      <c r="V789" s="461"/>
      <c r="W789" s="461"/>
      <c r="X789" s="461"/>
      <c r="Y789" s="461"/>
    </row>
    <row r="790" spans="1:25" ht="20.25" x14ac:dyDescent="0.4">
      <c r="A790" s="461"/>
      <c r="B790" s="461"/>
      <c r="C790" s="461"/>
      <c r="D790" s="461"/>
      <c r="E790" s="461"/>
      <c r="F790" s="461"/>
      <c r="G790" s="461"/>
      <c r="H790" s="461"/>
      <c r="I790" s="463"/>
      <c r="J790" s="463"/>
      <c r="K790" s="461"/>
      <c r="L790" s="461"/>
      <c r="M790" s="461"/>
      <c r="N790" s="461"/>
      <c r="O790" s="461"/>
      <c r="P790" s="461"/>
      <c r="Q790" s="461"/>
      <c r="R790" s="461"/>
      <c r="S790" s="461"/>
      <c r="T790" s="461"/>
      <c r="U790" s="461"/>
      <c r="V790" s="461"/>
      <c r="W790" s="461"/>
      <c r="X790" s="461"/>
      <c r="Y790" s="461"/>
    </row>
    <row r="791" spans="1:25" ht="20.25" x14ac:dyDescent="0.4">
      <c r="A791" s="461"/>
      <c r="B791" s="461"/>
      <c r="C791" s="461"/>
      <c r="D791" s="461"/>
      <c r="E791" s="461"/>
      <c r="F791" s="461"/>
      <c r="G791" s="461"/>
      <c r="H791" s="461"/>
      <c r="I791" s="463"/>
      <c r="J791" s="463"/>
      <c r="K791" s="461"/>
      <c r="L791" s="461"/>
      <c r="M791" s="461"/>
      <c r="N791" s="461"/>
      <c r="O791" s="461"/>
      <c r="P791" s="461"/>
      <c r="Q791" s="461"/>
      <c r="R791" s="461"/>
      <c r="S791" s="461"/>
      <c r="T791" s="461"/>
      <c r="U791" s="461"/>
      <c r="V791" s="461"/>
      <c r="W791" s="461"/>
      <c r="X791" s="461"/>
      <c r="Y791" s="461"/>
    </row>
    <row r="792" spans="1:25" ht="20.25" x14ac:dyDescent="0.4">
      <c r="A792" s="461"/>
      <c r="B792" s="461"/>
      <c r="C792" s="461"/>
      <c r="D792" s="461"/>
      <c r="E792" s="461"/>
      <c r="F792" s="461"/>
      <c r="G792" s="461"/>
      <c r="H792" s="461"/>
      <c r="I792" s="463"/>
      <c r="J792" s="463"/>
      <c r="K792" s="461"/>
      <c r="L792" s="461"/>
      <c r="M792" s="461"/>
      <c r="N792" s="461"/>
      <c r="O792" s="461"/>
      <c r="P792" s="461"/>
      <c r="Q792" s="461"/>
      <c r="R792" s="461"/>
      <c r="S792" s="461"/>
      <c r="T792" s="461"/>
      <c r="U792" s="461"/>
      <c r="V792" s="461"/>
      <c r="W792" s="461"/>
      <c r="X792" s="461"/>
      <c r="Y792" s="461"/>
    </row>
    <row r="793" spans="1:25" ht="20.25" x14ac:dyDescent="0.4">
      <c r="A793" s="461"/>
      <c r="B793" s="461"/>
      <c r="C793" s="461"/>
      <c r="D793" s="461"/>
      <c r="E793" s="461"/>
      <c r="F793" s="461"/>
      <c r="G793" s="461"/>
      <c r="H793" s="461"/>
      <c r="I793" s="463"/>
      <c r="J793" s="463"/>
      <c r="K793" s="461"/>
      <c r="L793" s="461"/>
      <c r="M793" s="461"/>
      <c r="N793" s="461"/>
      <c r="O793" s="461"/>
      <c r="P793" s="461"/>
      <c r="Q793" s="461"/>
      <c r="R793" s="461"/>
      <c r="S793" s="461"/>
      <c r="T793" s="461"/>
      <c r="U793" s="461"/>
      <c r="V793" s="461"/>
      <c r="W793" s="461"/>
      <c r="X793" s="461"/>
      <c r="Y793" s="461"/>
    </row>
    <row r="794" spans="1:25" ht="20.25" x14ac:dyDescent="0.4">
      <c r="A794" s="461"/>
      <c r="B794" s="461"/>
      <c r="C794" s="461"/>
      <c r="D794" s="461"/>
      <c r="E794" s="461"/>
      <c r="F794" s="461"/>
      <c r="G794" s="461"/>
      <c r="H794" s="461"/>
      <c r="I794" s="463"/>
      <c r="J794" s="463"/>
      <c r="K794" s="461"/>
      <c r="L794" s="461"/>
      <c r="M794" s="461"/>
      <c r="N794" s="461"/>
      <c r="O794" s="461"/>
      <c r="P794" s="461"/>
      <c r="Q794" s="461"/>
      <c r="R794" s="461"/>
      <c r="S794" s="461"/>
      <c r="T794" s="461"/>
      <c r="U794" s="461"/>
      <c r="V794" s="461"/>
      <c r="W794" s="461"/>
      <c r="X794" s="461"/>
      <c r="Y794" s="461"/>
    </row>
    <row r="795" spans="1:25" ht="20.25" x14ac:dyDescent="0.4">
      <c r="A795" s="461"/>
      <c r="B795" s="461"/>
      <c r="C795" s="461"/>
      <c r="D795" s="461"/>
      <c r="E795" s="461"/>
      <c r="F795" s="461"/>
      <c r="G795" s="461"/>
      <c r="H795" s="461"/>
      <c r="I795" s="463"/>
      <c r="J795" s="463"/>
      <c r="K795" s="461"/>
      <c r="L795" s="461"/>
      <c r="M795" s="461"/>
      <c r="N795" s="461"/>
      <c r="O795" s="461"/>
      <c r="P795" s="461"/>
      <c r="Q795" s="461"/>
      <c r="R795" s="461"/>
      <c r="S795" s="461"/>
      <c r="T795" s="461"/>
      <c r="U795" s="461"/>
      <c r="V795" s="461"/>
      <c r="W795" s="461"/>
      <c r="X795" s="461"/>
      <c r="Y795" s="461"/>
    </row>
    <row r="796" spans="1:25" ht="20.25" x14ac:dyDescent="0.4">
      <c r="A796" s="461"/>
      <c r="B796" s="461"/>
      <c r="C796" s="461"/>
      <c r="D796" s="461"/>
      <c r="E796" s="461"/>
      <c r="F796" s="461"/>
      <c r="G796" s="461"/>
      <c r="H796" s="461"/>
      <c r="I796" s="463"/>
      <c r="J796" s="463"/>
      <c r="K796" s="461"/>
      <c r="L796" s="461"/>
      <c r="M796" s="461"/>
      <c r="N796" s="461"/>
      <c r="O796" s="461"/>
      <c r="P796" s="461"/>
      <c r="Q796" s="461"/>
      <c r="R796" s="461"/>
      <c r="S796" s="461"/>
      <c r="T796" s="461"/>
      <c r="U796" s="461"/>
      <c r="V796" s="461"/>
      <c r="W796" s="461"/>
      <c r="X796" s="461"/>
      <c r="Y796" s="461"/>
    </row>
    <row r="797" spans="1:25" ht="20.25" x14ac:dyDescent="0.4">
      <c r="A797" s="461"/>
      <c r="B797" s="461"/>
      <c r="C797" s="461"/>
      <c r="D797" s="461"/>
      <c r="E797" s="461"/>
      <c r="F797" s="461"/>
      <c r="G797" s="461"/>
      <c r="H797" s="461"/>
      <c r="I797" s="463"/>
      <c r="J797" s="463"/>
      <c r="K797" s="461"/>
      <c r="L797" s="461"/>
      <c r="M797" s="461"/>
      <c r="N797" s="461"/>
      <c r="O797" s="461"/>
      <c r="P797" s="461"/>
      <c r="Q797" s="461"/>
      <c r="R797" s="461"/>
      <c r="S797" s="461"/>
      <c r="T797" s="461"/>
      <c r="U797" s="461"/>
      <c r="V797" s="461"/>
      <c r="W797" s="461"/>
      <c r="X797" s="461"/>
      <c r="Y797" s="461"/>
    </row>
    <row r="798" spans="1:25" ht="20.25" x14ac:dyDescent="0.4">
      <c r="A798" s="461"/>
      <c r="B798" s="461"/>
      <c r="C798" s="461"/>
      <c r="D798" s="461"/>
      <c r="E798" s="461"/>
      <c r="F798" s="461"/>
      <c r="G798" s="461"/>
      <c r="H798" s="461"/>
      <c r="I798" s="463"/>
      <c r="J798" s="463"/>
      <c r="K798" s="461"/>
      <c r="L798" s="461"/>
      <c r="M798" s="461"/>
      <c r="N798" s="461"/>
      <c r="O798" s="461"/>
      <c r="P798" s="461"/>
      <c r="Q798" s="461"/>
      <c r="R798" s="461"/>
      <c r="S798" s="461"/>
      <c r="T798" s="461"/>
      <c r="U798" s="461"/>
      <c r="V798" s="461"/>
      <c r="W798" s="461"/>
      <c r="X798" s="461"/>
      <c r="Y798" s="461"/>
    </row>
    <row r="799" spans="1:25" ht="20.25" x14ac:dyDescent="0.4">
      <c r="A799" s="461"/>
      <c r="B799" s="461"/>
      <c r="C799" s="461"/>
      <c r="D799" s="461"/>
      <c r="E799" s="461"/>
      <c r="F799" s="461"/>
      <c r="G799" s="461"/>
      <c r="H799" s="461"/>
      <c r="I799" s="463"/>
      <c r="J799" s="463"/>
      <c r="K799" s="461"/>
      <c r="L799" s="461"/>
      <c r="M799" s="461"/>
      <c r="N799" s="461"/>
      <c r="O799" s="461"/>
      <c r="P799" s="461"/>
      <c r="Q799" s="461"/>
      <c r="R799" s="461"/>
      <c r="S799" s="461"/>
      <c r="T799" s="461"/>
      <c r="U799" s="461"/>
      <c r="V799" s="461"/>
      <c r="W799" s="461"/>
      <c r="X799" s="461"/>
      <c r="Y799" s="461"/>
    </row>
    <row r="800" spans="1:25" ht="20.25" x14ac:dyDescent="0.4">
      <c r="A800" s="461"/>
      <c r="B800" s="461"/>
      <c r="C800" s="461"/>
      <c r="D800" s="461"/>
      <c r="E800" s="461"/>
      <c r="F800" s="461"/>
      <c r="G800" s="461"/>
      <c r="H800" s="461"/>
      <c r="I800" s="463"/>
      <c r="J800" s="463"/>
      <c r="K800" s="461"/>
      <c r="L800" s="461"/>
      <c r="M800" s="461"/>
      <c r="N800" s="461"/>
      <c r="O800" s="461"/>
      <c r="P800" s="461"/>
      <c r="Q800" s="461"/>
      <c r="R800" s="461"/>
      <c r="S800" s="461"/>
      <c r="T800" s="461"/>
      <c r="U800" s="461"/>
      <c r="V800" s="461"/>
      <c r="W800" s="461"/>
      <c r="X800" s="461"/>
      <c r="Y800" s="461"/>
    </row>
    <row r="801" spans="1:25" ht="20.25" x14ac:dyDescent="0.4">
      <c r="A801" s="461"/>
      <c r="B801" s="461"/>
      <c r="C801" s="461"/>
      <c r="D801" s="461"/>
      <c r="E801" s="461"/>
      <c r="F801" s="461"/>
      <c r="G801" s="461"/>
      <c r="H801" s="461"/>
      <c r="I801" s="463"/>
      <c r="J801" s="463"/>
      <c r="K801" s="461"/>
      <c r="L801" s="461"/>
      <c r="M801" s="461"/>
      <c r="N801" s="461"/>
      <c r="O801" s="461"/>
      <c r="P801" s="461"/>
      <c r="Q801" s="461"/>
      <c r="R801" s="461"/>
      <c r="S801" s="461"/>
      <c r="T801" s="461"/>
      <c r="U801" s="461"/>
      <c r="V801" s="461"/>
      <c r="W801" s="461"/>
      <c r="X801" s="461"/>
      <c r="Y801" s="461"/>
    </row>
    <row r="802" spans="1:25" ht="20.25" x14ac:dyDescent="0.4">
      <c r="A802" s="461"/>
      <c r="B802" s="461"/>
      <c r="C802" s="461"/>
      <c r="D802" s="461"/>
      <c r="E802" s="461"/>
      <c r="F802" s="461"/>
      <c r="G802" s="461"/>
      <c r="H802" s="461"/>
      <c r="I802" s="463"/>
      <c r="J802" s="463"/>
      <c r="K802" s="461"/>
      <c r="L802" s="461"/>
      <c r="M802" s="461"/>
      <c r="N802" s="461"/>
      <c r="O802" s="461"/>
      <c r="P802" s="461"/>
      <c r="Q802" s="461"/>
      <c r="R802" s="461"/>
      <c r="S802" s="461"/>
      <c r="T802" s="461"/>
      <c r="U802" s="461"/>
      <c r="V802" s="461"/>
      <c r="W802" s="461"/>
      <c r="X802" s="461"/>
      <c r="Y802" s="461"/>
    </row>
    <row r="803" spans="1:25" ht="20.25" x14ac:dyDescent="0.4">
      <c r="A803" s="461"/>
      <c r="B803" s="461"/>
      <c r="C803" s="461"/>
      <c r="D803" s="461"/>
      <c r="E803" s="461"/>
      <c r="F803" s="461"/>
      <c r="G803" s="461"/>
      <c r="H803" s="461"/>
      <c r="I803" s="463"/>
      <c r="J803" s="463"/>
      <c r="K803" s="461"/>
      <c r="L803" s="461"/>
      <c r="M803" s="461"/>
      <c r="N803" s="461"/>
      <c r="O803" s="461"/>
      <c r="P803" s="461"/>
      <c r="Q803" s="461"/>
      <c r="R803" s="461"/>
      <c r="S803" s="461"/>
      <c r="T803" s="461"/>
      <c r="U803" s="461"/>
      <c r="V803" s="461"/>
      <c r="W803" s="461"/>
      <c r="X803" s="461"/>
      <c r="Y803" s="461"/>
    </row>
    <row r="804" spans="1:25" ht="20.25" x14ac:dyDescent="0.4">
      <c r="A804" s="461"/>
      <c r="B804" s="461"/>
      <c r="C804" s="461"/>
      <c r="D804" s="461"/>
      <c r="E804" s="461"/>
      <c r="F804" s="461"/>
      <c r="G804" s="461"/>
      <c r="H804" s="461"/>
      <c r="I804" s="463"/>
      <c r="J804" s="463"/>
      <c r="K804" s="461"/>
      <c r="L804" s="461"/>
      <c r="M804" s="461"/>
      <c r="N804" s="461"/>
      <c r="O804" s="461"/>
      <c r="P804" s="461"/>
      <c r="Q804" s="461"/>
      <c r="R804" s="461"/>
      <c r="S804" s="461"/>
      <c r="T804" s="461"/>
      <c r="U804" s="461"/>
      <c r="V804" s="461"/>
      <c r="W804" s="461"/>
      <c r="X804" s="461"/>
      <c r="Y804" s="461"/>
    </row>
    <row r="805" spans="1:25" ht="20.25" x14ac:dyDescent="0.4">
      <c r="A805" s="461"/>
      <c r="B805" s="461"/>
      <c r="C805" s="461"/>
      <c r="D805" s="461"/>
      <c r="E805" s="461"/>
      <c r="F805" s="461"/>
      <c r="G805" s="461"/>
      <c r="H805" s="461"/>
      <c r="I805" s="463"/>
      <c r="J805" s="463"/>
      <c r="K805" s="461"/>
      <c r="L805" s="461"/>
      <c r="M805" s="461"/>
      <c r="N805" s="461"/>
      <c r="O805" s="461"/>
      <c r="P805" s="461"/>
      <c r="Q805" s="461"/>
      <c r="R805" s="461"/>
      <c r="S805" s="461"/>
      <c r="T805" s="461"/>
      <c r="U805" s="461"/>
      <c r="V805" s="461"/>
      <c r="W805" s="461"/>
      <c r="X805" s="461"/>
      <c r="Y805" s="461"/>
    </row>
    <row r="806" spans="1:25" ht="20.25" x14ac:dyDescent="0.4">
      <c r="A806" s="461"/>
      <c r="B806" s="461"/>
      <c r="C806" s="461"/>
      <c r="D806" s="461"/>
      <c r="E806" s="461"/>
      <c r="F806" s="461"/>
      <c r="G806" s="461"/>
      <c r="H806" s="461"/>
      <c r="I806" s="463"/>
      <c r="J806" s="463"/>
      <c r="K806" s="461"/>
      <c r="L806" s="461"/>
      <c r="M806" s="461"/>
      <c r="N806" s="461"/>
      <c r="O806" s="461"/>
      <c r="P806" s="461"/>
      <c r="Q806" s="461"/>
      <c r="R806" s="461"/>
      <c r="S806" s="461"/>
      <c r="T806" s="461"/>
      <c r="U806" s="461"/>
      <c r="V806" s="461"/>
      <c r="W806" s="461"/>
      <c r="X806" s="461"/>
      <c r="Y806" s="461"/>
    </row>
    <row r="807" spans="1:25" ht="20.25" x14ac:dyDescent="0.4">
      <c r="A807" s="461"/>
      <c r="B807" s="461"/>
      <c r="C807" s="461"/>
      <c r="D807" s="461"/>
      <c r="E807" s="461"/>
      <c r="F807" s="461"/>
      <c r="G807" s="461"/>
      <c r="H807" s="461"/>
      <c r="I807" s="463"/>
      <c r="J807" s="463"/>
      <c r="K807" s="461"/>
      <c r="L807" s="461"/>
      <c r="M807" s="461"/>
      <c r="N807" s="461"/>
      <c r="O807" s="461"/>
      <c r="P807" s="461"/>
      <c r="Q807" s="461"/>
      <c r="R807" s="461"/>
      <c r="S807" s="461"/>
      <c r="T807" s="461"/>
      <c r="U807" s="461"/>
      <c r="V807" s="461"/>
      <c r="W807" s="461"/>
      <c r="X807" s="461"/>
      <c r="Y807" s="461"/>
    </row>
    <row r="808" spans="1:25" ht="20.25" x14ac:dyDescent="0.4">
      <c r="A808" s="461"/>
      <c r="B808" s="461"/>
      <c r="C808" s="461"/>
      <c r="D808" s="461"/>
      <c r="E808" s="461"/>
      <c r="F808" s="461"/>
      <c r="G808" s="461"/>
      <c r="H808" s="461"/>
      <c r="I808" s="463"/>
      <c r="J808" s="463"/>
      <c r="K808" s="461"/>
      <c r="L808" s="461"/>
      <c r="M808" s="461"/>
      <c r="N808" s="461"/>
      <c r="O808" s="461"/>
      <c r="P808" s="461"/>
      <c r="Q808" s="461"/>
      <c r="R808" s="461"/>
      <c r="S808" s="461"/>
      <c r="T808" s="461"/>
      <c r="U808" s="461"/>
      <c r="V808" s="461"/>
      <c r="W808" s="461"/>
      <c r="X808" s="461"/>
      <c r="Y808" s="461"/>
    </row>
    <row r="809" spans="1:25" ht="20.25" x14ac:dyDescent="0.4">
      <c r="A809" s="461"/>
      <c r="B809" s="461"/>
      <c r="C809" s="461"/>
      <c r="D809" s="461"/>
      <c r="E809" s="461"/>
      <c r="F809" s="461"/>
      <c r="G809" s="461"/>
      <c r="H809" s="461"/>
      <c r="I809" s="463"/>
      <c r="J809" s="463"/>
      <c r="K809" s="461"/>
      <c r="L809" s="461"/>
      <c r="M809" s="461"/>
      <c r="N809" s="461"/>
      <c r="O809" s="461"/>
      <c r="P809" s="461"/>
      <c r="Q809" s="461"/>
      <c r="R809" s="461"/>
      <c r="S809" s="461"/>
      <c r="T809" s="461"/>
      <c r="U809" s="461"/>
      <c r="V809" s="461"/>
      <c r="W809" s="461"/>
      <c r="X809" s="461"/>
      <c r="Y809" s="461"/>
    </row>
    <row r="810" spans="1:25" ht="20.25" x14ac:dyDescent="0.4">
      <c r="A810" s="461"/>
      <c r="B810" s="461"/>
      <c r="C810" s="461"/>
      <c r="D810" s="461"/>
      <c r="E810" s="461"/>
      <c r="F810" s="461"/>
      <c r="G810" s="461"/>
      <c r="H810" s="461"/>
      <c r="I810" s="463"/>
      <c r="J810" s="463"/>
      <c r="K810" s="461"/>
      <c r="L810" s="461"/>
      <c r="M810" s="461"/>
      <c r="N810" s="461"/>
      <c r="O810" s="461"/>
      <c r="P810" s="461"/>
      <c r="Q810" s="461"/>
      <c r="R810" s="461"/>
      <c r="S810" s="461"/>
      <c r="T810" s="461"/>
      <c r="U810" s="461"/>
      <c r="V810" s="461"/>
      <c r="W810" s="461"/>
      <c r="X810" s="461"/>
      <c r="Y810" s="461"/>
    </row>
    <row r="811" spans="1:25" ht="20.25" x14ac:dyDescent="0.4">
      <c r="A811" s="461"/>
      <c r="B811" s="461"/>
      <c r="C811" s="461"/>
      <c r="D811" s="461"/>
      <c r="E811" s="461"/>
      <c r="F811" s="461"/>
      <c r="G811" s="461"/>
      <c r="H811" s="461"/>
      <c r="I811" s="463"/>
      <c r="J811" s="463"/>
      <c r="K811" s="461"/>
      <c r="L811" s="461"/>
      <c r="M811" s="461"/>
      <c r="N811" s="461"/>
      <c r="O811" s="461"/>
      <c r="P811" s="461"/>
      <c r="Q811" s="461"/>
      <c r="R811" s="461"/>
      <c r="S811" s="461"/>
      <c r="T811" s="461"/>
      <c r="U811" s="461"/>
      <c r="V811" s="461"/>
      <c r="W811" s="461"/>
      <c r="X811" s="461"/>
      <c r="Y811" s="461"/>
    </row>
    <row r="812" spans="1:25" ht="20.25" x14ac:dyDescent="0.4">
      <c r="A812" s="461"/>
      <c r="B812" s="461"/>
      <c r="C812" s="461"/>
      <c r="D812" s="461"/>
      <c r="E812" s="461"/>
      <c r="F812" s="461"/>
      <c r="G812" s="461"/>
      <c r="H812" s="461"/>
      <c r="I812" s="463"/>
      <c r="J812" s="463"/>
      <c r="K812" s="461"/>
      <c r="L812" s="461"/>
      <c r="M812" s="461"/>
      <c r="N812" s="461"/>
      <c r="O812" s="461"/>
      <c r="P812" s="461"/>
      <c r="Q812" s="461"/>
      <c r="R812" s="461"/>
      <c r="S812" s="461"/>
      <c r="T812" s="461"/>
      <c r="U812" s="461"/>
      <c r="V812" s="461"/>
      <c r="W812" s="461"/>
      <c r="X812" s="461"/>
      <c r="Y812" s="461"/>
    </row>
    <row r="813" spans="1:25" ht="20.25" x14ac:dyDescent="0.4">
      <c r="A813" s="461"/>
      <c r="B813" s="461"/>
      <c r="C813" s="461"/>
      <c r="D813" s="461"/>
      <c r="E813" s="461"/>
      <c r="F813" s="461"/>
      <c r="G813" s="461"/>
      <c r="H813" s="461"/>
      <c r="I813" s="463"/>
      <c r="J813" s="463"/>
      <c r="K813" s="461"/>
      <c r="L813" s="461"/>
      <c r="M813" s="461"/>
      <c r="N813" s="461"/>
      <c r="O813" s="461"/>
      <c r="P813" s="461"/>
      <c r="Q813" s="461"/>
      <c r="R813" s="461"/>
      <c r="S813" s="461"/>
      <c r="T813" s="461"/>
      <c r="U813" s="461"/>
      <c r="V813" s="461"/>
      <c r="W813" s="461"/>
      <c r="X813" s="461"/>
      <c r="Y813" s="461"/>
    </row>
    <row r="814" spans="1:25" ht="20.25" x14ac:dyDescent="0.4">
      <c r="A814" s="461"/>
      <c r="B814" s="461"/>
      <c r="C814" s="461"/>
      <c r="D814" s="461"/>
      <c r="E814" s="461"/>
      <c r="F814" s="461"/>
      <c r="G814" s="461"/>
      <c r="H814" s="461"/>
      <c r="I814" s="463"/>
      <c r="J814" s="463"/>
      <c r="K814" s="461"/>
      <c r="L814" s="461"/>
      <c r="M814" s="461"/>
      <c r="N814" s="461"/>
      <c r="O814" s="461"/>
      <c r="P814" s="461"/>
      <c r="Q814" s="461"/>
      <c r="R814" s="461"/>
      <c r="S814" s="461"/>
      <c r="T814" s="461"/>
      <c r="U814" s="461"/>
      <c r="V814" s="461"/>
      <c r="W814" s="461"/>
      <c r="X814" s="461"/>
      <c r="Y814" s="461"/>
    </row>
    <row r="815" spans="1:25" ht="20.25" x14ac:dyDescent="0.4">
      <c r="A815" s="461"/>
      <c r="B815" s="461"/>
      <c r="C815" s="461"/>
      <c r="D815" s="461"/>
      <c r="E815" s="461"/>
      <c r="F815" s="461"/>
      <c r="G815" s="461"/>
      <c r="H815" s="461"/>
      <c r="I815" s="463"/>
      <c r="J815" s="463"/>
      <c r="K815" s="461"/>
      <c r="L815" s="461"/>
      <c r="M815" s="461"/>
      <c r="N815" s="461"/>
      <c r="O815" s="461"/>
      <c r="P815" s="461"/>
      <c r="Q815" s="461"/>
      <c r="R815" s="461"/>
      <c r="S815" s="461"/>
      <c r="T815" s="461"/>
      <c r="U815" s="461"/>
      <c r="V815" s="461"/>
      <c r="W815" s="461"/>
      <c r="X815" s="461"/>
      <c r="Y815" s="461"/>
    </row>
    <row r="816" spans="1:25" ht="20.25" x14ac:dyDescent="0.4">
      <c r="A816" s="461"/>
      <c r="B816" s="461"/>
      <c r="C816" s="461"/>
      <c r="D816" s="461"/>
      <c r="E816" s="461"/>
      <c r="F816" s="461"/>
      <c r="G816" s="461"/>
      <c r="H816" s="461"/>
      <c r="I816" s="463"/>
      <c r="J816" s="463"/>
      <c r="K816" s="461"/>
      <c r="L816" s="461"/>
      <c r="M816" s="461"/>
      <c r="N816" s="461"/>
      <c r="O816" s="461"/>
      <c r="P816" s="461"/>
      <c r="Q816" s="461"/>
      <c r="R816" s="461"/>
      <c r="S816" s="461"/>
      <c r="T816" s="461"/>
      <c r="U816" s="461"/>
      <c r="V816" s="461"/>
      <c r="W816" s="461"/>
      <c r="X816" s="461"/>
      <c r="Y816" s="461"/>
    </row>
    <row r="817" spans="1:25" ht="20.25" x14ac:dyDescent="0.4">
      <c r="A817" s="461"/>
      <c r="B817" s="461"/>
      <c r="C817" s="461"/>
      <c r="D817" s="461"/>
      <c r="E817" s="461"/>
      <c r="F817" s="461"/>
      <c r="G817" s="461"/>
      <c r="H817" s="461"/>
      <c r="I817" s="463"/>
      <c r="J817" s="463"/>
      <c r="K817" s="461"/>
      <c r="L817" s="461"/>
      <c r="M817" s="461"/>
      <c r="N817" s="461"/>
      <c r="O817" s="461"/>
      <c r="P817" s="461"/>
      <c r="Q817" s="461"/>
      <c r="R817" s="461"/>
      <c r="S817" s="461"/>
      <c r="T817" s="461"/>
      <c r="U817" s="461"/>
      <c r="V817" s="461"/>
      <c r="W817" s="461"/>
      <c r="X817" s="461"/>
      <c r="Y817" s="461"/>
    </row>
    <row r="818" spans="1:25" ht="20.25" x14ac:dyDescent="0.4">
      <c r="A818" s="461"/>
      <c r="B818" s="461"/>
      <c r="C818" s="461"/>
      <c r="D818" s="461"/>
      <c r="E818" s="461"/>
      <c r="F818" s="461"/>
      <c r="G818" s="461"/>
      <c r="H818" s="461"/>
      <c r="I818" s="463"/>
      <c r="J818" s="463"/>
      <c r="K818" s="461"/>
      <c r="L818" s="461"/>
      <c r="M818" s="461"/>
      <c r="N818" s="461"/>
      <c r="O818" s="461"/>
      <c r="P818" s="461"/>
      <c r="Q818" s="461"/>
      <c r="R818" s="461"/>
      <c r="S818" s="461"/>
      <c r="T818" s="461"/>
      <c r="U818" s="461"/>
      <c r="V818" s="461"/>
      <c r="W818" s="461"/>
      <c r="X818" s="461"/>
      <c r="Y818" s="461"/>
    </row>
    <row r="819" spans="1:25" ht="20.25" x14ac:dyDescent="0.4">
      <c r="A819" s="461"/>
      <c r="B819" s="461"/>
      <c r="C819" s="461"/>
      <c r="D819" s="461"/>
      <c r="E819" s="461"/>
      <c r="F819" s="461"/>
      <c r="G819" s="461"/>
      <c r="H819" s="461"/>
      <c r="I819" s="463"/>
      <c r="J819" s="463"/>
      <c r="K819" s="461"/>
      <c r="L819" s="461"/>
      <c r="M819" s="461"/>
      <c r="N819" s="461"/>
      <c r="O819" s="461"/>
      <c r="P819" s="461"/>
      <c r="Q819" s="461"/>
      <c r="R819" s="461"/>
      <c r="S819" s="461"/>
      <c r="T819" s="461"/>
      <c r="U819" s="461"/>
      <c r="V819" s="461"/>
      <c r="W819" s="461"/>
      <c r="X819" s="461"/>
      <c r="Y819" s="461"/>
    </row>
    <row r="820" spans="1:25" ht="20.25" x14ac:dyDescent="0.4">
      <c r="A820" s="461"/>
      <c r="B820" s="461"/>
      <c r="C820" s="461"/>
      <c r="D820" s="461"/>
      <c r="E820" s="461"/>
      <c r="F820" s="461"/>
      <c r="G820" s="461"/>
      <c r="H820" s="461"/>
      <c r="I820" s="463"/>
      <c r="J820" s="463"/>
      <c r="K820" s="461"/>
      <c r="L820" s="461"/>
      <c r="M820" s="461"/>
      <c r="N820" s="461"/>
      <c r="O820" s="461"/>
      <c r="P820" s="461"/>
      <c r="Q820" s="461"/>
      <c r="R820" s="461"/>
      <c r="S820" s="461"/>
      <c r="T820" s="461"/>
      <c r="U820" s="461"/>
      <c r="V820" s="461"/>
      <c r="W820" s="461"/>
      <c r="X820" s="461"/>
      <c r="Y820" s="461"/>
    </row>
    <row r="821" spans="1:25" ht="20.25" x14ac:dyDescent="0.4">
      <c r="A821" s="461"/>
      <c r="B821" s="461"/>
      <c r="C821" s="461"/>
      <c r="D821" s="461"/>
      <c r="E821" s="461"/>
      <c r="F821" s="461"/>
      <c r="G821" s="461"/>
      <c r="H821" s="461"/>
      <c r="I821" s="463"/>
      <c r="J821" s="463"/>
      <c r="K821" s="461"/>
      <c r="L821" s="461"/>
      <c r="M821" s="461"/>
      <c r="N821" s="461"/>
      <c r="O821" s="461"/>
      <c r="P821" s="461"/>
      <c r="Q821" s="461"/>
      <c r="R821" s="461"/>
      <c r="S821" s="461"/>
      <c r="T821" s="461"/>
      <c r="U821" s="461"/>
      <c r="V821" s="461"/>
      <c r="W821" s="461"/>
      <c r="X821" s="461"/>
      <c r="Y821" s="461"/>
    </row>
    <row r="822" spans="1:25" ht="20.25" x14ac:dyDescent="0.4">
      <c r="A822" s="461"/>
      <c r="B822" s="461"/>
      <c r="C822" s="461"/>
      <c r="D822" s="461"/>
      <c r="E822" s="461"/>
      <c r="F822" s="461"/>
      <c r="G822" s="461"/>
      <c r="H822" s="461"/>
      <c r="I822" s="463"/>
      <c r="J822" s="463"/>
      <c r="K822" s="461"/>
      <c r="L822" s="461"/>
      <c r="M822" s="461"/>
      <c r="N822" s="461"/>
      <c r="O822" s="461"/>
      <c r="P822" s="461"/>
      <c r="Q822" s="461"/>
      <c r="R822" s="461"/>
      <c r="S822" s="461"/>
      <c r="T822" s="461"/>
      <c r="U822" s="461"/>
      <c r="V822" s="461"/>
      <c r="W822" s="461"/>
      <c r="X822" s="461"/>
      <c r="Y822" s="461"/>
    </row>
    <row r="823" spans="1:25" ht="20.25" x14ac:dyDescent="0.4">
      <c r="A823" s="461"/>
      <c r="B823" s="461"/>
      <c r="C823" s="461"/>
      <c r="D823" s="461"/>
      <c r="E823" s="461"/>
      <c r="F823" s="461"/>
      <c r="G823" s="461"/>
      <c r="H823" s="461"/>
      <c r="I823" s="463"/>
      <c r="J823" s="463"/>
      <c r="K823" s="461"/>
      <c r="L823" s="461"/>
      <c r="M823" s="461"/>
      <c r="N823" s="461"/>
      <c r="O823" s="461"/>
      <c r="P823" s="461"/>
      <c r="Q823" s="461"/>
      <c r="R823" s="461"/>
      <c r="S823" s="461"/>
      <c r="T823" s="461"/>
      <c r="U823" s="461"/>
      <c r="V823" s="461"/>
      <c r="W823" s="461"/>
      <c r="X823" s="461"/>
      <c r="Y823" s="461"/>
    </row>
    <row r="824" spans="1:25" ht="20.25" x14ac:dyDescent="0.4">
      <c r="A824" s="461"/>
      <c r="B824" s="461"/>
      <c r="C824" s="461"/>
      <c r="D824" s="461"/>
      <c r="E824" s="461"/>
      <c r="F824" s="461"/>
      <c r="G824" s="461"/>
      <c r="H824" s="461"/>
      <c r="I824" s="463"/>
      <c r="J824" s="463"/>
      <c r="K824" s="461"/>
      <c r="L824" s="461"/>
      <c r="M824" s="461"/>
      <c r="N824" s="461"/>
      <c r="O824" s="461"/>
      <c r="P824" s="461"/>
      <c r="Q824" s="461"/>
      <c r="R824" s="461"/>
      <c r="S824" s="461"/>
      <c r="T824" s="461"/>
      <c r="U824" s="461"/>
      <c r="V824" s="461"/>
      <c r="W824" s="461"/>
      <c r="X824" s="461"/>
      <c r="Y824" s="461"/>
    </row>
    <row r="825" spans="1:25" ht="20.25" x14ac:dyDescent="0.4">
      <c r="A825" s="461"/>
      <c r="B825" s="461"/>
      <c r="C825" s="461"/>
      <c r="D825" s="461"/>
      <c r="E825" s="461"/>
      <c r="F825" s="461"/>
      <c r="G825" s="461"/>
      <c r="H825" s="461"/>
      <c r="I825" s="463"/>
      <c r="J825" s="463"/>
      <c r="K825" s="461"/>
      <c r="L825" s="461"/>
      <c r="M825" s="461"/>
      <c r="N825" s="461"/>
      <c r="O825" s="461"/>
      <c r="P825" s="461"/>
      <c r="Q825" s="461"/>
      <c r="R825" s="461"/>
      <c r="S825" s="461"/>
      <c r="T825" s="461"/>
      <c r="U825" s="461"/>
      <c r="V825" s="461"/>
      <c r="W825" s="461"/>
      <c r="X825" s="461"/>
      <c r="Y825" s="461"/>
    </row>
    <row r="826" spans="1:25" ht="20.25" x14ac:dyDescent="0.4">
      <c r="A826" s="461"/>
      <c r="B826" s="461"/>
      <c r="C826" s="461"/>
      <c r="D826" s="461"/>
      <c r="E826" s="461"/>
      <c r="F826" s="461"/>
      <c r="G826" s="461"/>
      <c r="H826" s="461"/>
      <c r="I826" s="463"/>
      <c r="J826" s="463"/>
      <c r="K826" s="461"/>
      <c r="L826" s="461"/>
      <c r="M826" s="461"/>
      <c r="N826" s="461"/>
      <c r="O826" s="461"/>
      <c r="P826" s="461"/>
      <c r="Q826" s="461"/>
      <c r="R826" s="461"/>
      <c r="S826" s="461"/>
      <c r="T826" s="461"/>
      <c r="U826" s="461"/>
      <c r="V826" s="461"/>
      <c r="W826" s="461"/>
      <c r="X826" s="461"/>
      <c r="Y826" s="461"/>
    </row>
    <row r="827" spans="1:25" ht="20.25" x14ac:dyDescent="0.4">
      <c r="A827" s="461"/>
      <c r="B827" s="461"/>
      <c r="C827" s="461"/>
      <c r="D827" s="461"/>
      <c r="E827" s="461"/>
      <c r="F827" s="461"/>
      <c r="G827" s="461"/>
      <c r="H827" s="461"/>
      <c r="I827" s="463"/>
      <c r="J827" s="463"/>
      <c r="K827" s="461"/>
      <c r="L827" s="461"/>
      <c r="M827" s="461"/>
      <c r="N827" s="461"/>
      <c r="O827" s="461"/>
      <c r="P827" s="461"/>
      <c r="Q827" s="461"/>
      <c r="R827" s="461"/>
      <c r="S827" s="461"/>
      <c r="T827" s="461"/>
      <c r="U827" s="461"/>
      <c r="V827" s="461"/>
      <c r="W827" s="461"/>
      <c r="X827" s="461"/>
      <c r="Y827" s="461"/>
    </row>
    <row r="828" spans="1:25" ht="20.25" x14ac:dyDescent="0.4">
      <c r="A828" s="461"/>
      <c r="B828" s="461"/>
      <c r="C828" s="461"/>
      <c r="D828" s="461"/>
      <c r="E828" s="461"/>
      <c r="F828" s="461"/>
      <c r="G828" s="461"/>
      <c r="H828" s="461"/>
      <c r="I828" s="463"/>
      <c r="J828" s="463"/>
      <c r="K828" s="461"/>
      <c r="L828" s="461"/>
      <c r="M828" s="461"/>
      <c r="N828" s="461"/>
      <c r="O828" s="461"/>
      <c r="P828" s="461"/>
      <c r="Q828" s="461"/>
      <c r="R828" s="461"/>
      <c r="S828" s="461"/>
      <c r="T828" s="461"/>
      <c r="U828" s="461"/>
      <c r="V828" s="461"/>
      <c r="W828" s="461"/>
      <c r="X828" s="461"/>
      <c r="Y828" s="461"/>
    </row>
    <row r="829" spans="1:25" ht="20.25" x14ac:dyDescent="0.4">
      <c r="A829" s="461"/>
      <c r="B829" s="461"/>
      <c r="C829" s="461"/>
      <c r="D829" s="461"/>
      <c r="E829" s="461"/>
      <c r="F829" s="461"/>
      <c r="G829" s="461"/>
      <c r="H829" s="461"/>
      <c r="I829" s="463"/>
      <c r="J829" s="463"/>
      <c r="K829" s="461"/>
      <c r="L829" s="461"/>
      <c r="M829" s="461"/>
      <c r="N829" s="461"/>
      <c r="O829" s="461"/>
      <c r="P829" s="461"/>
      <c r="Q829" s="461"/>
      <c r="R829" s="461"/>
      <c r="S829" s="461"/>
      <c r="T829" s="461"/>
      <c r="U829" s="461"/>
      <c r="V829" s="461"/>
      <c r="W829" s="461"/>
      <c r="X829" s="461"/>
      <c r="Y829" s="461"/>
    </row>
    <row r="830" spans="1:25" ht="20.25" x14ac:dyDescent="0.4">
      <c r="A830" s="461"/>
      <c r="B830" s="461"/>
      <c r="C830" s="461"/>
      <c r="D830" s="461"/>
      <c r="E830" s="461"/>
      <c r="F830" s="461"/>
      <c r="G830" s="461"/>
      <c r="H830" s="461"/>
      <c r="I830" s="463"/>
      <c r="J830" s="463"/>
      <c r="K830" s="461"/>
      <c r="L830" s="461"/>
      <c r="M830" s="461"/>
      <c r="N830" s="461"/>
      <c r="O830" s="461"/>
      <c r="P830" s="461"/>
      <c r="Q830" s="461"/>
      <c r="R830" s="461"/>
      <c r="S830" s="461"/>
      <c r="T830" s="461"/>
      <c r="U830" s="461"/>
      <c r="V830" s="461"/>
      <c r="W830" s="461"/>
      <c r="X830" s="461"/>
      <c r="Y830" s="461"/>
    </row>
    <row r="831" spans="1:25" ht="20.25" x14ac:dyDescent="0.4">
      <c r="A831" s="461"/>
      <c r="B831" s="461"/>
      <c r="C831" s="461"/>
      <c r="D831" s="461"/>
      <c r="E831" s="461"/>
      <c r="F831" s="461"/>
      <c r="G831" s="461"/>
      <c r="H831" s="461"/>
      <c r="I831" s="463"/>
      <c r="J831" s="463"/>
      <c r="K831" s="461"/>
      <c r="L831" s="461"/>
      <c r="M831" s="461"/>
      <c r="N831" s="461"/>
      <c r="O831" s="461"/>
      <c r="P831" s="461"/>
      <c r="Q831" s="461"/>
      <c r="R831" s="461"/>
      <c r="S831" s="461"/>
      <c r="T831" s="461"/>
      <c r="U831" s="461"/>
      <c r="V831" s="461"/>
      <c r="W831" s="461"/>
      <c r="X831" s="461"/>
      <c r="Y831" s="461"/>
    </row>
    <row r="832" spans="1:25" ht="20.25" x14ac:dyDescent="0.4">
      <c r="A832" s="461"/>
      <c r="B832" s="461"/>
      <c r="C832" s="461"/>
      <c r="D832" s="461"/>
      <c r="E832" s="461"/>
      <c r="F832" s="461"/>
      <c r="G832" s="461"/>
      <c r="H832" s="461"/>
      <c r="I832" s="463"/>
      <c r="J832" s="463"/>
      <c r="K832" s="461"/>
      <c r="L832" s="461"/>
      <c r="M832" s="461"/>
      <c r="N832" s="461"/>
      <c r="O832" s="461"/>
      <c r="P832" s="461"/>
      <c r="Q832" s="461"/>
      <c r="R832" s="461"/>
      <c r="S832" s="461"/>
      <c r="T832" s="461"/>
      <c r="U832" s="461"/>
      <c r="V832" s="461"/>
      <c r="W832" s="461"/>
      <c r="X832" s="461"/>
      <c r="Y832" s="461"/>
    </row>
    <row r="833" spans="1:25" ht="20.25" x14ac:dyDescent="0.4">
      <c r="A833" s="461"/>
      <c r="B833" s="461"/>
      <c r="C833" s="461"/>
      <c r="D833" s="461"/>
      <c r="E833" s="461"/>
      <c r="F833" s="461"/>
      <c r="G833" s="461"/>
      <c r="H833" s="461"/>
      <c r="I833" s="463"/>
      <c r="J833" s="463"/>
      <c r="K833" s="461"/>
      <c r="L833" s="461"/>
      <c r="M833" s="461"/>
      <c r="N833" s="461"/>
      <c r="O833" s="461"/>
      <c r="P833" s="461"/>
      <c r="Q833" s="461"/>
      <c r="R833" s="461"/>
      <c r="S833" s="461"/>
      <c r="T833" s="461"/>
      <c r="U833" s="461"/>
      <c r="V833" s="461"/>
      <c r="W833" s="461"/>
      <c r="X833" s="461"/>
      <c r="Y833" s="461"/>
    </row>
    <row r="834" spans="1:25" ht="20.25" x14ac:dyDescent="0.4">
      <c r="A834" s="461"/>
      <c r="B834" s="461"/>
      <c r="C834" s="461"/>
      <c r="D834" s="461"/>
      <c r="E834" s="461"/>
      <c r="F834" s="461"/>
      <c r="G834" s="461"/>
      <c r="H834" s="461"/>
      <c r="I834" s="463"/>
      <c r="J834" s="463"/>
      <c r="K834" s="461"/>
      <c r="L834" s="461"/>
      <c r="M834" s="461"/>
      <c r="N834" s="461"/>
      <c r="O834" s="461"/>
      <c r="P834" s="461"/>
      <c r="Q834" s="461"/>
      <c r="R834" s="461"/>
      <c r="S834" s="461"/>
      <c r="T834" s="461"/>
      <c r="U834" s="461"/>
      <c r="V834" s="461"/>
      <c r="W834" s="461"/>
      <c r="X834" s="461"/>
      <c r="Y834" s="461"/>
    </row>
    <row r="835" spans="1:25" ht="20.25" x14ac:dyDescent="0.4">
      <c r="A835" s="461"/>
      <c r="B835" s="461"/>
      <c r="C835" s="461"/>
      <c r="D835" s="461"/>
      <c r="E835" s="461"/>
      <c r="F835" s="461"/>
      <c r="G835" s="461"/>
      <c r="H835" s="461"/>
      <c r="I835" s="463"/>
      <c r="J835" s="463"/>
      <c r="K835" s="461"/>
      <c r="L835" s="461"/>
      <c r="M835" s="461"/>
      <c r="N835" s="461"/>
      <c r="O835" s="461"/>
      <c r="P835" s="461"/>
      <c r="Q835" s="461"/>
      <c r="R835" s="461"/>
      <c r="S835" s="461"/>
      <c r="T835" s="461"/>
      <c r="U835" s="461"/>
      <c r="V835" s="461"/>
      <c r="W835" s="461"/>
      <c r="X835" s="461"/>
      <c r="Y835" s="461"/>
    </row>
    <row r="836" spans="1:25" ht="20.25" x14ac:dyDescent="0.4">
      <c r="A836" s="461"/>
      <c r="B836" s="461"/>
      <c r="C836" s="461"/>
      <c r="D836" s="461"/>
      <c r="E836" s="461"/>
      <c r="F836" s="461"/>
      <c r="G836" s="461"/>
      <c r="H836" s="461"/>
      <c r="I836" s="463"/>
      <c r="J836" s="463"/>
      <c r="K836" s="461"/>
      <c r="L836" s="461"/>
      <c r="M836" s="461"/>
      <c r="N836" s="461"/>
      <c r="O836" s="461"/>
      <c r="P836" s="461"/>
      <c r="Q836" s="461"/>
      <c r="R836" s="461"/>
      <c r="S836" s="461"/>
      <c r="T836" s="461"/>
      <c r="U836" s="461"/>
      <c r="V836" s="461"/>
      <c r="W836" s="461"/>
      <c r="X836" s="461"/>
      <c r="Y836" s="461"/>
    </row>
    <row r="837" spans="1:25" ht="20.25" x14ac:dyDescent="0.4">
      <c r="A837" s="461"/>
      <c r="B837" s="461"/>
      <c r="C837" s="461"/>
      <c r="D837" s="461"/>
      <c r="E837" s="461"/>
      <c r="F837" s="461"/>
      <c r="G837" s="461"/>
      <c r="H837" s="461"/>
      <c r="I837" s="463"/>
      <c r="J837" s="463"/>
      <c r="K837" s="461"/>
      <c r="L837" s="461"/>
      <c r="M837" s="461"/>
      <c r="N837" s="461"/>
      <c r="O837" s="461"/>
      <c r="P837" s="461"/>
      <c r="Q837" s="461"/>
      <c r="R837" s="461"/>
      <c r="S837" s="461"/>
      <c r="T837" s="461"/>
      <c r="U837" s="461"/>
      <c r="V837" s="461"/>
      <c r="W837" s="461"/>
      <c r="X837" s="461"/>
      <c r="Y837" s="461"/>
    </row>
    <row r="838" spans="1:25" ht="20.25" x14ac:dyDescent="0.4">
      <c r="A838" s="461"/>
      <c r="B838" s="461"/>
      <c r="C838" s="461"/>
      <c r="D838" s="461"/>
      <c r="E838" s="461"/>
      <c r="F838" s="461"/>
      <c r="G838" s="461"/>
      <c r="H838" s="461"/>
      <c r="I838" s="463"/>
      <c r="J838" s="463"/>
      <c r="K838" s="461"/>
      <c r="L838" s="461"/>
      <c r="M838" s="461"/>
      <c r="N838" s="461"/>
      <c r="O838" s="461"/>
      <c r="P838" s="461"/>
      <c r="Q838" s="461"/>
      <c r="R838" s="461"/>
      <c r="S838" s="461"/>
      <c r="T838" s="461"/>
      <c r="U838" s="461"/>
      <c r="V838" s="461"/>
      <c r="W838" s="461"/>
      <c r="X838" s="461"/>
      <c r="Y838" s="461"/>
    </row>
    <row r="839" spans="1:25" ht="20.25" x14ac:dyDescent="0.4">
      <c r="A839" s="461"/>
      <c r="B839" s="461"/>
      <c r="C839" s="461"/>
      <c r="D839" s="461"/>
      <c r="E839" s="461"/>
      <c r="F839" s="461"/>
      <c r="G839" s="461"/>
      <c r="H839" s="461"/>
      <c r="I839" s="463"/>
      <c r="J839" s="463"/>
      <c r="K839" s="461"/>
      <c r="L839" s="461"/>
      <c r="M839" s="461"/>
      <c r="N839" s="461"/>
      <c r="O839" s="461"/>
      <c r="P839" s="461"/>
      <c r="Q839" s="461"/>
      <c r="R839" s="461"/>
      <c r="S839" s="461"/>
      <c r="T839" s="461"/>
      <c r="U839" s="461"/>
      <c r="V839" s="461"/>
      <c r="W839" s="461"/>
      <c r="X839" s="461"/>
      <c r="Y839" s="461"/>
    </row>
    <row r="840" spans="1:25" ht="20.25" x14ac:dyDescent="0.4">
      <c r="A840" s="461"/>
      <c r="B840" s="461"/>
      <c r="C840" s="461"/>
      <c r="D840" s="461"/>
      <c r="E840" s="461"/>
      <c r="F840" s="461"/>
      <c r="G840" s="461"/>
      <c r="H840" s="461"/>
      <c r="I840" s="463"/>
      <c r="J840" s="463"/>
      <c r="K840" s="461"/>
      <c r="L840" s="461"/>
      <c r="M840" s="461"/>
      <c r="N840" s="461"/>
      <c r="O840" s="461"/>
      <c r="P840" s="461"/>
      <c r="Q840" s="461"/>
      <c r="R840" s="461"/>
      <c r="S840" s="461"/>
      <c r="T840" s="461"/>
      <c r="U840" s="461"/>
      <c r="V840" s="461"/>
      <c r="W840" s="461"/>
      <c r="X840" s="461"/>
      <c r="Y840" s="461"/>
    </row>
    <row r="841" spans="1:25" ht="20.25" x14ac:dyDescent="0.4">
      <c r="A841" s="461"/>
      <c r="B841" s="461"/>
      <c r="C841" s="461"/>
      <c r="D841" s="461"/>
      <c r="E841" s="461"/>
      <c r="F841" s="461"/>
      <c r="G841" s="461"/>
      <c r="H841" s="461"/>
      <c r="I841" s="463"/>
      <c r="J841" s="463"/>
      <c r="K841" s="461"/>
      <c r="L841" s="461"/>
      <c r="M841" s="461"/>
      <c r="N841" s="461"/>
      <c r="O841" s="461"/>
      <c r="P841" s="461"/>
      <c r="Q841" s="461"/>
      <c r="R841" s="461"/>
      <c r="S841" s="461"/>
      <c r="T841" s="461"/>
      <c r="U841" s="461"/>
      <c r="V841" s="461"/>
      <c r="W841" s="461"/>
      <c r="X841" s="461"/>
      <c r="Y841" s="461"/>
    </row>
    <row r="842" spans="1:25" ht="20.25" x14ac:dyDescent="0.4">
      <c r="A842" s="461"/>
      <c r="B842" s="461"/>
      <c r="C842" s="461"/>
      <c r="D842" s="461"/>
      <c r="E842" s="461"/>
      <c r="F842" s="461"/>
      <c r="G842" s="461"/>
      <c r="H842" s="461"/>
      <c r="I842" s="463"/>
      <c r="J842" s="463"/>
      <c r="K842" s="461"/>
      <c r="L842" s="461"/>
      <c r="M842" s="461"/>
      <c r="N842" s="461"/>
      <c r="O842" s="461"/>
      <c r="P842" s="461"/>
      <c r="Q842" s="461"/>
      <c r="R842" s="461"/>
      <c r="S842" s="461"/>
      <c r="T842" s="461"/>
      <c r="U842" s="461"/>
      <c r="V842" s="461"/>
      <c r="W842" s="461"/>
      <c r="X842" s="461"/>
      <c r="Y842" s="461"/>
    </row>
    <row r="843" spans="1:25" ht="20.25" x14ac:dyDescent="0.4">
      <c r="A843" s="461"/>
      <c r="B843" s="461"/>
      <c r="C843" s="461"/>
      <c r="D843" s="461"/>
      <c r="E843" s="461"/>
      <c r="F843" s="461"/>
      <c r="G843" s="461"/>
      <c r="H843" s="461"/>
      <c r="I843" s="463"/>
      <c r="J843" s="463"/>
      <c r="K843" s="461"/>
      <c r="L843" s="461"/>
      <c r="M843" s="461"/>
      <c r="N843" s="461"/>
      <c r="O843" s="461"/>
      <c r="P843" s="461"/>
      <c r="Q843" s="461"/>
      <c r="R843" s="461"/>
      <c r="S843" s="461"/>
      <c r="T843" s="461"/>
      <c r="U843" s="461"/>
      <c r="V843" s="461"/>
      <c r="W843" s="461"/>
      <c r="X843" s="461"/>
      <c r="Y843" s="461"/>
    </row>
    <row r="844" spans="1:25" ht="20.25" x14ac:dyDescent="0.4">
      <c r="A844" s="461"/>
      <c r="B844" s="461"/>
      <c r="C844" s="461"/>
      <c r="D844" s="461"/>
      <c r="E844" s="461"/>
      <c r="F844" s="461"/>
      <c r="G844" s="461"/>
      <c r="H844" s="461"/>
      <c r="I844" s="463"/>
      <c r="J844" s="463"/>
      <c r="K844" s="461"/>
      <c r="L844" s="461"/>
      <c r="M844" s="461"/>
      <c r="N844" s="461"/>
      <c r="O844" s="461"/>
      <c r="P844" s="461"/>
      <c r="Q844" s="461"/>
      <c r="R844" s="461"/>
      <c r="S844" s="461"/>
      <c r="T844" s="461"/>
      <c r="U844" s="461"/>
      <c r="V844" s="461"/>
      <c r="W844" s="461"/>
      <c r="X844" s="461"/>
      <c r="Y844" s="461"/>
    </row>
    <row r="845" spans="1:25" ht="20.25" x14ac:dyDescent="0.4">
      <c r="A845" s="461"/>
      <c r="B845" s="461"/>
      <c r="C845" s="461"/>
      <c r="D845" s="461"/>
      <c r="E845" s="461"/>
      <c r="F845" s="461"/>
      <c r="G845" s="461"/>
      <c r="H845" s="461"/>
      <c r="I845" s="463"/>
      <c r="J845" s="463"/>
      <c r="K845" s="461"/>
      <c r="L845" s="461"/>
      <c r="M845" s="461"/>
      <c r="N845" s="461"/>
      <c r="O845" s="461"/>
      <c r="P845" s="461"/>
      <c r="Q845" s="461"/>
      <c r="R845" s="461"/>
      <c r="S845" s="461"/>
      <c r="T845" s="461"/>
      <c r="U845" s="461"/>
      <c r="V845" s="461"/>
      <c r="W845" s="461"/>
      <c r="X845" s="461"/>
      <c r="Y845" s="461"/>
    </row>
    <row r="846" spans="1:25" ht="20.25" x14ac:dyDescent="0.4">
      <c r="A846" s="461"/>
      <c r="B846" s="461"/>
      <c r="C846" s="461"/>
      <c r="D846" s="461"/>
      <c r="E846" s="461"/>
      <c r="F846" s="461"/>
      <c r="G846" s="461"/>
      <c r="H846" s="461"/>
      <c r="I846" s="463"/>
      <c r="J846" s="463"/>
      <c r="K846" s="461"/>
      <c r="L846" s="461"/>
      <c r="M846" s="461"/>
      <c r="N846" s="461"/>
      <c r="O846" s="461"/>
      <c r="P846" s="461"/>
      <c r="Q846" s="461"/>
      <c r="R846" s="461"/>
      <c r="S846" s="461"/>
      <c r="T846" s="461"/>
      <c r="U846" s="461"/>
      <c r="V846" s="461"/>
      <c r="W846" s="461"/>
      <c r="X846" s="461"/>
      <c r="Y846" s="461"/>
    </row>
    <row r="847" spans="1:25" ht="20.25" x14ac:dyDescent="0.4">
      <c r="A847" s="461"/>
      <c r="B847" s="461"/>
      <c r="C847" s="461"/>
      <c r="D847" s="461"/>
      <c r="E847" s="461"/>
      <c r="F847" s="461"/>
      <c r="G847" s="461"/>
      <c r="H847" s="461"/>
      <c r="I847" s="463"/>
      <c r="J847" s="463"/>
      <c r="K847" s="461"/>
      <c r="L847" s="461"/>
      <c r="M847" s="461"/>
      <c r="N847" s="461"/>
      <c r="O847" s="461"/>
      <c r="P847" s="461"/>
      <c r="Q847" s="461"/>
      <c r="R847" s="461"/>
      <c r="S847" s="461"/>
      <c r="T847" s="461"/>
      <c r="U847" s="461"/>
      <c r="V847" s="461"/>
      <c r="W847" s="461"/>
      <c r="X847" s="461"/>
      <c r="Y847" s="461"/>
    </row>
    <row r="848" spans="1:25" ht="20.25" x14ac:dyDescent="0.4">
      <c r="A848" s="461"/>
      <c r="B848" s="461"/>
      <c r="C848" s="461"/>
      <c r="D848" s="461"/>
      <c r="E848" s="461"/>
      <c r="F848" s="461"/>
      <c r="G848" s="461"/>
      <c r="H848" s="461"/>
      <c r="I848" s="463"/>
      <c r="J848" s="463"/>
      <c r="K848" s="461"/>
      <c r="L848" s="461"/>
      <c r="M848" s="461"/>
      <c r="N848" s="461"/>
      <c r="O848" s="461"/>
      <c r="P848" s="461"/>
      <c r="Q848" s="461"/>
      <c r="R848" s="461"/>
      <c r="S848" s="461"/>
      <c r="T848" s="461"/>
      <c r="U848" s="461"/>
      <c r="V848" s="461"/>
      <c r="W848" s="461"/>
      <c r="X848" s="461"/>
      <c r="Y848" s="461"/>
    </row>
    <row r="849" spans="1:25" ht="20.25" x14ac:dyDescent="0.4">
      <c r="A849" s="461"/>
      <c r="B849" s="461"/>
      <c r="C849" s="461"/>
      <c r="D849" s="461"/>
      <c r="E849" s="461"/>
      <c r="F849" s="461"/>
      <c r="G849" s="461"/>
      <c r="H849" s="461"/>
      <c r="I849" s="463"/>
      <c r="J849" s="463"/>
      <c r="K849" s="461"/>
      <c r="L849" s="461"/>
      <c r="M849" s="461"/>
      <c r="N849" s="461"/>
      <c r="O849" s="461"/>
      <c r="P849" s="461"/>
      <c r="Q849" s="461"/>
      <c r="R849" s="461"/>
      <c r="S849" s="461"/>
      <c r="T849" s="461"/>
      <c r="U849" s="461"/>
      <c r="V849" s="461"/>
      <c r="W849" s="461"/>
      <c r="X849" s="461"/>
      <c r="Y849" s="461"/>
    </row>
    <row r="850" spans="1:25" ht="20.25" x14ac:dyDescent="0.4">
      <c r="A850" s="461"/>
      <c r="B850" s="461"/>
      <c r="C850" s="461"/>
      <c r="D850" s="461"/>
      <c r="E850" s="461"/>
      <c r="F850" s="461"/>
      <c r="G850" s="461"/>
      <c r="H850" s="461"/>
      <c r="I850" s="463"/>
      <c r="J850" s="463"/>
      <c r="K850" s="461"/>
      <c r="L850" s="461"/>
      <c r="M850" s="461"/>
      <c r="N850" s="461"/>
      <c r="O850" s="461"/>
      <c r="P850" s="461"/>
      <c r="Q850" s="461"/>
      <c r="R850" s="461"/>
      <c r="S850" s="461"/>
      <c r="T850" s="461"/>
      <c r="U850" s="461"/>
      <c r="V850" s="461"/>
      <c r="W850" s="461"/>
      <c r="X850" s="461"/>
      <c r="Y850" s="461"/>
    </row>
    <row r="851" spans="1:25" ht="20.25" x14ac:dyDescent="0.4">
      <c r="A851" s="461"/>
      <c r="B851" s="461"/>
      <c r="C851" s="461"/>
      <c r="D851" s="461"/>
      <c r="E851" s="461"/>
      <c r="F851" s="461"/>
      <c r="G851" s="461"/>
      <c r="H851" s="461"/>
      <c r="I851" s="463"/>
      <c r="J851" s="463"/>
      <c r="K851" s="461"/>
      <c r="L851" s="461"/>
      <c r="M851" s="461"/>
      <c r="N851" s="461"/>
      <c r="O851" s="461"/>
      <c r="P851" s="461"/>
      <c r="Q851" s="461"/>
      <c r="R851" s="461"/>
      <c r="S851" s="461"/>
      <c r="T851" s="461"/>
      <c r="U851" s="461"/>
      <c r="V851" s="461"/>
      <c r="W851" s="461"/>
      <c r="X851" s="461"/>
      <c r="Y851" s="461"/>
    </row>
    <row r="852" spans="1:25" ht="20.25" x14ac:dyDescent="0.4">
      <c r="A852" s="461"/>
      <c r="B852" s="461"/>
      <c r="C852" s="461"/>
      <c r="D852" s="461"/>
      <c r="E852" s="461"/>
      <c r="F852" s="461"/>
      <c r="G852" s="461"/>
      <c r="H852" s="461"/>
      <c r="I852" s="463"/>
      <c r="J852" s="463"/>
      <c r="K852" s="461"/>
      <c r="L852" s="461"/>
      <c r="M852" s="461"/>
      <c r="N852" s="461"/>
      <c r="O852" s="461"/>
      <c r="P852" s="461"/>
      <c r="Q852" s="461"/>
      <c r="R852" s="461"/>
      <c r="S852" s="461"/>
      <c r="T852" s="461"/>
      <c r="U852" s="461"/>
      <c r="V852" s="461"/>
      <c r="W852" s="461"/>
      <c r="X852" s="461"/>
      <c r="Y852" s="461"/>
    </row>
    <row r="853" spans="1:25" ht="20.25" x14ac:dyDescent="0.4">
      <c r="A853" s="461"/>
      <c r="B853" s="461"/>
      <c r="C853" s="461"/>
      <c r="D853" s="461"/>
      <c r="E853" s="461"/>
      <c r="F853" s="461"/>
      <c r="G853" s="461"/>
      <c r="H853" s="461"/>
      <c r="I853" s="463"/>
      <c r="J853" s="463"/>
      <c r="K853" s="461"/>
      <c r="L853" s="461"/>
      <c r="M853" s="461"/>
      <c r="N853" s="461"/>
      <c r="O853" s="461"/>
      <c r="P853" s="461"/>
      <c r="Q853" s="461"/>
      <c r="R853" s="461"/>
      <c r="S853" s="461"/>
      <c r="T853" s="461"/>
      <c r="U853" s="461"/>
      <c r="V853" s="461"/>
      <c r="W853" s="461"/>
      <c r="X853" s="461"/>
      <c r="Y853" s="461"/>
    </row>
    <row r="854" spans="1:25" ht="20.25" x14ac:dyDescent="0.4">
      <c r="A854" s="461"/>
      <c r="B854" s="461"/>
      <c r="C854" s="461"/>
      <c r="D854" s="461"/>
      <c r="E854" s="461"/>
      <c r="F854" s="461"/>
      <c r="G854" s="461"/>
      <c r="H854" s="461"/>
      <c r="I854" s="463"/>
      <c r="J854" s="463"/>
      <c r="K854" s="461"/>
      <c r="L854" s="461"/>
      <c r="M854" s="461"/>
      <c r="N854" s="461"/>
      <c r="O854" s="461"/>
      <c r="P854" s="461"/>
      <c r="Q854" s="461"/>
      <c r="R854" s="461"/>
      <c r="S854" s="461"/>
      <c r="T854" s="461"/>
      <c r="U854" s="461"/>
      <c r="V854" s="461"/>
      <c r="W854" s="461"/>
      <c r="X854" s="461"/>
      <c r="Y854" s="461"/>
    </row>
    <row r="855" spans="1:25" ht="20.25" x14ac:dyDescent="0.4">
      <c r="A855" s="461"/>
      <c r="B855" s="461"/>
      <c r="C855" s="461"/>
      <c r="D855" s="461"/>
      <c r="E855" s="461"/>
      <c r="F855" s="461"/>
      <c r="G855" s="461"/>
      <c r="H855" s="461"/>
      <c r="I855" s="463"/>
      <c r="J855" s="463"/>
      <c r="K855" s="461"/>
      <c r="L855" s="461"/>
      <c r="M855" s="461"/>
      <c r="N855" s="461"/>
      <c r="O855" s="461"/>
      <c r="P855" s="461"/>
      <c r="Q855" s="461"/>
      <c r="R855" s="461"/>
      <c r="S855" s="461"/>
      <c r="T855" s="461"/>
      <c r="U855" s="461"/>
      <c r="V855" s="461"/>
      <c r="W855" s="461"/>
      <c r="X855" s="461"/>
      <c r="Y855" s="461"/>
    </row>
    <row r="856" spans="1:25" ht="20.25" x14ac:dyDescent="0.4">
      <c r="A856" s="461"/>
      <c r="B856" s="461"/>
      <c r="C856" s="461"/>
      <c r="D856" s="461"/>
      <c r="E856" s="461"/>
      <c r="F856" s="461"/>
      <c r="G856" s="461"/>
      <c r="H856" s="461"/>
      <c r="I856" s="463"/>
      <c r="J856" s="463"/>
      <c r="K856" s="461"/>
      <c r="L856" s="461"/>
      <c r="M856" s="461"/>
      <c r="N856" s="461"/>
      <c r="O856" s="461"/>
      <c r="P856" s="461"/>
      <c r="Q856" s="461"/>
      <c r="R856" s="461"/>
      <c r="S856" s="461"/>
      <c r="T856" s="461"/>
      <c r="U856" s="461"/>
      <c r="V856" s="461"/>
      <c r="W856" s="461"/>
      <c r="X856" s="461"/>
      <c r="Y856" s="461"/>
    </row>
    <row r="857" spans="1:25" ht="20.25" x14ac:dyDescent="0.4">
      <c r="A857" s="461"/>
      <c r="B857" s="461"/>
      <c r="C857" s="461"/>
      <c r="D857" s="461"/>
      <c r="E857" s="461"/>
      <c r="F857" s="461"/>
      <c r="G857" s="461"/>
      <c r="H857" s="461"/>
      <c r="I857" s="463"/>
      <c r="J857" s="463"/>
      <c r="K857" s="461"/>
      <c r="L857" s="461"/>
      <c r="M857" s="461"/>
      <c r="N857" s="461"/>
      <c r="O857" s="461"/>
      <c r="P857" s="461"/>
      <c r="Q857" s="461"/>
      <c r="R857" s="461"/>
      <c r="S857" s="461"/>
      <c r="T857" s="461"/>
      <c r="U857" s="461"/>
      <c r="V857" s="461"/>
      <c r="W857" s="461"/>
      <c r="X857" s="461"/>
      <c r="Y857" s="461"/>
    </row>
    <row r="858" spans="1:25" ht="20.25" x14ac:dyDescent="0.4">
      <c r="A858" s="461"/>
      <c r="B858" s="461"/>
      <c r="C858" s="461"/>
      <c r="D858" s="461"/>
      <c r="E858" s="461"/>
      <c r="F858" s="461"/>
      <c r="G858" s="461"/>
      <c r="H858" s="461"/>
      <c r="I858" s="463"/>
      <c r="J858" s="463"/>
      <c r="K858" s="461"/>
      <c r="L858" s="461"/>
      <c r="M858" s="461"/>
      <c r="N858" s="461"/>
      <c r="O858" s="461"/>
      <c r="P858" s="461"/>
      <c r="Q858" s="461"/>
      <c r="R858" s="461"/>
      <c r="S858" s="461"/>
      <c r="T858" s="461"/>
      <c r="U858" s="461"/>
      <c r="V858" s="461"/>
      <c r="W858" s="461"/>
      <c r="X858" s="461"/>
      <c r="Y858" s="461"/>
    </row>
    <row r="859" spans="1:25" ht="20.25" x14ac:dyDescent="0.4">
      <c r="A859" s="461"/>
      <c r="B859" s="461"/>
      <c r="C859" s="461"/>
      <c r="D859" s="461"/>
      <c r="E859" s="461"/>
      <c r="F859" s="461"/>
      <c r="G859" s="461"/>
      <c r="H859" s="461"/>
      <c r="I859" s="463"/>
      <c r="J859" s="463"/>
      <c r="K859" s="461"/>
      <c r="L859" s="461"/>
      <c r="M859" s="461"/>
      <c r="N859" s="461"/>
      <c r="O859" s="461"/>
      <c r="P859" s="461"/>
      <c r="Q859" s="461"/>
      <c r="R859" s="461"/>
      <c r="S859" s="461"/>
      <c r="T859" s="461"/>
      <c r="U859" s="461"/>
      <c r="V859" s="461"/>
      <c r="W859" s="461"/>
      <c r="X859" s="461"/>
      <c r="Y859" s="461"/>
    </row>
    <row r="860" spans="1:25" ht="20.25" x14ac:dyDescent="0.4">
      <c r="A860" s="461"/>
      <c r="B860" s="461"/>
      <c r="C860" s="461"/>
      <c r="D860" s="461"/>
      <c r="E860" s="461"/>
      <c r="F860" s="461"/>
      <c r="G860" s="461"/>
      <c r="H860" s="461"/>
      <c r="I860" s="463"/>
      <c r="J860" s="463"/>
      <c r="K860" s="461"/>
      <c r="L860" s="461"/>
      <c r="M860" s="461"/>
      <c r="N860" s="461"/>
      <c r="O860" s="461"/>
      <c r="P860" s="461"/>
      <c r="Q860" s="461"/>
      <c r="R860" s="461"/>
      <c r="S860" s="461"/>
      <c r="T860" s="461"/>
      <c r="U860" s="461"/>
      <c r="V860" s="461"/>
      <c r="W860" s="461"/>
      <c r="X860" s="461"/>
      <c r="Y860" s="461"/>
    </row>
    <row r="861" spans="1:25" ht="20.25" x14ac:dyDescent="0.4">
      <c r="A861" s="461"/>
      <c r="B861" s="461"/>
      <c r="C861" s="461"/>
      <c r="D861" s="461"/>
      <c r="E861" s="461"/>
      <c r="F861" s="461"/>
      <c r="G861" s="461"/>
      <c r="H861" s="461"/>
      <c r="I861" s="463"/>
      <c r="J861" s="463"/>
      <c r="K861" s="461"/>
      <c r="L861" s="461"/>
      <c r="M861" s="461"/>
      <c r="N861" s="461"/>
      <c r="O861" s="461"/>
      <c r="P861" s="461"/>
      <c r="Q861" s="461"/>
      <c r="R861" s="461"/>
      <c r="S861" s="461"/>
      <c r="T861" s="461"/>
      <c r="U861" s="461"/>
      <c r="V861" s="461"/>
      <c r="W861" s="461"/>
      <c r="X861" s="461"/>
      <c r="Y861" s="461"/>
    </row>
    <row r="862" spans="1:25" ht="20.25" x14ac:dyDescent="0.4">
      <c r="A862" s="461"/>
      <c r="B862" s="461"/>
      <c r="C862" s="461"/>
      <c r="D862" s="461"/>
      <c r="E862" s="461"/>
      <c r="F862" s="461"/>
      <c r="G862" s="461"/>
      <c r="H862" s="461"/>
      <c r="I862" s="463"/>
      <c r="J862" s="463"/>
      <c r="K862" s="461"/>
      <c r="L862" s="461"/>
      <c r="M862" s="461"/>
      <c r="N862" s="461"/>
      <c r="O862" s="461"/>
      <c r="P862" s="461"/>
      <c r="Q862" s="461"/>
      <c r="R862" s="461"/>
      <c r="S862" s="461"/>
      <c r="T862" s="461"/>
      <c r="U862" s="461"/>
      <c r="V862" s="461"/>
      <c r="W862" s="461"/>
      <c r="X862" s="461"/>
      <c r="Y862" s="461"/>
    </row>
    <row r="863" spans="1:25" ht="20.25" x14ac:dyDescent="0.4">
      <c r="A863" s="461"/>
      <c r="B863" s="461"/>
      <c r="C863" s="461"/>
      <c r="D863" s="461"/>
      <c r="E863" s="461"/>
      <c r="F863" s="461"/>
      <c r="G863" s="461"/>
      <c r="H863" s="461"/>
      <c r="I863" s="463"/>
      <c r="J863" s="463"/>
      <c r="K863" s="461"/>
      <c r="L863" s="461"/>
      <c r="M863" s="461"/>
      <c r="N863" s="461"/>
      <c r="O863" s="461"/>
      <c r="P863" s="461"/>
      <c r="Q863" s="461"/>
      <c r="R863" s="461"/>
      <c r="S863" s="461"/>
      <c r="T863" s="461"/>
      <c r="U863" s="461"/>
      <c r="V863" s="461"/>
      <c r="W863" s="461"/>
      <c r="X863" s="461"/>
      <c r="Y863" s="461"/>
    </row>
    <row r="864" spans="1:25" ht="20.25" x14ac:dyDescent="0.4">
      <c r="A864" s="461"/>
      <c r="B864" s="461"/>
      <c r="C864" s="461"/>
      <c r="D864" s="461"/>
      <c r="E864" s="461"/>
      <c r="F864" s="461"/>
      <c r="G864" s="461"/>
      <c r="H864" s="461"/>
      <c r="I864" s="463"/>
      <c r="J864" s="463"/>
      <c r="K864" s="461"/>
      <c r="L864" s="461"/>
      <c r="M864" s="461"/>
      <c r="N864" s="461"/>
      <c r="O864" s="461"/>
      <c r="P864" s="461"/>
      <c r="Q864" s="461"/>
      <c r="R864" s="461"/>
      <c r="S864" s="461"/>
      <c r="T864" s="461"/>
      <c r="U864" s="461"/>
      <c r="V864" s="461"/>
      <c r="W864" s="461"/>
      <c r="X864" s="461"/>
      <c r="Y864" s="461"/>
    </row>
    <row r="865" spans="1:25" ht="20.25" x14ac:dyDescent="0.4">
      <c r="A865" s="461"/>
      <c r="B865" s="461"/>
      <c r="C865" s="461"/>
      <c r="D865" s="461"/>
      <c r="E865" s="461"/>
      <c r="F865" s="461"/>
      <c r="G865" s="461"/>
      <c r="H865" s="461"/>
      <c r="I865" s="463"/>
      <c r="J865" s="463"/>
      <c r="K865" s="461"/>
      <c r="L865" s="461"/>
      <c r="M865" s="461"/>
      <c r="N865" s="461"/>
      <c r="O865" s="461"/>
      <c r="P865" s="461"/>
      <c r="Q865" s="461"/>
      <c r="R865" s="461"/>
      <c r="S865" s="461"/>
      <c r="T865" s="461"/>
      <c r="U865" s="461"/>
      <c r="V865" s="461"/>
      <c r="W865" s="461"/>
      <c r="X865" s="461"/>
      <c r="Y865" s="461"/>
    </row>
    <row r="866" spans="1:25" ht="20.25" x14ac:dyDescent="0.4">
      <c r="A866" s="461"/>
      <c r="B866" s="461"/>
      <c r="C866" s="461"/>
      <c r="D866" s="461"/>
      <c r="E866" s="461"/>
      <c r="F866" s="461"/>
      <c r="G866" s="461"/>
      <c r="H866" s="461"/>
      <c r="I866" s="463"/>
      <c r="J866" s="463"/>
      <c r="K866" s="461"/>
      <c r="L866" s="461"/>
      <c r="M866" s="461"/>
      <c r="N866" s="461"/>
      <c r="O866" s="461"/>
      <c r="P866" s="461"/>
      <c r="Q866" s="461"/>
      <c r="R866" s="461"/>
      <c r="S866" s="461"/>
      <c r="T866" s="461"/>
      <c r="U866" s="461"/>
      <c r="V866" s="461"/>
      <c r="W866" s="461"/>
      <c r="X866" s="461"/>
      <c r="Y866" s="461"/>
    </row>
    <row r="867" spans="1:25" ht="20.25" x14ac:dyDescent="0.4">
      <c r="A867" s="461"/>
      <c r="B867" s="461"/>
      <c r="C867" s="461"/>
      <c r="D867" s="461"/>
      <c r="E867" s="461"/>
      <c r="F867" s="461"/>
      <c r="G867" s="461"/>
      <c r="H867" s="461"/>
      <c r="I867" s="463"/>
      <c r="J867" s="463"/>
      <c r="K867" s="461"/>
      <c r="L867" s="461"/>
      <c r="M867" s="461"/>
      <c r="N867" s="461"/>
      <c r="O867" s="461"/>
      <c r="P867" s="461"/>
      <c r="Q867" s="461"/>
      <c r="R867" s="461"/>
      <c r="S867" s="461"/>
      <c r="T867" s="461"/>
      <c r="U867" s="461"/>
      <c r="V867" s="461"/>
      <c r="W867" s="461"/>
      <c r="X867" s="461"/>
      <c r="Y867" s="461"/>
    </row>
    <row r="868" spans="1:25" ht="20.25" x14ac:dyDescent="0.4">
      <c r="A868" s="461"/>
      <c r="B868" s="461"/>
      <c r="C868" s="461"/>
      <c r="D868" s="461"/>
      <c r="E868" s="461"/>
      <c r="F868" s="461"/>
      <c r="G868" s="461"/>
      <c r="H868" s="461"/>
      <c r="I868" s="463"/>
      <c r="J868" s="463"/>
      <c r="K868" s="461"/>
      <c r="L868" s="461"/>
      <c r="M868" s="461"/>
      <c r="N868" s="461"/>
      <c r="O868" s="461"/>
      <c r="P868" s="461"/>
      <c r="Q868" s="461"/>
      <c r="R868" s="461"/>
      <c r="S868" s="461"/>
      <c r="T868" s="461"/>
      <c r="U868" s="461"/>
      <c r="V868" s="461"/>
      <c r="W868" s="461"/>
      <c r="X868" s="461"/>
      <c r="Y868" s="461"/>
    </row>
    <row r="869" spans="1:25" ht="20.25" x14ac:dyDescent="0.4">
      <c r="A869" s="461"/>
      <c r="B869" s="461"/>
      <c r="C869" s="461"/>
      <c r="D869" s="461"/>
      <c r="E869" s="461"/>
      <c r="F869" s="461"/>
      <c r="G869" s="461"/>
      <c r="H869" s="461"/>
      <c r="I869" s="463"/>
      <c r="J869" s="463"/>
      <c r="K869" s="461"/>
      <c r="L869" s="461"/>
      <c r="M869" s="461"/>
      <c r="N869" s="461"/>
      <c r="O869" s="461"/>
      <c r="P869" s="461"/>
      <c r="Q869" s="461"/>
      <c r="R869" s="461"/>
      <c r="S869" s="461"/>
      <c r="T869" s="461"/>
      <c r="U869" s="461"/>
      <c r="V869" s="461"/>
      <c r="W869" s="461"/>
      <c r="X869" s="461"/>
      <c r="Y869" s="461"/>
    </row>
    <row r="870" spans="1:25" ht="20.25" x14ac:dyDescent="0.4">
      <c r="A870" s="461"/>
      <c r="B870" s="461"/>
      <c r="C870" s="461"/>
      <c r="D870" s="461"/>
      <c r="E870" s="461"/>
      <c r="F870" s="461"/>
      <c r="G870" s="461"/>
      <c r="H870" s="461"/>
      <c r="I870" s="463"/>
      <c r="J870" s="463"/>
      <c r="K870" s="461"/>
      <c r="L870" s="461"/>
      <c r="M870" s="461"/>
      <c r="N870" s="461"/>
      <c r="O870" s="461"/>
      <c r="P870" s="461"/>
      <c r="Q870" s="461"/>
      <c r="R870" s="461"/>
      <c r="S870" s="461"/>
      <c r="T870" s="461"/>
      <c r="U870" s="461"/>
      <c r="V870" s="461"/>
      <c r="W870" s="461"/>
      <c r="X870" s="461"/>
      <c r="Y870" s="461"/>
    </row>
    <row r="871" spans="1:25" ht="20.25" x14ac:dyDescent="0.4">
      <c r="A871" s="461"/>
      <c r="B871" s="461"/>
      <c r="C871" s="461"/>
      <c r="D871" s="461"/>
      <c r="E871" s="461"/>
      <c r="F871" s="461"/>
      <c r="G871" s="461"/>
      <c r="H871" s="461"/>
      <c r="I871" s="463"/>
      <c r="J871" s="463"/>
      <c r="K871" s="461"/>
      <c r="L871" s="461"/>
      <c r="M871" s="461"/>
      <c r="N871" s="461"/>
      <c r="O871" s="461"/>
      <c r="P871" s="461"/>
      <c r="Q871" s="461"/>
      <c r="R871" s="461"/>
      <c r="S871" s="461"/>
      <c r="T871" s="461"/>
      <c r="U871" s="461"/>
      <c r="V871" s="461"/>
      <c r="W871" s="461"/>
      <c r="X871" s="461"/>
      <c r="Y871" s="461"/>
    </row>
    <row r="872" spans="1:25" ht="20.25" x14ac:dyDescent="0.4">
      <c r="A872" s="461"/>
      <c r="B872" s="461"/>
      <c r="C872" s="461"/>
      <c r="D872" s="461"/>
      <c r="E872" s="461"/>
      <c r="F872" s="461"/>
      <c r="G872" s="461"/>
      <c r="H872" s="461"/>
      <c r="I872" s="463"/>
      <c r="J872" s="463"/>
      <c r="K872" s="461"/>
      <c r="L872" s="461"/>
      <c r="M872" s="461"/>
      <c r="N872" s="461"/>
      <c r="O872" s="461"/>
      <c r="P872" s="461"/>
      <c r="Q872" s="461"/>
      <c r="R872" s="461"/>
      <c r="S872" s="461"/>
      <c r="T872" s="461"/>
      <c r="U872" s="461"/>
      <c r="V872" s="461"/>
      <c r="W872" s="461"/>
      <c r="X872" s="461"/>
      <c r="Y872" s="461"/>
    </row>
    <row r="873" spans="1:25" ht="20.25" x14ac:dyDescent="0.4">
      <c r="A873" s="461"/>
      <c r="B873" s="461"/>
      <c r="C873" s="461"/>
      <c r="D873" s="461"/>
      <c r="E873" s="461"/>
      <c r="F873" s="461"/>
      <c r="G873" s="461"/>
      <c r="H873" s="461"/>
      <c r="I873" s="463"/>
      <c r="J873" s="463"/>
      <c r="K873" s="461"/>
      <c r="L873" s="461"/>
      <c r="M873" s="461"/>
      <c r="N873" s="461"/>
      <c r="O873" s="461"/>
      <c r="P873" s="461"/>
      <c r="Q873" s="461"/>
      <c r="R873" s="461"/>
      <c r="S873" s="461"/>
      <c r="T873" s="461"/>
      <c r="U873" s="461"/>
      <c r="V873" s="461"/>
      <c r="W873" s="461"/>
      <c r="X873" s="461"/>
      <c r="Y873" s="461"/>
    </row>
    <row r="874" spans="1:25" ht="20.25" x14ac:dyDescent="0.4">
      <c r="A874" s="461"/>
      <c r="B874" s="461"/>
      <c r="C874" s="461"/>
      <c r="D874" s="461"/>
      <c r="E874" s="461"/>
      <c r="F874" s="461"/>
      <c r="G874" s="461"/>
      <c r="H874" s="461"/>
      <c r="I874" s="463"/>
      <c r="J874" s="463"/>
      <c r="K874" s="461"/>
      <c r="L874" s="461"/>
      <c r="M874" s="461"/>
      <c r="N874" s="461"/>
      <c r="O874" s="461"/>
      <c r="P874" s="461"/>
      <c r="Q874" s="461"/>
      <c r="R874" s="461"/>
      <c r="S874" s="461"/>
      <c r="T874" s="461"/>
      <c r="U874" s="461"/>
      <c r="V874" s="461"/>
      <c r="W874" s="461"/>
      <c r="X874" s="461"/>
      <c r="Y874" s="461"/>
    </row>
    <row r="875" spans="1:25" ht="20.25" x14ac:dyDescent="0.4">
      <c r="A875" s="461"/>
      <c r="B875" s="461"/>
      <c r="C875" s="461"/>
      <c r="D875" s="461"/>
      <c r="E875" s="461"/>
      <c r="F875" s="461"/>
      <c r="G875" s="461"/>
      <c r="H875" s="461"/>
      <c r="I875" s="463"/>
      <c r="J875" s="463"/>
      <c r="K875" s="461"/>
      <c r="L875" s="461"/>
      <c r="M875" s="461"/>
      <c r="N875" s="461"/>
      <c r="O875" s="461"/>
      <c r="P875" s="461"/>
      <c r="Q875" s="461"/>
      <c r="R875" s="461"/>
      <c r="S875" s="461"/>
      <c r="T875" s="461"/>
      <c r="U875" s="461"/>
      <c r="V875" s="461"/>
      <c r="W875" s="461"/>
      <c r="X875" s="461"/>
      <c r="Y875" s="461"/>
    </row>
    <row r="876" spans="1:25" ht="20.25" x14ac:dyDescent="0.4">
      <c r="A876" s="461"/>
      <c r="B876" s="461"/>
      <c r="C876" s="461"/>
      <c r="D876" s="461"/>
      <c r="E876" s="461"/>
      <c r="F876" s="461"/>
      <c r="G876" s="461"/>
      <c r="H876" s="461"/>
      <c r="I876" s="463"/>
      <c r="J876" s="463"/>
      <c r="K876" s="461"/>
      <c r="L876" s="461"/>
      <c r="M876" s="461"/>
      <c r="N876" s="461"/>
      <c r="O876" s="461"/>
      <c r="P876" s="461"/>
      <c r="Q876" s="461"/>
      <c r="R876" s="461"/>
      <c r="S876" s="461"/>
      <c r="T876" s="461"/>
      <c r="U876" s="461"/>
      <c r="V876" s="461"/>
      <c r="W876" s="461"/>
      <c r="X876" s="461"/>
      <c r="Y876" s="461"/>
    </row>
    <row r="877" spans="1:25" ht="20.25" x14ac:dyDescent="0.4">
      <c r="A877" s="461"/>
      <c r="B877" s="461"/>
      <c r="C877" s="461"/>
      <c r="D877" s="461"/>
      <c r="E877" s="461"/>
      <c r="F877" s="461"/>
      <c r="G877" s="461"/>
      <c r="H877" s="461"/>
      <c r="I877" s="463"/>
      <c r="J877" s="463"/>
      <c r="K877" s="461"/>
      <c r="L877" s="461"/>
      <c r="M877" s="461"/>
      <c r="N877" s="461"/>
      <c r="O877" s="461"/>
      <c r="P877" s="461"/>
      <c r="Q877" s="461"/>
      <c r="R877" s="461"/>
      <c r="S877" s="461"/>
      <c r="T877" s="461"/>
      <c r="U877" s="461"/>
      <c r="V877" s="461"/>
      <c r="W877" s="461"/>
      <c r="X877" s="461"/>
      <c r="Y877" s="461"/>
    </row>
    <row r="878" spans="1:25" ht="20.25" x14ac:dyDescent="0.4">
      <c r="A878" s="461"/>
      <c r="B878" s="461"/>
      <c r="C878" s="461"/>
      <c r="D878" s="461"/>
      <c r="E878" s="461"/>
      <c r="F878" s="461"/>
      <c r="G878" s="461"/>
      <c r="H878" s="461"/>
      <c r="I878" s="463"/>
      <c r="J878" s="463"/>
      <c r="K878" s="461"/>
      <c r="L878" s="461"/>
      <c r="M878" s="461"/>
      <c r="N878" s="461"/>
      <c r="O878" s="461"/>
      <c r="P878" s="461"/>
      <c r="Q878" s="461"/>
      <c r="R878" s="461"/>
      <c r="S878" s="461"/>
      <c r="T878" s="461"/>
      <c r="U878" s="461"/>
      <c r="V878" s="461"/>
      <c r="W878" s="461"/>
      <c r="X878" s="461"/>
      <c r="Y878" s="461"/>
    </row>
    <row r="879" spans="1:25" ht="20.25" x14ac:dyDescent="0.4">
      <c r="A879" s="461"/>
      <c r="B879" s="461"/>
      <c r="C879" s="461"/>
      <c r="D879" s="461"/>
      <c r="E879" s="461"/>
      <c r="F879" s="461"/>
      <c r="G879" s="461"/>
      <c r="H879" s="461"/>
      <c r="I879" s="463"/>
      <c r="J879" s="463"/>
      <c r="K879" s="461"/>
      <c r="L879" s="461"/>
      <c r="M879" s="461"/>
      <c r="N879" s="461"/>
      <c r="O879" s="461"/>
      <c r="P879" s="461"/>
      <c r="Q879" s="461"/>
      <c r="R879" s="461"/>
      <c r="S879" s="461"/>
      <c r="T879" s="461"/>
      <c r="U879" s="461"/>
      <c r="V879" s="461"/>
      <c r="W879" s="461"/>
      <c r="X879" s="461"/>
      <c r="Y879" s="461"/>
    </row>
    <row r="880" spans="1:25" ht="20.25" x14ac:dyDescent="0.4">
      <c r="A880" s="461"/>
      <c r="B880" s="461"/>
      <c r="C880" s="461"/>
      <c r="D880" s="461"/>
      <c r="E880" s="461"/>
      <c r="F880" s="461"/>
      <c r="G880" s="461"/>
      <c r="H880" s="461"/>
      <c r="I880" s="463"/>
      <c r="J880" s="463"/>
      <c r="K880" s="461"/>
      <c r="L880" s="461"/>
      <c r="M880" s="461"/>
      <c r="N880" s="461"/>
      <c r="O880" s="461"/>
      <c r="P880" s="461"/>
      <c r="Q880" s="461"/>
      <c r="R880" s="461"/>
      <c r="S880" s="461"/>
      <c r="T880" s="461"/>
      <c r="U880" s="461"/>
      <c r="V880" s="461"/>
      <c r="W880" s="461"/>
      <c r="X880" s="461"/>
      <c r="Y880" s="461"/>
    </row>
    <row r="881" spans="1:25" ht="20.25" x14ac:dyDescent="0.4">
      <c r="A881" s="461"/>
      <c r="B881" s="461"/>
      <c r="C881" s="461"/>
      <c r="D881" s="461"/>
      <c r="E881" s="461"/>
      <c r="F881" s="461"/>
      <c r="G881" s="461"/>
      <c r="H881" s="461"/>
      <c r="I881" s="463"/>
      <c r="J881" s="463"/>
      <c r="K881" s="461"/>
      <c r="L881" s="461"/>
      <c r="M881" s="461"/>
      <c r="N881" s="461"/>
      <c r="O881" s="461"/>
      <c r="P881" s="461"/>
      <c r="Q881" s="461"/>
      <c r="R881" s="461"/>
      <c r="S881" s="461"/>
      <c r="T881" s="461"/>
      <c r="U881" s="461"/>
      <c r="V881" s="461"/>
      <c r="W881" s="461"/>
      <c r="X881" s="461"/>
      <c r="Y881" s="461"/>
    </row>
    <row r="882" spans="1:25" ht="20.25" x14ac:dyDescent="0.4">
      <c r="A882" s="461"/>
      <c r="B882" s="461"/>
      <c r="C882" s="461"/>
      <c r="D882" s="461"/>
      <c r="E882" s="461"/>
      <c r="F882" s="461"/>
      <c r="G882" s="461"/>
      <c r="H882" s="461"/>
      <c r="I882" s="463"/>
      <c r="J882" s="463"/>
      <c r="K882" s="461"/>
      <c r="L882" s="461"/>
      <c r="M882" s="461"/>
      <c r="N882" s="461"/>
      <c r="O882" s="461"/>
      <c r="P882" s="461"/>
      <c r="Q882" s="461"/>
      <c r="R882" s="461"/>
      <c r="S882" s="461"/>
      <c r="T882" s="461"/>
      <c r="U882" s="461"/>
      <c r="V882" s="461"/>
      <c r="W882" s="461"/>
      <c r="X882" s="461"/>
      <c r="Y882" s="461"/>
    </row>
    <row r="883" spans="1:25" ht="20.25" x14ac:dyDescent="0.4">
      <c r="A883" s="461"/>
      <c r="B883" s="461"/>
      <c r="C883" s="461"/>
      <c r="D883" s="461"/>
      <c r="E883" s="461"/>
      <c r="F883" s="461"/>
      <c r="G883" s="461"/>
      <c r="H883" s="461"/>
      <c r="I883" s="463"/>
      <c r="J883" s="463"/>
      <c r="K883" s="461"/>
      <c r="L883" s="461"/>
      <c r="M883" s="461"/>
      <c r="N883" s="461"/>
      <c r="O883" s="461"/>
      <c r="P883" s="461"/>
      <c r="Q883" s="461"/>
      <c r="R883" s="461"/>
      <c r="S883" s="461"/>
      <c r="T883" s="461"/>
      <c r="U883" s="461"/>
      <c r="V883" s="461"/>
      <c r="W883" s="461"/>
      <c r="X883" s="461"/>
      <c r="Y883" s="461"/>
    </row>
    <row r="884" spans="1:25" ht="20.25" x14ac:dyDescent="0.4">
      <c r="A884" s="461"/>
      <c r="B884" s="461"/>
      <c r="C884" s="461"/>
      <c r="D884" s="461"/>
      <c r="E884" s="461"/>
      <c r="F884" s="461"/>
      <c r="G884" s="461"/>
      <c r="H884" s="461"/>
      <c r="I884" s="463"/>
      <c r="J884" s="463"/>
      <c r="K884" s="461"/>
      <c r="L884" s="461"/>
      <c r="M884" s="461"/>
      <c r="N884" s="461"/>
      <c r="O884" s="461"/>
      <c r="P884" s="461"/>
      <c r="Q884" s="461"/>
      <c r="R884" s="461"/>
      <c r="S884" s="461"/>
      <c r="T884" s="461"/>
      <c r="U884" s="461"/>
      <c r="V884" s="461"/>
      <c r="W884" s="461"/>
      <c r="X884" s="461"/>
      <c r="Y884" s="461"/>
    </row>
    <row r="885" spans="1:25" ht="20.25" x14ac:dyDescent="0.4">
      <c r="A885" s="461"/>
      <c r="B885" s="461"/>
      <c r="C885" s="461"/>
      <c r="D885" s="461"/>
      <c r="E885" s="461"/>
      <c r="F885" s="461"/>
      <c r="G885" s="461"/>
      <c r="H885" s="461"/>
      <c r="I885" s="463"/>
      <c r="J885" s="463"/>
      <c r="K885" s="461"/>
      <c r="L885" s="461"/>
      <c r="M885" s="461"/>
      <c r="N885" s="461"/>
      <c r="O885" s="461"/>
      <c r="P885" s="461"/>
      <c r="Q885" s="461"/>
      <c r="R885" s="461"/>
      <c r="S885" s="461"/>
      <c r="T885" s="461"/>
      <c r="U885" s="461"/>
      <c r="V885" s="461"/>
      <c r="W885" s="461"/>
      <c r="X885" s="461"/>
      <c r="Y885" s="461"/>
    </row>
    <row r="886" spans="1:25" ht="20.25" x14ac:dyDescent="0.4">
      <c r="A886" s="461"/>
      <c r="B886" s="461"/>
      <c r="C886" s="461"/>
      <c r="D886" s="461"/>
      <c r="E886" s="461"/>
      <c r="F886" s="461"/>
      <c r="G886" s="461"/>
      <c r="H886" s="461"/>
      <c r="I886" s="463"/>
      <c r="J886" s="463"/>
      <c r="K886" s="461"/>
      <c r="L886" s="461"/>
      <c r="M886" s="461"/>
      <c r="N886" s="461"/>
      <c r="O886" s="461"/>
      <c r="P886" s="461"/>
      <c r="Q886" s="461"/>
      <c r="R886" s="461"/>
      <c r="S886" s="461"/>
      <c r="T886" s="461"/>
      <c r="U886" s="461"/>
      <c r="V886" s="461"/>
      <c r="W886" s="461"/>
      <c r="X886" s="461"/>
      <c r="Y886" s="461"/>
    </row>
    <row r="887" spans="1:25" ht="20.25" x14ac:dyDescent="0.4">
      <c r="A887" s="461"/>
      <c r="B887" s="461"/>
      <c r="C887" s="461"/>
      <c r="D887" s="461"/>
      <c r="E887" s="461"/>
      <c r="F887" s="461"/>
      <c r="G887" s="461"/>
      <c r="H887" s="461"/>
      <c r="I887" s="463"/>
      <c r="J887" s="463"/>
      <c r="K887" s="461"/>
      <c r="L887" s="461"/>
      <c r="M887" s="461"/>
      <c r="N887" s="461"/>
      <c r="O887" s="461"/>
      <c r="P887" s="461"/>
      <c r="Q887" s="461"/>
      <c r="R887" s="461"/>
      <c r="S887" s="461"/>
      <c r="T887" s="461"/>
      <c r="U887" s="461"/>
      <c r="V887" s="461"/>
      <c r="W887" s="461"/>
      <c r="X887" s="461"/>
      <c r="Y887" s="461"/>
    </row>
    <row r="888" spans="1:25" ht="20.25" x14ac:dyDescent="0.4">
      <c r="A888" s="461"/>
      <c r="B888" s="461"/>
      <c r="C888" s="461"/>
      <c r="D888" s="461"/>
      <c r="E888" s="461"/>
      <c r="F888" s="461"/>
      <c r="G888" s="461"/>
      <c r="H888" s="461"/>
      <c r="I888" s="463"/>
      <c r="J888" s="463"/>
      <c r="K888" s="461"/>
      <c r="L888" s="461"/>
      <c r="M888" s="461"/>
      <c r="N888" s="461"/>
      <c r="O888" s="461"/>
      <c r="P888" s="461"/>
      <c r="Q888" s="461"/>
      <c r="R888" s="461"/>
      <c r="S888" s="461"/>
      <c r="T888" s="461"/>
      <c r="U888" s="461"/>
      <c r="V888" s="461"/>
      <c r="W888" s="461"/>
      <c r="X888" s="461"/>
      <c r="Y888" s="461"/>
    </row>
    <row r="889" spans="1:25" ht="20.25" x14ac:dyDescent="0.4">
      <c r="A889" s="461"/>
      <c r="B889" s="461"/>
      <c r="C889" s="461"/>
      <c r="D889" s="461"/>
      <c r="E889" s="461"/>
      <c r="F889" s="461"/>
      <c r="G889" s="461"/>
      <c r="H889" s="461"/>
      <c r="I889" s="463"/>
      <c r="J889" s="463"/>
      <c r="K889" s="461"/>
      <c r="L889" s="461"/>
      <c r="M889" s="461"/>
      <c r="N889" s="461"/>
      <c r="O889" s="461"/>
      <c r="P889" s="461"/>
      <c r="Q889" s="461"/>
      <c r="R889" s="461"/>
      <c r="S889" s="461"/>
      <c r="T889" s="461"/>
      <c r="U889" s="461"/>
      <c r="V889" s="461"/>
      <c r="W889" s="461"/>
      <c r="X889" s="461"/>
      <c r="Y889" s="461"/>
    </row>
    <row r="890" spans="1:25" ht="20.25" x14ac:dyDescent="0.4">
      <c r="A890" s="461"/>
      <c r="B890" s="461"/>
      <c r="C890" s="461"/>
      <c r="D890" s="461"/>
      <c r="E890" s="461"/>
      <c r="F890" s="461"/>
      <c r="G890" s="461"/>
      <c r="H890" s="461"/>
      <c r="I890" s="463"/>
      <c r="J890" s="463"/>
      <c r="K890" s="461"/>
      <c r="L890" s="461"/>
      <c r="M890" s="461"/>
      <c r="N890" s="461"/>
      <c r="O890" s="461"/>
      <c r="P890" s="461"/>
      <c r="Q890" s="461"/>
      <c r="R890" s="461"/>
      <c r="S890" s="461"/>
      <c r="T890" s="461"/>
      <c r="U890" s="461"/>
      <c r="V890" s="461"/>
      <c r="W890" s="461"/>
      <c r="X890" s="461"/>
      <c r="Y890" s="461"/>
    </row>
    <row r="891" spans="1:25" ht="20.25" x14ac:dyDescent="0.4">
      <c r="A891" s="461"/>
      <c r="B891" s="461"/>
      <c r="C891" s="461"/>
      <c r="D891" s="461"/>
      <c r="E891" s="461"/>
      <c r="F891" s="461"/>
      <c r="G891" s="461"/>
      <c r="H891" s="461"/>
      <c r="I891" s="463"/>
      <c r="J891" s="463"/>
      <c r="K891" s="461"/>
      <c r="L891" s="461"/>
      <c r="M891" s="461"/>
      <c r="N891" s="461"/>
      <c r="O891" s="461"/>
      <c r="P891" s="461"/>
      <c r="Q891" s="461"/>
      <c r="R891" s="461"/>
      <c r="S891" s="461"/>
      <c r="T891" s="461"/>
      <c r="U891" s="461"/>
      <c r="V891" s="461"/>
      <c r="W891" s="461"/>
      <c r="X891" s="461"/>
      <c r="Y891" s="461"/>
    </row>
    <row r="892" spans="1:25" ht="20.25" x14ac:dyDescent="0.4">
      <c r="A892" s="461"/>
      <c r="B892" s="461"/>
      <c r="C892" s="461"/>
      <c r="D892" s="461"/>
      <c r="E892" s="461"/>
      <c r="F892" s="461"/>
      <c r="G892" s="461"/>
      <c r="H892" s="461"/>
      <c r="I892" s="463"/>
      <c r="J892" s="463"/>
      <c r="K892" s="461"/>
      <c r="L892" s="461"/>
      <c r="M892" s="461"/>
      <c r="N892" s="461"/>
      <c r="O892" s="461"/>
      <c r="P892" s="461"/>
      <c r="Q892" s="461"/>
      <c r="R892" s="461"/>
      <c r="S892" s="461"/>
      <c r="T892" s="461"/>
      <c r="U892" s="461"/>
      <c r="V892" s="461"/>
      <c r="W892" s="461"/>
      <c r="X892" s="461"/>
      <c r="Y892" s="461"/>
    </row>
    <row r="893" spans="1:25" ht="20.25" x14ac:dyDescent="0.4">
      <c r="A893" s="461"/>
      <c r="B893" s="461"/>
      <c r="C893" s="461"/>
      <c r="D893" s="461"/>
      <c r="E893" s="461"/>
      <c r="F893" s="461"/>
      <c r="G893" s="461"/>
      <c r="H893" s="461"/>
      <c r="I893" s="463"/>
      <c r="J893" s="463"/>
      <c r="K893" s="461"/>
      <c r="L893" s="461"/>
      <c r="M893" s="461"/>
      <c r="N893" s="461"/>
      <c r="O893" s="461"/>
      <c r="P893" s="461"/>
      <c r="Q893" s="461"/>
      <c r="R893" s="461"/>
      <c r="S893" s="461"/>
      <c r="T893" s="461"/>
      <c r="U893" s="461"/>
      <c r="V893" s="461"/>
      <c r="W893" s="461"/>
      <c r="X893" s="461"/>
      <c r="Y893" s="461"/>
    </row>
    <row r="894" spans="1:25" ht="20.25" x14ac:dyDescent="0.4">
      <c r="A894" s="461"/>
      <c r="B894" s="461"/>
      <c r="C894" s="461"/>
      <c r="D894" s="461"/>
      <c r="E894" s="461"/>
      <c r="F894" s="461"/>
      <c r="G894" s="461"/>
      <c r="H894" s="461"/>
      <c r="I894" s="463"/>
      <c r="J894" s="463"/>
      <c r="K894" s="461"/>
      <c r="L894" s="461"/>
      <c r="M894" s="461"/>
      <c r="N894" s="461"/>
      <c r="O894" s="461"/>
      <c r="P894" s="461"/>
      <c r="Q894" s="461"/>
      <c r="R894" s="461"/>
      <c r="S894" s="461"/>
      <c r="T894" s="461"/>
      <c r="U894" s="461"/>
      <c r="V894" s="461"/>
      <c r="W894" s="461"/>
      <c r="X894" s="461"/>
      <c r="Y894" s="461"/>
    </row>
    <row r="895" spans="1:25" ht="20.25" x14ac:dyDescent="0.4">
      <c r="A895" s="461"/>
      <c r="B895" s="461"/>
      <c r="C895" s="461"/>
      <c r="D895" s="461"/>
      <c r="E895" s="461"/>
      <c r="F895" s="461"/>
      <c r="G895" s="461"/>
      <c r="H895" s="461"/>
      <c r="I895" s="463"/>
      <c r="J895" s="463"/>
      <c r="K895" s="461"/>
      <c r="L895" s="461"/>
      <c r="M895" s="461"/>
      <c r="N895" s="461"/>
      <c r="O895" s="461"/>
      <c r="P895" s="461"/>
      <c r="Q895" s="461"/>
      <c r="R895" s="461"/>
      <c r="S895" s="461"/>
      <c r="T895" s="461"/>
      <c r="U895" s="461"/>
      <c r="V895" s="461"/>
      <c r="W895" s="461"/>
      <c r="X895" s="461"/>
      <c r="Y895" s="461"/>
    </row>
    <row r="896" spans="1:25" ht="20.25" x14ac:dyDescent="0.4">
      <c r="A896" s="461"/>
      <c r="B896" s="461"/>
      <c r="C896" s="461"/>
      <c r="D896" s="461"/>
      <c r="E896" s="461"/>
      <c r="F896" s="461"/>
      <c r="G896" s="461"/>
      <c r="H896" s="461"/>
      <c r="I896" s="463"/>
      <c r="J896" s="463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</row>
    <row r="897" spans="1:25" ht="20.25" x14ac:dyDescent="0.4">
      <c r="A897" s="461"/>
      <c r="B897" s="461"/>
      <c r="C897" s="461"/>
      <c r="D897" s="461"/>
      <c r="E897" s="461"/>
      <c r="F897" s="461"/>
      <c r="G897" s="461"/>
      <c r="H897" s="461"/>
      <c r="I897" s="463"/>
      <c r="J897" s="463"/>
      <c r="K897" s="461"/>
      <c r="L897" s="461"/>
      <c r="M897" s="461"/>
      <c r="N897" s="461"/>
      <c r="O897" s="461"/>
      <c r="P897" s="461"/>
      <c r="Q897" s="461"/>
      <c r="R897" s="461"/>
      <c r="S897" s="461"/>
      <c r="T897" s="461"/>
      <c r="U897" s="461"/>
      <c r="V897" s="461"/>
      <c r="W897" s="461"/>
      <c r="X897" s="461"/>
      <c r="Y897" s="461"/>
    </row>
    <row r="898" spans="1:25" ht="20.25" x14ac:dyDescent="0.4">
      <c r="A898" s="461"/>
      <c r="B898" s="461"/>
      <c r="C898" s="461"/>
      <c r="D898" s="461"/>
      <c r="E898" s="461"/>
      <c r="F898" s="461"/>
      <c r="G898" s="461"/>
      <c r="H898" s="461"/>
      <c r="I898" s="463"/>
      <c r="J898" s="463"/>
      <c r="K898" s="461"/>
      <c r="L898" s="461"/>
      <c r="M898" s="461"/>
      <c r="N898" s="461"/>
      <c r="O898" s="461"/>
      <c r="P898" s="461"/>
      <c r="Q898" s="461"/>
      <c r="R898" s="461"/>
      <c r="S898" s="461"/>
      <c r="T898" s="461"/>
      <c r="U898" s="461"/>
      <c r="V898" s="461"/>
      <c r="W898" s="461"/>
      <c r="X898" s="461"/>
      <c r="Y898" s="461"/>
    </row>
    <row r="899" spans="1:25" ht="20.25" x14ac:dyDescent="0.4">
      <c r="A899" s="461"/>
      <c r="B899" s="461"/>
      <c r="C899" s="461"/>
      <c r="D899" s="461"/>
      <c r="E899" s="461"/>
      <c r="F899" s="461"/>
      <c r="G899" s="461"/>
      <c r="H899" s="461"/>
      <c r="I899" s="463"/>
      <c r="J899" s="463"/>
      <c r="K899" s="461"/>
      <c r="L899" s="461"/>
      <c r="M899" s="461"/>
      <c r="N899" s="461"/>
      <c r="O899" s="461"/>
      <c r="P899" s="461"/>
      <c r="Q899" s="461"/>
      <c r="R899" s="461"/>
      <c r="S899" s="461"/>
      <c r="T899" s="461"/>
      <c r="U899" s="461"/>
      <c r="V899" s="461"/>
      <c r="W899" s="461"/>
      <c r="X899" s="461"/>
      <c r="Y899" s="461"/>
    </row>
    <row r="900" spans="1:25" ht="20.25" x14ac:dyDescent="0.4">
      <c r="A900" s="461"/>
      <c r="B900" s="461"/>
      <c r="C900" s="461"/>
      <c r="D900" s="461"/>
      <c r="E900" s="461"/>
      <c r="F900" s="461"/>
      <c r="G900" s="461"/>
      <c r="H900" s="461"/>
      <c r="I900" s="463"/>
      <c r="J900" s="463"/>
      <c r="K900" s="461"/>
      <c r="L900" s="461"/>
      <c r="M900" s="461"/>
      <c r="N900" s="461"/>
      <c r="O900" s="461"/>
      <c r="P900" s="461"/>
      <c r="Q900" s="461"/>
      <c r="R900" s="461"/>
      <c r="S900" s="461"/>
      <c r="T900" s="461"/>
      <c r="U900" s="461"/>
      <c r="V900" s="461"/>
      <c r="W900" s="461"/>
      <c r="X900" s="461"/>
      <c r="Y900" s="461"/>
    </row>
    <row r="901" spans="1:25" ht="20.25" x14ac:dyDescent="0.4">
      <c r="A901" s="461"/>
      <c r="B901" s="461"/>
      <c r="C901" s="461"/>
      <c r="D901" s="461"/>
      <c r="E901" s="461"/>
      <c r="F901" s="461"/>
      <c r="G901" s="461"/>
      <c r="H901" s="461"/>
      <c r="I901" s="463"/>
      <c r="J901" s="463"/>
      <c r="K901" s="461"/>
      <c r="L901" s="461"/>
      <c r="M901" s="461"/>
      <c r="N901" s="461"/>
      <c r="O901" s="461"/>
      <c r="P901" s="461"/>
      <c r="Q901" s="461"/>
      <c r="R901" s="461"/>
      <c r="S901" s="461"/>
      <c r="T901" s="461"/>
      <c r="U901" s="461"/>
      <c r="V901" s="461"/>
      <c r="W901" s="461"/>
      <c r="X901" s="461"/>
      <c r="Y901" s="461"/>
    </row>
    <row r="902" spans="1:25" ht="20.25" x14ac:dyDescent="0.4">
      <c r="A902" s="461"/>
      <c r="B902" s="461"/>
      <c r="C902" s="461"/>
      <c r="D902" s="461"/>
      <c r="E902" s="461"/>
      <c r="F902" s="461"/>
      <c r="G902" s="461"/>
      <c r="H902" s="461"/>
      <c r="I902" s="463"/>
      <c r="J902" s="463"/>
      <c r="K902" s="461"/>
      <c r="L902" s="461"/>
      <c r="M902" s="461"/>
      <c r="N902" s="461"/>
      <c r="O902" s="461"/>
      <c r="P902" s="461"/>
      <c r="Q902" s="461"/>
      <c r="R902" s="461"/>
      <c r="S902" s="461"/>
      <c r="T902" s="461"/>
      <c r="U902" s="461"/>
      <c r="V902" s="461"/>
      <c r="W902" s="461"/>
      <c r="X902" s="461"/>
      <c r="Y902" s="461"/>
    </row>
    <row r="903" spans="1:25" ht="20.25" x14ac:dyDescent="0.4">
      <c r="A903" s="461"/>
      <c r="B903" s="461"/>
      <c r="C903" s="461"/>
      <c r="D903" s="461"/>
      <c r="E903" s="461"/>
      <c r="F903" s="461"/>
      <c r="G903" s="461"/>
      <c r="H903" s="461"/>
      <c r="I903" s="463"/>
      <c r="J903" s="463"/>
      <c r="K903" s="461"/>
      <c r="L903" s="461"/>
      <c r="M903" s="461"/>
      <c r="N903" s="461"/>
      <c r="O903" s="461"/>
      <c r="P903" s="461"/>
      <c r="Q903" s="461"/>
      <c r="R903" s="461"/>
      <c r="S903" s="461"/>
      <c r="T903" s="461"/>
      <c r="U903" s="461"/>
      <c r="V903" s="461"/>
      <c r="W903" s="461"/>
      <c r="X903" s="461"/>
      <c r="Y903" s="461"/>
    </row>
    <row r="904" spans="1:25" ht="20.25" x14ac:dyDescent="0.4">
      <c r="A904" s="461"/>
      <c r="B904" s="461"/>
      <c r="C904" s="461"/>
      <c r="D904" s="461"/>
      <c r="E904" s="461"/>
      <c r="F904" s="461"/>
      <c r="G904" s="461"/>
      <c r="H904" s="461"/>
      <c r="I904" s="463"/>
      <c r="J904" s="463"/>
      <c r="K904" s="461"/>
      <c r="L904" s="461"/>
      <c r="M904" s="461"/>
      <c r="N904" s="461"/>
      <c r="O904" s="461"/>
      <c r="P904" s="461"/>
      <c r="Q904" s="461"/>
      <c r="R904" s="461"/>
      <c r="S904" s="461"/>
      <c r="T904" s="461"/>
      <c r="U904" s="461"/>
      <c r="V904" s="461"/>
      <c r="W904" s="461"/>
      <c r="X904" s="461"/>
      <c r="Y904" s="461"/>
    </row>
    <row r="905" spans="1:25" ht="20.25" x14ac:dyDescent="0.4">
      <c r="A905" s="461"/>
      <c r="B905" s="461"/>
      <c r="C905" s="461"/>
      <c r="D905" s="461"/>
      <c r="E905" s="461"/>
      <c r="F905" s="461"/>
      <c r="G905" s="461"/>
      <c r="H905" s="461"/>
      <c r="I905" s="463"/>
      <c r="J905" s="463"/>
      <c r="K905" s="461"/>
      <c r="L905" s="461"/>
      <c r="M905" s="461"/>
      <c r="N905" s="461"/>
      <c r="O905" s="461"/>
      <c r="P905" s="461"/>
      <c r="Q905" s="461"/>
      <c r="R905" s="461"/>
      <c r="S905" s="461"/>
      <c r="T905" s="461"/>
      <c r="U905" s="461"/>
      <c r="V905" s="461"/>
      <c r="W905" s="461"/>
      <c r="X905" s="461"/>
      <c r="Y905" s="461"/>
    </row>
    <row r="906" spans="1:25" ht="20.25" x14ac:dyDescent="0.4">
      <c r="A906" s="461"/>
      <c r="B906" s="461"/>
      <c r="C906" s="461"/>
      <c r="D906" s="461"/>
      <c r="E906" s="461"/>
      <c r="F906" s="461"/>
      <c r="G906" s="461"/>
      <c r="H906" s="461"/>
      <c r="I906" s="463"/>
      <c r="J906" s="463"/>
      <c r="K906" s="461"/>
      <c r="L906" s="461"/>
      <c r="M906" s="461"/>
      <c r="N906" s="461"/>
      <c r="O906" s="461"/>
      <c r="P906" s="461"/>
      <c r="Q906" s="461"/>
      <c r="R906" s="461"/>
      <c r="S906" s="461"/>
      <c r="T906" s="461"/>
      <c r="U906" s="461"/>
      <c r="V906" s="461"/>
      <c r="W906" s="461"/>
      <c r="X906" s="461"/>
      <c r="Y906" s="461"/>
    </row>
    <row r="907" spans="1:25" ht="20.25" x14ac:dyDescent="0.4">
      <c r="A907" s="461"/>
      <c r="B907" s="461"/>
      <c r="C907" s="461"/>
      <c r="D907" s="461"/>
      <c r="E907" s="461"/>
      <c r="F907" s="461"/>
      <c r="G907" s="461"/>
      <c r="H907" s="461"/>
      <c r="I907" s="463"/>
      <c r="J907" s="463"/>
      <c r="K907" s="461"/>
      <c r="L907" s="461"/>
      <c r="M907" s="461"/>
      <c r="N907" s="461"/>
      <c r="O907" s="461"/>
      <c r="P907" s="461"/>
      <c r="Q907" s="461"/>
      <c r="R907" s="461"/>
      <c r="S907" s="461"/>
      <c r="T907" s="461"/>
      <c r="U907" s="461"/>
      <c r="V907" s="461"/>
      <c r="W907" s="461"/>
      <c r="X907" s="461"/>
      <c r="Y907" s="461"/>
    </row>
    <row r="908" spans="1:25" ht="20.25" x14ac:dyDescent="0.4">
      <c r="A908" s="461"/>
      <c r="B908" s="461"/>
      <c r="C908" s="461"/>
      <c r="D908" s="461"/>
      <c r="E908" s="461"/>
      <c r="F908" s="461"/>
      <c r="G908" s="461"/>
      <c r="H908" s="461"/>
      <c r="I908" s="463"/>
      <c r="J908" s="463"/>
      <c r="K908" s="461"/>
      <c r="L908" s="461"/>
      <c r="M908" s="461"/>
      <c r="N908" s="461"/>
      <c r="O908" s="461"/>
      <c r="P908" s="461"/>
      <c r="Q908" s="461"/>
      <c r="R908" s="461"/>
      <c r="S908" s="461"/>
      <c r="T908" s="461"/>
      <c r="U908" s="461"/>
      <c r="V908" s="461"/>
      <c r="W908" s="461"/>
      <c r="X908" s="461"/>
      <c r="Y908" s="461"/>
    </row>
    <row r="909" spans="1:25" ht="20.25" x14ac:dyDescent="0.4">
      <c r="A909" s="461"/>
      <c r="B909" s="461"/>
      <c r="C909" s="461"/>
      <c r="D909" s="461"/>
      <c r="E909" s="461"/>
      <c r="F909" s="461"/>
      <c r="G909" s="461"/>
      <c r="H909" s="461"/>
      <c r="I909" s="463"/>
      <c r="J909" s="463"/>
      <c r="K909" s="461"/>
      <c r="L909" s="461"/>
      <c r="M909" s="461"/>
      <c r="N909" s="461"/>
      <c r="O909" s="461"/>
      <c r="P909" s="461"/>
      <c r="Q909" s="461"/>
      <c r="R909" s="461"/>
      <c r="S909" s="461"/>
      <c r="T909" s="461"/>
      <c r="U909" s="461"/>
      <c r="V909" s="461"/>
      <c r="W909" s="461"/>
      <c r="X909" s="461"/>
      <c r="Y909" s="461"/>
    </row>
    <row r="910" spans="1:25" ht="20.25" x14ac:dyDescent="0.4">
      <c r="A910" s="461"/>
      <c r="B910" s="461"/>
      <c r="C910" s="461"/>
      <c r="D910" s="461"/>
      <c r="E910" s="461"/>
      <c r="F910" s="461"/>
      <c r="G910" s="461"/>
      <c r="H910" s="461"/>
      <c r="I910" s="463"/>
      <c r="J910" s="463"/>
      <c r="K910" s="461"/>
      <c r="L910" s="461"/>
      <c r="M910" s="461"/>
      <c r="N910" s="461"/>
      <c r="O910" s="461"/>
      <c r="P910" s="461"/>
      <c r="Q910" s="461"/>
      <c r="R910" s="461"/>
      <c r="S910" s="461"/>
      <c r="T910" s="461"/>
      <c r="U910" s="461"/>
      <c r="V910" s="461"/>
      <c r="W910" s="461"/>
      <c r="X910" s="461"/>
      <c r="Y910" s="461"/>
    </row>
    <row r="911" spans="1:25" ht="20.25" x14ac:dyDescent="0.4">
      <c r="A911" s="461"/>
      <c r="B911" s="461"/>
      <c r="C911" s="461"/>
      <c r="D911" s="461"/>
      <c r="E911" s="461"/>
      <c r="F911" s="461"/>
      <c r="G911" s="461"/>
      <c r="H911" s="461"/>
      <c r="I911" s="463"/>
      <c r="J911" s="463"/>
      <c r="K911" s="461"/>
      <c r="L911" s="461"/>
      <c r="M911" s="461"/>
      <c r="N911" s="461"/>
      <c r="O911" s="461"/>
      <c r="P911" s="461"/>
      <c r="Q911" s="461"/>
      <c r="R911" s="461"/>
      <c r="S911" s="461"/>
      <c r="T911" s="461"/>
      <c r="U911" s="461"/>
      <c r="V911" s="461"/>
      <c r="W911" s="461"/>
      <c r="X911" s="461"/>
      <c r="Y911" s="461"/>
    </row>
    <row r="912" spans="1:25" ht="20.25" x14ac:dyDescent="0.4">
      <c r="A912" s="461"/>
      <c r="B912" s="461"/>
      <c r="C912" s="461"/>
      <c r="D912" s="461"/>
      <c r="E912" s="461"/>
      <c r="F912" s="461"/>
      <c r="G912" s="461"/>
      <c r="H912" s="461"/>
      <c r="I912" s="463"/>
      <c r="J912" s="463"/>
      <c r="K912" s="461"/>
      <c r="L912" s="461"/>
      <c r="M912" s="461"/>
      <c r="N912" s="461"/>
      <c r="O912" s="461"/>
      <c r="P912" s="461"/>
      <c r="Q912" s="461"/>
      <c r="R912" s="461"/>
      <c r="S912" s="461"/>
      <c r="T912" s="461"/>
      <c r="U912" s="461"/>
      <c r="V912" s="461"/>
      <c r="W912" s="461"/>
      <c r="X912" s="461"/>
      <c r="Y912" s="461"/>
    </row>
    <row r="913" spans="1:25" ht="20.25" x14ac:dyDescent="0.4">
      <c r="A913" s="461"/>
      <c r="B913" s="461"/>
      <c r="C913" s="461"/>
      <c r="D913" s="461"/>
      <c r="E913" s="461"/>
      <c r="F913" s="461"/>
      <c r="G913" s="461"/>
      <c r="H913" s="461"/>
      <c r="I913" s="463"/>
      <c r="J913" s="463"/>
      <c r="K913" s="461"/>
      <c r="L913" s="461"/>
      <c r="M913" s="461"/>
      <c r="N913" s="461"/>
      <c r="O913" s="461"/>
      <c r="P913" s="461"/>
      <c r="Q913" s="461"/>
      <c r="R913" s="461"/>
      <c r="S913" s="461"/>
      <c r="T913" s="461"/>
      <c r="U913" s="461"/>
      <c r="V913" s="461"/>
      <c r="W913" s="461"/>
      <c r="X913" s="461"/>
      <c r="Y913" s="461"/>
    </row>
    <row r="914" spans="1:25" ht="20.25" x14ac:dyDescent="0.4">
      <c r="A914" s="461"/>
      <c r="B914" s="461"/>
      <c r="C914" s="461"/>
      <c r="D914" s="461"/>
      <c r="E914" s="461"/>
      <c r="F914" s="461"/>
      <c r="G914" s="461"/>
      <c r="H914" s="461"/>
      <c r="I914" s="463"/>
      <c r="J914" s="463"/>
      <c r="K914" s="461"/>
      <c r="L914" s="461"/>
      <c r="M914" s="461"/>
      <c r="N914" s="461"/>
      <c r="O914" s="461"/>
      <c r="P914" s="461"/>
      <c r="Q914" s="461"/>
      <c r="R914" s="461"/>
      <c r="S914" s="461"/>
      <c r="T914" s="461"/>
      <c r="U914" s="461"/>
      <c r="V914" s="461"/>
      <c r="W914" s="461"/>
      <c r="X914" s="461"/>
      <c r="Y914" s="461"/>
    </row>
    <row r="915" spans="1:25" ht="20.25" x14ac:dyDescent="0.4">
      <c r="A915" s="461"/>
      <c r="B915" s="461"/>
      <c r="C915" s="461"/>
      <c r="D915" s="461"/>
      <c r="E915" s="461"/>
      <c r="F915" s="461"/>
      <c r="G915" s="461"/>
      <c r="H915" s="461"/>
      <c r="I915" s="463"/>
      <c r="J915" s="463"/>
      <c r="K915" s="461"/>
      <c r="L915" s="461"/>
      <c r="M915" s="461"/>
      <c r="N915" s="461"/>
      <c r="O915" s="461"/>
      <c r="P915" s="461"/>
      <c r="Q915" s="461"/>
      <c r="R915" s="461"/>
      <c r="S915" s="461"/>
      <c r="T915" s="461"/>
      <c r="U915" s="461"/>
      <c r="V915" s="461"/>
      <c r="W915" s="461"/>
      <c r="X915" s="461"/>
      <c r="Y915" s="461"/>
    </row>
    <row r="916" spans="1:25" ht="20.25" x14ac:dyDescent="0.4">
      <c r="A916" s="461"/>
      <c r="B916" s="461"/>
      <c r="C916" s="461"/>
      <c r="D916" s="461"/>
      <c r="E916" s="461"/>
      <c r="F916" s="461"/>
      <c r="G916" s="461"/>
      <c r="H916" s="461"/>
      <c r="I916" s="463"/>
      <c r="J916" s="463"/>
      <c r="K916" s="461"/>
      <c r="L916" s="461"/>
      <c r="M916" s="461"/>
      <c r="N916" s="461"/>
      <c r="O916" s="461"/>
      <c r="P916" s="461"/>
      <c r="Q916" s="461"/>
      <c r="R916" s="461"/>
      <c r="S916" s="461"/>
      <c r="T916" s="461"/>
      <c r="U916" s="461"/>
      <c r="V916" s="461"/>
      <c r="W916" s="461"/>
      <c r="X916" s="461"/>
      <c r="Y916" s="461"/>
    </row>
    <row r="917" spans="1:25" ht="20.25" x14ac:dyDescent="0.4">
      <c r="A917" s="461"/>
      <c r="B917" s="461"/>
      <c r="C917" s="461"/>
      <c r="D917" s="461"/>
      <c r="E917" s="461"/>
      <c r="F917" s="461"/>
      <c r="G917" s="461"/>
      <c r="H917" s="461"/>
      <c r="I917" s="463"/>
      <c r="J917" s="463"/>
      <c r="K917" s="461"/>
      <c r="L917" s="461"/>
      <c r="M917" s="461"/>
      <c r="N917" s="461"/>
      <c r="O917" s="461"/>
      <c r="P917" s="461"/>
      <c r="Q917" s="461"/>
      <c r="R917" s="461"/>
      <c r="S917" s="461"/>
      <c r="T917" s="461"/>
      <c r="U917" s="461"/>
      <c r="V917" s="461"/>
      <c r="W917" s="461"/>
      <c r="X917" s="461"/>
      <c r="Y917" s="461"/>
    </row>
    <row r="918" spans="1:25" ht="20.25" x14ac:dyDescent="0.4">
      <c r="A918" s="461"/>
      <c r="B918" s="461"/>
      <c r="C918" s="461"/>
      <c r="D918" s="461"/>
      <c r="E918" s="461"/>
      <c r="F918" s="461"/>
      <c r="G918" s="461"/>
      <c r="H918" s="461"/>
      <c r="I918" s="463"/>
      <c r="J918" s="463"/>
      <c r="K918" s="461"/>
      <c r="L918" s="461"/>
      <c r="M918" s="461"/>
      <c r="N918" s="461"/>
      <c r="O918" s="461"/>
      <c r="P918" s="461"/>
      <c r="Q918" s="461"/>
      <c r="R918" s="461"/>
      <c r="S918" s="461"/>
      <c r="T918" s="461"/>
      <c r="U918" s="461"/>
      <c r="V918" s="461"/>
      <c r="W918" s="461"/>
      <c r="X918" s="461"/>
      <c r="Y918" s="461"/>
    </row>
    <row r="919" spans="1:25" ht="20.25" x14ac:dyDescent="0.4">
      <c r="A919" s="461"/>
      <c r="B919" s="461"/>
      <c r="C919" s="461"/>
      <c r="D919" s="461"/>
      <c r="E919" s="461"/>
      <c r="F919" s="461"/>
      <c r="G919" s="461"/>
      <c r="H919" s="461"/>
      <c r="I919" s="463"/>
      <c r="J919" s="463"/>
      <c r="K919" s="461"/>
      <c r="L919" s="461"/>
      <c r="M919" s="461"/>
      <c r="N919" s="461"/>
      <c r="O919" s="461"/>
      <c r="P919" s="461"/>
      <c r="Q919" s="461"/>
      <c r="R919" s="461"/>
      <c r="S919" s="461"/>
      <c r="T919" s="461"/>
      <c r="U919" s="461"/>
      <c r="V919" s="461"/>
      <c r="W919" s="461"/>
      <c r="X919" s="461"/>
      <c r="Y919" s="461"/>
    </row>
    <row r="920" spans="1:25" ht="20.25" x14ac:dyDescent="0.4">
      <c r="A920" s="461"/>
      <c r="B920" s="461"/>
      <c r="C920" s="461"/>
      <c r="D920" s="461"/>
      <c r="E920" s="461"/>
      <c r="F920" s="461"/>
      <c r="G920" s="461"/>
      <c r="H920" s="461"/>
      <c r="I920" s="463"/>
      <c r="J920" s="463"/>
      <c r="K920" s="461"/>
      <c r="L920" s="461"/>
      <c r="M920" s="461"/>
      <c r="N920" s="461"/>
      <c r="O920" s="461"/>
      <c r="P920" s="461"/>
      <c r="Q920" s="461"/>
      <c r="R920" s="461"/>
      <c r="S920" s="461"/>
      <c r="T920" s="461"/>
      <c r="U920" s="461"/>
      <c r="V920" s="461"/>
      <c r="W920" s="461"/>
      <c r="X920" s="461"/>
      <c r="Y920" s="461"/>
    </row>
    <row r="921" spans="1:25" ht="20.25" x14ac:dyDescent="0.4">
      <c r="A921" s="461"/>
      <c r="B921" s="461"/>
      <c r="C921" s="461"/>
      <c r="D921" s="461"/>
      <c r="E921" s="461"/>
      <c r="F921" s="461"/>
      <c r="G921" s="461"/>
      <c r="H921" s="461"/>
      <c r="I921" s="463"/>
      <c r="J921" s="463"/>
      <c r="K921" s="461"/>
      <c r="L921" s="461"/>
      <c r="M921" s="461"/>
      <c r="N921" s="461"/>
      <c r="O921" s="461"/>
      <c r="P921" s="461"/>
      <c r="Q921" s="461"/>
      <c r="R921" s="461"/>
      <c r="S921" s="461"/>
      <c r="T921" s="461"/>
      <c r="U921" s="461"/>
      <c r="V921" s="461"/>
      <c r="W921" s="461"/>
      <c r="X921" s="461"/>
      <c r="Y921" s="461"/>
    </row>
    <row r="922" spans="1:25" ht="20.25" x14ac:dyDescent="0.4">
      <c r="A922" s="461"/>
      <c r="B922" s="461"/>
      <c r="C922" s="461"/>
      <c r="D922" s="461"/>
      <c r="E922" s="461"/>
      <c r="F922" s="461"/>
      <c r="G922" s="461"/>
      <c r="H922" s="461"/>
      <c r="I922" s="463"/>
      <c r="J922" s="463"/>
      <c r="K922" s="461"/>
      <c r="L922" s="461"/>
      <c r="M922" s="461"/>
      <c r="N922" s="461"/>
      <c r="O922" s="461"/>
      <c r="P922" s="461"/>
      <c r="Q922" s="461"/>
      <c r="R922" s="461"/>
      <c r="S922" s="461"/>
      <c r="T922" s="461"/>
      <c r="U922" s="461"/>
      <c r="V922" s="461"/>
      <c r="W922" s="461"/>
      <c r="X922" s="461"/>
      <c r="Y922" s="461"/>
    </row>
    <row r="923" spans="1:25" ht="20.25" x14ac:dyDescent="0.4">
      <c r="A923" s="461"/>
      <c r="B923" s="461"/>
      <c r="C923" s="461"/>
      <c r="D923" s="461"/>
      <c r="E923" s="461"/>
      <c r="F923" s="461"/>
      <c r="G923" s="461"/>
      <c r="H923" s="461"/>
      <c r="I923" s="463"/>
      <c r="J923" s="463"/>
      <c r="K923" s="461"/>
      <c r="L923" s="461"/>
      <c r="M923" s="461"/>
      <c r="N923" s="461"/>
      <c r="O923" s="461"/>
      <c r="P923" s="461"/>
      <c r="Q923" s="461"/>
      <c r="R923" s="461"/>
      <c r="S923" s="461"/>
      <c r="T923" s="461"/>
      <c r="U923" s="461"/>
      <c r="V923" s="461"/>
      <c r="W923" s="461"/>
      <c r="X923" s="461"/>
      <c r="Y923" s="461"/>
    </row>
    <row r="924" spans="1:25" ht="20.25" x14ac:dyDescent="0.4">
      <c r="A924" s="461"/>
      <c r="B924" s="461"/>
      <c r="C924" s="461"/>
      <c r="D924" s="461"/>
      <c r="E924" s="461"/>
      <c r="F924" s="461"/>
      <c r="G924" s="461"/>
      <c r="H924" s="461"/>
      <c r="I924" s="463"/>
      <c r="J924" s="463"/>
      <c r="K924" s="461"/>
      <c r="L924" s="461"/>
      <c r="M924" s="461"/>
      <c r="N924" s="461"/>
      <c r="O924" s="461"/>
      <c r="P924" s="461"/>
      <c r="Q924" s="461"/>
      <c r="R924" s="461"/>
      <c r="S924" s="461"/>
      <c r="T924" s="461"/>
      <c r="U924" s="461"/>
      <c r="V924" s="461"/>
      <c r="W924" s="461"/>
      <c r="X924" s="461"/>
      <c r="Y924" s="461"/>
    </row>
    <row r="925" spans="1:25" ht="20.25" x14ac:dyDescent="0.4">
      <c r="A925" s="461"/>
      <c r="B925" s="461"/>
      <c r="C925" s="461"/>
      <c r="D925" s="461"/>
      <c r="E925" s="461"/>
      <c r="F925" s="461"/>
      <c r="G925" s="461"/>
      <c r="H925" s="461"/>
      <c r="I925" s="463"/>
      <c r="J925" s="463"/>
      <c r="K925" s="461"/>
      <c r="L925" s="461"/>
      <c r="M925" s="461"/>
      <c r="N925" s="461"/>
      <c r="O925" s="461"/>
      <c r="P925" s="461"/>
      <c r="Q925" s="461"/>
      <c r="R925" s="461"/>
      <c r="S925" s="461"/>
      <c r="T925" s="461"/>
      <c r="U925" s="461"/>
      <c r="V925" s="461"/>
      <c r="W925" s="461"/>
      <c r="X925" s="461"/>
      <c r="Y925" s="461"/>
    </row>
    <row r="926" spans="1:25" ht="20.25" x14ac:dyDescent="0.4">
      <c r="A926" s="461"/>
      <c r="B926" s="461"/>
      <c r="C926" s="461"/>
      <c r="D926" s="461"/>
      <c r="E926" s="461"/>
      <c r="F926" s="461"/>
      <c r="G926" s="461"/>
      <c r="H926" s="461"/>
      <c r="I926" s="463"/>
      <c r="J926" s="463"/>
      <c r="K926" s="461"/>
      <c r="L926" s="461"/>
      <c r="M926" s="461"/>
      <c r="N926" s="461"/>
      <c r="O926" s="461"/>
      <c r="P926" s="461"/>
      <c r="Q926" s="461"/>
      <c r="R926" s="461"/>
      <c r="S926" s="461"/>
      <c r="T926" s="461"/>
      <c r="U926" s="461"/>
      <c r="V926" s="461"/>
      <c r="W926" s="461"/>
      <c r="X926" s="461"/>
      <c r="Y926" s="461"/>
    </row>
    <row r="927" spans="1:25" ht="20.25" x14ac:dyDescent="0.4">
      <c r="A927" s="461"/>
      <c r="B927" s="461"/>
      <c r="C927" s="461"/>
      <c r="D927" s="461"/>
      <c r="E927" s="461"/>
      <c r="F927" s="461"/>
      <c r="G927" s="461"/>
      <c r="H927" s="461"/>
      <c r="I927" s="463"/>
      <c r="J927" s="463"/>
      <c r="K927" s="461"/>
      <c r="L927" s="461"/>
      <c r="M927" s="461"/>
      <c r="N927" s="461"/>
      <c r="O927" s="461"/>
      <c r="P927" s="461"/>
      <c r="Q927" s="461"/>
      <c r="R927" s="461"/>
      <c r="S927" s="461"/>
      <c r="T927" s="461"/>
      <c r="U927" s="461"/>
      <c r="V927" s="461"/>
      <c r="W927" s="461"/>
      <c r="X927" s="461"/>
      <c r="Y927" s="461"/>
    </row>
    <row r="928" spans="1:25" ht="20.25" x14ac:dyDescent="0.4">
      <c r="A928" s="461"/>
      <c r="B928" s="461"/>
      <c r="C928" s="461"/>
      <c r="D928" s="461"/>
      <c r="E928" s="461"/>
      <c r="F928" s="461"/>
      <c r="G928" s="461"/>
      <c r="H928" s="461"/>
      <c r="I928" s="463"/>
      <c r="J928" s="463"/>
      <c r="K928" s="461"/>
      <c r="L928" s="461"/>
      <c r="M928" s="461"/>
      <c r="N928" s="461"/>
      <c r="O928" s="461"/>
      <c r="P928" s="461"/>
      <c r="Q928" s="461"/>
      <c r="R928" s="461"/>
      <c r="S928" s="461"/>
      <c r="T928" s="461"/>
      <c r="U928" s="461"/>
      <c r="V928" s="461"/>
      <c r="W928" s="461"/>
      <c r="X928" s="461"/>
      <c r="Y928" s="461"/>
    </row>
    <row r="929" spans="1:25" ht="20.25" x14ac:dyDescent="0.4">
      <c r="A929" s="461"/>
      <c r="B929" s="461"/>
      <c r="C929" s="461"/>
      <c r="D929" s="461"/>
      <c r="E929" s="461"/>
      <c r="F929" s="461"/>
      <c r="G929" s="461"/>
      <c r="H929" s="461"/>
      <c r="I929" s="463"/>
      <c r="J929" s="463"/>
      <c r="K929" s="461"/>
      <c r="L929" s="461"/>
      <c r="M929" s="461"/>
      <c r="N929" s="461"/>
      <c r="O929" s="461"/>
      <c r="P929" s="461"/>
      <c r="Q929" s="461"/>
      <c r="R929" s="461"/>
      <c r="S929" s="461"/>
      <c r="T929" s="461"/>
      <c r="U929" s="461"/>
      <c r="V929" s="461"/>
      <c r="W929" s="461"/>
      <c r="X929" s="461"/>
      <c r="Y929" s="461"/>
    </row>
    <row r="930" spans="1:25" ht="20.25" x14ac:dyDescent="0.4">
      <c r="A930" s="461"/>
      <c r="B930" s="461"/>
      <c r="C930" s="461"/>
      <c r="D930" s="461"/>
      <c r="E930" s="461"/>
      <c r="F930" s="461"/>
      <c r="G930" s="461"/>
      <c r="H930" s="461"/>
      <c r="I930" s="463"/>
      <c r="J930" s="463"/>
      <c r="K930" s="461"/>
      <c r="L930" s="461"/>
      <c r="M930" s="461"/>
      <c r="N930" s="461"/>
      <c r="O930" s="461"/>
      <c r="P930" s="461"/>
      <c r="Q930" s="461"/>
      <c r="R930" s="461"/>
      <c r="S930" s="461"/>
      <c r="T930" s="461"/>
      <c r="U930" s="461"/>
      <c r="V930" s="461"/>
      <c r="W930" s="461"/>
      <c r="X930" s="461"/>
      <c r="Y930" s="461"/>
    </row>
    <row r="931" spans="1:25" ht="20.25" x14ac:dyDescent="0.4">
      <c r="A931" s="461"/>
      <c r="B931" s="461"/>
      <c r="C931" s="461"/>
      <c r="D931" s="461"/>
      <c r="E931" s="461"/>
      <c r="F931" s="461"/>
      <c r="G931" s="461"/>
      <c r="H931" s="461"/>
      <c r="I931" s="463"/>
      <c r="J931" s="463"/>
      <c r="K931" s="461"/>
      <c r="L931" s="461"/>
      <c r="M931" s="461"/>
      <c r="N931" s="461"/>
      <c r="O931" s="461"/>
      <c r="P931" s="461"/>
      <c r="Q931" s="461"/>
      <c r="R931" s="461"/>
      <c r="S931" s="461"/>
      <c r="T931" s="461"/>
      <c r="U931" s="461"/>
      <c r="V931" s="461"/>
      <c r="W931" s="461"/>
      <c r="X931" s="461"/>
      <c r="Y931" s="461"/>
    </row>
    <row r="932" spans="1:25" ht="20.25" x14ac:dyDescent="0.4">
      <c r="A932" s="461"/>
      <c r="B932" s="461"/>
      <c r="C932" s="461"/>
      <c r="D932" s="461"/>
      <c r="E932" s="461"/>
      <c r="F932" s="461"/>
      <c r="G932" s="461"/>
      <c r="H932" s="461"/>
      <c r="I932" s="463"/>
      <c r="J932" s="463"/>
      <c r="K932" s="461"/>
      <c r="L932" s="461"/>
      <c r="M932" s="461"/>
      <c r="N932" s="461"/>
      <c r="O932" s="461"/>
      <c r="P932" s="461"/>
      <c r="Q932" s="461"/>
      <c r="R932" s="461"/>
      <c r="S932" s="461"/>
      <c r="T932" s="461"/>
      <c r="U932" s="461"/>
      <c r="V932" s="461"/>
      <c r="W932" s="461"/>
      <c r="X932" s="461"/>
      <c r="Y932" s="461"/>
    </row>
    <row r="933" spans="1:25" ht="20.25" x14ac:dyDescent="0.4">
      <c r="A933" s="461"/>
      <c r="B933" s="461"/>
      <c r="C933" s="461"/>
      <c r="D933" s="461"/>
      <c r="E933" s="461"/>
      <c r="F933" s="461"/>
      <c r="G933" s="461"/>
      <c r="H933" s="461"/>
      <c r="I933" s="463"/>
      <c r="J933" s="463"/>
      <c r="K933" s="461"/>
      <c r="L933" s="461"/>
      <c r="M933" s="461"/>
      <c r="N933" s="461"/>
      <c r="O933" s="461"/>
      <c r="P933" s="461"/>
      <c r="Q933" s="461"/>
      <c r="R933" s="461"/>
      <c r="S933" s="461"/>
      <c r="T933" s="461"/>
      <c r="U933" s="461"/>
      <c r="V933" s="461"/>
      <c r="W933" s="461"/>
      <c r="X933" s="461"/>
      <c r="Y933" s="461"/>
    </row>
    <row r="934" spans="1:25" ht="20.25" x14ac:dyDescent="0.4">
      <c r="A934" s="461"/>
      <c r="B934" s="461"/>
      <c r="C934" s="461"/>
      <c r="D934" s="461"/>
      <c r="E934" s="461"/>
      <c r="F934" s="461"/>
      <c r="G934" s="461"/>
      <c r="H934" s="461"/>
      <c r="I934" s="463"/>
      <c r="J934" s="463"/>
      <c r="K934" s="461"/>
      <c r="L934" s="461"/>
      <c r="M934" s="461"/>
      <c r="N934" s="461"/>
      <c r="O934" s="461"/>
      <c r="P934" s="461"/>
      <c r="Q934" s="461"/>
      <c r="R934" s="461"/>
      <c r="S934" s="461"/>
      <c r="T934" s="461"/>
      <c r="U934" s="461"/>
      <c r="V934" s="461"/>
      <c r="W934" s="461"/>
      <c r="X934" s="461"/>
      <c r="Y934" s="461"/>
    </row>
    <row r="935" spans="1:25" ht="20.25" x14ac:dyDescent="0.4">
      <c r="A935" s="461"/>
      <c r="B935" s="461"/>
      <c r="C935" s="461"/>
      <c r="D935" s="461"/>
      <c r="E935" s="461"/>
      <c r="F935" s="461"/>
      <c r="G935" s="461"/>
      <c r="H935" s="461"/>
      <c r="I935" s="463"/>
      <c r="J935" s="463"/>
      <c r="K935" s="461"/>
      <c r="L935" s="461"/>
      <c r="M935" s="461"/>
      <c r="N935" s="461"/>
      <c r="O935" s="461"/>
      <c r="P935" s="461"/>
      <c r="Q935" s="461"/>
      <c r="R935" s="461"/>
      <c r="S935" s="461"/>
      <c r="T935" s="461"/>
      <c r="U935" s="461"/>
      <c r="V935" s="461"/>
      <c r="W935" s="461"/>
      <c r="X935" s="461"/>
      <c r="Y935" s="461"/>
    </row>
    <row r="936" spans="1:25" ht="20.25" x14ac:dyDescent="0.4">
      <c r="A936" s="461"/>
      <c r="B936" s="461"/>
      <c r="C936" s="461"/>
      <c r="D936" s="461"/>
      <c r="E936" s="461"/>
      <c r="F936" s="461"/>
      <c r="G936" s="461"/>
      <c r="H936" s="461"/>
      <c r="I936" s="463"/>
      <c r="J936" s="463"/>
      <c r="K936" s="461"/>
      <c r="L936" s="461"/>
      <c r="M936" s="461"/>
      <c r="N936" s="461"/>
      <c r="O936" s="461"/>
      <c r="P936" s="461"/>
      <c r="Q936" s="461"/>
      <c r="R936" s="461"/>
      <c r="S936" s="461"/>
      <c r="T936" s="461"/>
      <c r="U936" s="461"/>
      <c r="V936" s="461"/>
      <c r="W936" s="461"/>
      <c r="X936" s="461"/>
      <c r="Y936" s="461"/>
    </row>
    <row r="937" spans="1:25" ht="20.25" x14ac:dyDescent="0.4">
      <c r="A937" s="461"/>
      <c r="B937" s="461"/>
      <c r="C937" s="461"/>
      <c r="D937" s="461"/>
      <c r="E937" s="461"/>
      <c r="F937" s="461"/>
      <c r="G937" s="461"/>
      <c r="H937" s="461"/>
      <c r="I937" s="463"/>
      <c r="J937" s="463"/>
      <c r="K937" s="461"/>
      <c r="L937" s="461"/>
      <c r="M937" s="461"/>
      <c r="N937" s="461"/>
      <c r="O937" s="461"/>
      <c r="P937" s="461"/>
      <c r="Q937" s="461"/>
      <c r="R937" s="461"/>
      <c r="S937" s="461"/>
      <c r="T937" s="461"/>
      <c r="U937" s="461"/>
      <c r="V937" s="461"/>
      <c r="W937" s="461"/>
      <c r="X937" s="461"/>
      <c r="Y937" s="461"/>
    </row>
    <row r="938" spans="1:25" ht="20.25" x14ac:dyDescent="0.4">
      <c r="A938" s="461"/>
      <c r="B938" s="461"/>
      <c r="C938" s="461"/>
      <c r="D938" s="461"/>
      <c r="E938" s="461"/>
      <c r="F938" s="461"/>
      <c r="G938" s="461"/>
      <c r="H938" s="461"/>
      <c r="I938" s="463"/>
      <c r="J938" s="463"/>
      <c r="K938" s="461"/>
      <c r="L938" s="461"/>
      <c r="M938" s="461"/>
      <c r="N938" s="461"/>
      <c r="O938" s="461"/>
      <c r="P938" s="461"/>
      <c r="Q938" s="461"/>
      <c r="R938" s="461"/>
      <c r="S938" s="461"/>
      <c r="T938" s="461"/>
      <c r="U938" s="461"/>
      <c r="V938" s="461"/>
      <c r="W938" s="461"/>
      <c r="X938" s="461"/>
      <c r="Y938" s="461"/>
    </row>
    <row r="939" spans="1:25" ht="20.25" x14ac:dyDescent="0.4">
      <c r="A939" s="461"/>
      <c r="B939" s="461"/>
      <c r="C939" s="461"/>
      <c r="D939" s="461"/>
      <c r="E939" s="461"/>
      <c r="F939" s="461"/>
      <c r="G939" s="461"/>
      <c r="H939" s="461"/>
      <c r="I939" s="463"/>
      <c r="J939" s="463"/>
      <c r="K939" s="461"/>
      <c r="L939" s="461"/>
      <c r="M939" s="461"/>
      <c r="N939" s="461"/>
      <c r="O939" s="461"/>
      <c r="P939" s="461"/>
      <c r="Q939" s="461"/>
      <c r="R939" s="461"/>
      <c r="S939" s="461"/>
      <c r="T939" s="461"/>
      <c r="U939" s="461"/>
      <c r="V939" s="461"/>
      <c r="W939" s="461"/>
      <c r="X939" s="461"/>
      <c r="Y939" s="461"/>
    </row>
    <row r="940" spans="1:25" ht="20.25" x14ac:dyDescent="0.4">
      <c r="A940" s="461"/>
      <c r="B940" s="461"/>
      <c r="C940" s="461"/>
      <c r="D940" s="461"/>
      <c r="E940" s="461"/>
      <c r="F940" s="461"/>
      <c r="G940" s="461"/>
      <c r="H940" s="461"/>
      <c r="I940" s="463"/>
      <c r="J940" s="463"/>
      <c r="K940" s="461"/>
      <c r="L940" s="461"/>
      <c r="M940" s="461"/>
      <c r="N940" s="461"/>
      <c r="O940" s="461"/>
      <c r="P940" s="461"/>
      <c r="Q940" s="461"/>
      <c r="R940" s="461"/>
      <c r="S940" s="461"/>
      <c r="T940" s="461"/>
      <c r="U940" s="461"/>
      <c r="V940" s="461"/>
      <c r="W940" s="461"/>
      <c r="X940" s="461"/>
      <c r="Y940" s="461"/>
    </row>
    <row r="941" spans="1:25" ht="20.25" x14ac:dyDescent="0.4">
      <c r="A941" s="461"/>
      <c r="B941" s="461"/>
      <c r="C941" s="461"/>
      <c r="D941" s="461"/>
      <c r="E941" s="461"/>
      <c r="F941" s="461"/>
      <c r="G941" s="461"/>
      <c r="H941" s="461"/>
      <c r="I941" s="463"/>
      <c r="J941" s="463"/>
      <c r="K941" s="461"/>
      <c r="L941" s="461"/>
      <c r="M941" s="461"/>
      <c r="N941" s="461"/>
      <c r="O941" s="461"/>
      <c r="P941" s="461"/>
      <c r="Q941" s="461"/>
      <c r="R941" s="461"/>
      <c r="S941" s="461"/>
      <c r="T941" s="461"/>
      <c r="U941" s="461"/>
      <c r="V941" s="461"/>
      <c r="W941" s="461"/>
      <c r="X941" s="461"/>
      <c r="Y941" s="461"/>
    </row>
    <row r="942" spans="1:25" ht="20.25" x14ac:dyDescent="0.4">
      <c r="A942" s="461"/>
      <c r="B942" s="461"/>
      <c r="C942" s="461"/>
      <c r="D942" s="461"/>
      <c r="E942" s="461"/>
      <c r="F942" s="461"/>
      <c r="G942" s="461"/>
      <c r="H942" s="461"/>
      <c r="I942" s="463"/>
      <c r="J942" s="463"/>
      <c r="K942" s="461"/>
      <c r="L942" s="461"/>
      <c r="M942" s="461"/>
      <c r="N942" s="461"/>
      <c r="O942" s="461"/>
      <c r="P942" s="461"/>
      <c r="Q942" s="461"/>
      <c r="R942" s="461"/>
      <c r="S942" s="461"/>
      <c r="T942" s="461"/>
      <c r="U942" s="461"/>
      <c r="V942" s="461"/>
      <c r="W942" s="461"/>
      <c r="X942" s="461"/>
      <c r="Y942" s="461"/>
    </row>
    <row r="943" spans="1:25" ht="20.25" x14ac:dyDescent="0.4">
      <c r="A943" s="461"/>
      <c r="B943" s="461"/>
      <c r="C943" s="461"/>
      <c r="D943" s="461"/>
      <c r="E943" s="461"/>
      <c r="F943" s="461"/>
      <c r="G943" s="461"/>
      <c r="H943" s="461"/>
      <c r="I943" s="463"/>
      <c r="J943" s="463"/>
      <c r="K943" s="461"/>
      <c r="L943" s="461"/>
      <c r="M943" s="461"/>
      <c r="N943" s="461"/>
      <c r="O943" s="461"/>
      <c r="P943" s="461"/>
      <c r="Q943" s="461"/>
      <c r="R943" s="461"/>
      <c r="S943" s="461"/>
      <c r="T943" s="461"/>
      <c r="U943" s="461"/>
      <c r="V943" s="461"/>
      <c r="W943" s="461"/>
      <c r="X943" s="461"/>
      <c r="Y943" s="461"/>
    </row>
    <row r="944" spans="1:25" ht="20.25" x14ac:dyDescent="0.4">
      <c r="A944" s="461"/>
      <c r="B944" s="461"/>
      <c r="C944" s="461"/>
      <c r="D944" s="461"/>
      <c r="E944" s="461"/>
      <c r="F944" s="461"/>
      <c r="G944" s="461"/>
      <c r="H944" s="461"/>
      <c r="I944" s="463"/>
      <c r="J944" s="463"/>
      <c r="K944" s="461"/>
      <c r="L944" s="461"/>
      <c r="M944" s="461"/>
      <c r="N944" s="461"/>
      <c r="O944" s="461"/>
      <c r="P944" s="461"/>
      <c r="Q944" s="461"/>
      <c r="R944" s="461"/>
      <c r="S944" s="461"/>
      <c r="T944" s="461"/>
      <c r="U944" s="461"/>
      <c r="V944" s="461"/>
      <c r="W944" s="461"/>
      <c r="X944" s="461"/>
      <c r="Y944" s="461"/>
    </row>
    <row r="945" spans="1:25" ht="20.25" x14ac:dyDescent="0.4">
      <c r="A945" s="461"/>
      <c r="B945" s="461"/>
      <c r="C945" s="461"/>
      <c r="D945" s="461"/>
      <c r="E945" s="461"/>
      <c r="F945" s="461"/>
      <c r="G945" s="461"/>
      <c r="H945" s="461"/>
      <c r="I945" s="463"/>
      <c r="J945" s="463"/>
      <c r="K945" s="461"/>
      <c r="L945" s="461"/>
      <c r="M945" s="461"/>
      <c r="N945" s="461"/>
      <c r="O945" s="461"/>
      <c r="P945" s="461"/>
      <c r="Q945" s="461"/>
      <c r="R945" s="461"/>
      <c r="S945" s="461"/>
      <c r="T945" s="461"/>
      <c r="U945" s="461"/>
      <c r="V945" s="461"/>
      <c r="W945" s="461"/>
      <c r="X945" s="461"/>
      <c r="Y945" s="461"/>
    </row>
    <row r="946" spans="1:25" ht="20.25" x14ac:dyDescent="0.4">
      <c r="A946" s="461"/>
      <c r="B946" s="461"/>
      <c r="C946" s="461"/>
      <c r="D946" s="461"/>
      <c r="E946" s="461"/>
      <c r="F946" s="461"/>
      <c r="G946" s="461"/>
      <c r="H946" s="461"/>
      <c r="I946" s="463"/>
      <c r="J946" s="463"/>
      <c r="K946" s="461"/>
      <c r="L946" s="461"/>
      <c r="M946" s="461"/>
      <c r="N946" s="461"/>
      <c r="O946" s="461"/>
      <c r="P946" s="461"/>
      <c r="Q946" s="461"/>
      <c r="R946" s="461"/>
      <c r="S946" s="461"/>
      <c r="T946" s="461"/>
      <c r="U946" s="461"/>
      <c r="V946" s="461"/>
      <c r="W946" s="461"/>
      <c r="X946" s="461"/>
      <c r="Y946" s="461"/>
    </row>
    <row r="947" spans="1:25" ht="20.25" x14ac:dyDescent="0.4">
      <c r="A947" s="461"/>
      <c r="B947" s="461"/>
      <c r="C947" s="461"/>
      <c r="D947" s="461"/>
      <c r="E947" s="461"/>
      <c r="F947" s="461"/>
      <c r="G947" s="461"/>
      <c r="H947" s="461"/>
      <c r="I947" s="463"/>
      <c r="J947" s="463"/>
      <c r="K947" s="461"/>
      <c r="L947" s="461"/>
      <c r="M947" s="461"/>
      <c r="N947" s="461"/>
      <c r="O947" s="461"/>
      <c r="P947" s="461"/>
      <c r="Q947" s="461"/>
      <c r="R947" s="461"/>
      <c r="S947" s="461"/>
      <c r="T947" s="461"/>
      <c r="U947" s="461"/>
      <c r="V947" s="461"/>
      <c r="W947" s="461"/>
      <c r="X947" s="461"/>
      <c r="Y947" s="461"/>
    </row>
    <row r="948" spans="1:25" ht="20.25" x14ac:dyDescent="0.4">
      <c r="A948" s="461"/>
      <c r="B948" s="461"/>
      <c r="C948" s="461"/>
      <c r="D948" s="461"/>
      <c r="E948" s="461"/>
      <c r="F948" s="461"/>
      <c r="G948" s="461"/>
      <c r="H948" s="461"/>
      <c r="I948" s="463"/>
      <c r="J948" s="463"/>
      <c r="K948" s="461"/>
      <c r="L948" s="461"/>
      <c r="M948" s="461"/>
      <c r="N948" s="461"/>
      <c r="O948" s="461"/>
      <c r="P948" s="461"/>
      <c r="Q948" s="461"/>
      <c r="R948" s="461"/>
      <c r="S948" s="461"/>
      <c r="T948" s="461"/>
      <c r="U948" s="461"/>
      <c r="V948" s="461"/>
      <c r="W948" s="461"/>
      <c r="X948" s="461"/>
      <c r="Y948" s="461"/>
    </row>
    <row r="949" spans="1:25" ht="20.25" x14ac:dyDescent="0.4">
      <c r="A949" s="461"/>
      <c r="B949" s="461"/>
      <c r="C949" s="461"/>
      <c r="D949" s="461"/>
      <c r="E949" s="461"/>
      <c r="F949" s="461"/>
      <c r="G949" s="461"/>
      <c r="H949" s="461"/>
      <c r="I949" s="463"/>
      <c r="J949" s="463"/>
      <c r="K949" s="461"/>
      <c r="L949" s="461"/>
      <c r="M949" s="461"/>
      <c r="N949" s="461"/>
      <c r="O949" s="461"/>
      <c r="P949" s="461"/>
      <c r="Q949" s="461"/>
      <c r="R949" s="461"/>
      <c r="S949" s="461"/>
      <c r="T949" s="461"/>
      <c r="U949" s="461"/>
      <c r="V949" s="461"/>
      <c r="W949" s="461"/>
      <c r="X949" s="461"/>
      <c r="Y949" s="461"/>
    </row>
    <row r="950" spans="1:25" ht="20.25" x14ac:dyDescent="0.4">
      <c r="A950" s="461"/>
      <c r="B950" s="461"/>
      <c r="C950" s="461"/>
      <c r="D950" s="461"/>
      <c r="E950" s="461"/>
      <c r="F950" s="461"/>
      <c r="G950" s="461"/>
      <c r="H950" s="461"/>
      <c r="I950" s="463"/>
      <c r="J950" s="463"/>
      <c r="K950" s="461"/>
      <c r="L950" s="461"/>
      <c r="M950" s="461"/>
      <c r="N950" s="461"/>
      <c r="O950" s="461"/>
      <c r="P950" s="461"/>
      <c r="Q950" s="461"/>
      <c r="R950" s="461"/>
      <c r="S950" s="461"/>
      <c r="T950" s="461"/>
      <c r="U950" s="461"/>
      <c r="V950" s="461"/>
      <c r="W950" s="461"/>
      <c r="X950" s="461"/>
      <c r="Y950" s="461"/>
    </row>
    <row r="951" spans="1:25" ht="20.25" x14ac:dyDescent="0.4">
      <c r="A951" s="461"/>
      <c r="B951" s="461"/>
      <c r="C951" s="461"/>
      <c r="D951" s="461"/>
      <c r="E951" s="461"/>
      <c r="F951" s="461"/>
      <c r="G951" s="461"/>
      <c r="H951" s="461"/>
      <c r="I951" s="463"/>
      <c r="J951" s="463"/>
      <c r="K951" s="461"/>
      <c r="L951" s="461"/>
      <c r="M951" s="461"/>
      <c r="N951" s="461"/>
      <c r="O951" s="461"/>
      <c r="P951" s="461"/>
      <c r="Q951" s="461"/>
      <c r="R951" s="461"/>
      <c r="S951" s="461"/>
      <c r="T951" s="461"/>
      <c r="U951" s="461"/>
      <c r="V951" s="461"/>
      <c r="W951" s="461"/>
      <c r="X951" s="461"/>
      <c r="Y951" s="461"/>
    </row>
    <row r="952" spans="1:25" ht="20.25" x14ac:dyDescent="0.4">
      <c r="A952" s="461"/>
      <c r="B952" s="461"/>
      <c r="C952" s="461"/>
      <c r="D952" s="461"/>
      <c r="E952" s="461"/>
      <c r="F952" s="461"/>
      <c r="G952" s="461"/>
      <c r="H952" s="461"/>
      <c r="I952" s="463"/>
      <c r="J952" s="463"/>
      <c r="K952" s="461"/>
      <c r="L952" s="461"/>
      <c r="M952" s="461"/>
      <c r="N952" s="461"/>
      <c r="O952" s="461"/>
      <c r="P952" s="461"/>
      <c r="Q952" s="461"/>
      <c r="R952" s="461"/>
      <c r="S952" s="461"/>
      <c r="T952" s="461"/>
      <c r="U952" s="461"/>
      <c r="V952" s="461"/>
      <c r="W952" s="461"/>
      <c r="X952" s="461"/>
      <c r="Y952" s="461"/>
    </row>
    <row r="953" spans="1:25" ht="20.25" x14ac:dyDescent="0.4">
      <c r="A953" s="461"/>
      <c r="B953" s="461"/>
      <c r="C953" s="461"/>
      <c r="D953" s="461"/>
      <c r="E953" s="461"/>
      <c r="F953" s="461"/>
      <c r="G953" s="461"/>
      <c r="H953" s="461"/>
      <c r="I953" s="463"/>
      <c r="J953" s="463"/>
      <c r="K953" s="461"/>
      <c r="L953" s="461"/>
      <c r="M953" s="461"/>
      <c r="N953" s="461"/>
      <c r="O953" s="461"/>
      <c r="P953" s="461"/>
      <c r="Q953" s="461"/>
      <c r="R953" s="461"/>
      <c r="S953" s="461"/>
      <c r="T953" s="461"/>
      <c r="U953" s="461"/>
      <c r="V953" s="461"/>
      <c r="W953" s="461"/>
      <c r="X953" s="461"/>
      <c r="Y953" s="461"/>
    </row>
    <row r="954" spans="1:25" ht="20.25" x14ac:dyDescent="0.4">
      <c r="A954" s="461"/>
      <c r="B954" s="461"/>
      <c r="C954" s="461"/>
      <c r="D954" s="461"/>
      <c r="E954" s="461"/>
      <c r="F954" s="461"/>
      <c r="G954" s="461"/>
      <c r="H954" s="461"/>
      <c r="I954" s="463"/>
      <c r="J954" s="463"/>
      <c r="K954" s="461"/>
      <c r="L954" s="461"/>
      <c r="M954" s="461"/>
      <c r="N954" s="461"/>
      <c r="O954" s="461"/>
      <c r="P954" s="461"/>
      <c r="Q954" s="461"/>
      <c r="R954" s="461"/>
      <c r="S954" s="461"/>
      <c r="T954" s="461"/>
      <c r="U954" s="461"/>
      <c r="V954" s="461"/>
      <c r="W954" s="461"/>
      <c r="X954" s="461"/>
      <c r="Y954" s="461"/>
    </row>
    <row r="955" spans="1:25" ht="20.25" x14ac:dyDescent="0.4">
      <c r="A955" s="461"/>
      <c r="B955" s="461"/>
      <c r="C955" s="461"/>
      <c r="D955" s="461"/>
      <c r="E955" s="461"/>
      <c r="F955" s="461"/>
      <c r="G955" s="461"/>
      <c r="H955" s="461"/>
      <c r="I955" s="463"/>
      <c r="J955" s="463"/>
      <c r="K955" s="461"/>
      <c r="L955" s="461"/>
      <c r="M955" s="461"/>
      <c r="N955" s="461"/>
      <c r="O955" s="461"/>
      <c r="P955" s="461"/>
      <c r="Q955" s="461"/>
      <c r="R955" s="461"/>
      <c r="S955" s="461"/>
      <c r="T955" s="461"/>
      <c r="U955" s="461"/>
      <c r="V955" s="461"/>
      <c r="W955" s="461"/>
      <c r="X955" s="461"/>
      <c r="Y955" s="461"/>
    </row>
    <row r="956" spans="1:25" ht="20.25" x14ac:dyDescent="0.4">
      <c r="A956" s="461"/>
      <c r="B956" s="461"/>
      <c r="C956" s="461"/>
      <c r="D956" s="461"/>
      <c r="E956" s="461"/>
      <c r="F956" s="461"/>
      <c r="G956" s="461"/>
      <c r="H956" s="461"/>
      <c r="I956" s="463"/>
      <c r="J956" s="463"/>
      <c r="K956" s="461"/>
      <c r="L956" s="461"/>
      <c r="M956" s="461"/>
      <c r="N956" s="461"/>
      <c r="O956" s="461"/>
      <c r="P956" s="461"/>
      <c r="Q956" s="461"/>
      <c r="R956" s="461"/>
      <c r="S956" s="461"/>
      <c r="T956" s="461"/>
      <c r="U956" s="461"/>
      <c r="V956" s="461"/>
      <c r="W956" s="461"/>
      <c r="X956" s="461"/>
      <c r="Y956" s="461"/>
    </row>
    <row r="957" spans="1:25" ht="20.25" x14ac:dyDescent="0.4">
      <c r="A957" s="461"/>
      <c r="B957" s="461"/>
      <c r="C957" s="461"/>
      <c r="D957" s="461"/>
      <c r="E957" s="461"/>
      <c r="F957" s="461"/>
      <c r="G957" s="461"/>
      <c r="H957" s="461"/>
      <c r="I957" s="463"/>
      <c r="J957" s="463"/>
      <c r="K957" s="461"/>
      <c r="L957" s="461"/>
      <c r="M957" s="461"/>
      <c r="N957" s="461"/>
      <c r="O957" s="461"/>
      <c r="P957" s="461"/>
      <c r="Q957" s="461"/>
      <c r="R957" s="461"/>
      <c r="S957" s="461"/>
      <c r="T957" s="461"/>
      <c r="U957" s="461"/>
      <c r="V957" s="461"/>
      <c r="W957" s="461"/>
      <c r="X957" s="461"/>
      <c r="Y957" s="461"/>
    </row>
    <row r="958" spans="1:25" ht="20.25" x14ac:dyDescent="0.4">
      <c r="A958" s="461"/>
      <c r="B958" s="461"/>
      <c r="C958" s="461"/>
      <c r="D958" s="461"/>
      <c r="E958" s="461"/>
      <c r="F958" s="461"/>
      <c r="G958" s="461"/>
      <c r="H958" s="461"/>
      <c r="I958" s="463"/>
      <c r="J958" s="463"/>
      <c r="K958" s="461"/>
      <c r="L958" s="461"/>
      <c r="M958" s="461"/>
      <c r="N958" s="461"/>
      <c r="O958" s="461"/>
      <c r="P958" s="461"/>
      <c r="Q958" s="461"/>
      <c r="R958" s="461"/>
      <c r="S958" s="461"/>
      <c r="T958" s="461"/>
      <c r="U958" s="461"/>
      <c r="V958" s="461"/>
      <c r="W958" s="461"/>
      <c r="X958" s="461"/>
      <c r="Y958" s="461"/>
    </row>
    <row r="959" spans="1:25" ht="20.25" x14ac:dyDescent="0.4">
      <c r="A959" s="461"/>
      <c r="B959" s="461"/>
      <c r="C959" s="461"/>
      <c r="D959" s="461"/>
      <c r="E959" s="461"/>
      <c r="F959" s="461"/>
      <c r="G959" s="461"/>
      <c r="H959" s="461"/>
      <c r="I959" s="463"/>
      <c r="J959" s="463"/>
      <c r="K959" s="461"/>
      <c r="L959" s="461"/>
      <c r="M959" s="461"/>
      <c r="N959" s="461"/>
      <c r="O959" s="461"/>
      <c r="P959" s="461"/>
      <c r="Q959" s="461"/>
      <c r="R959" s="461"/>
      <c r="S959" s="461"/>
      <c r="T959" s="461"/>
      <c r="U959" s="461"/>
      <c r="V959" s="461"/>
      <c r="W959" s="461"/>
      <c r="X959" s="461"/>
      <c r="Y959" s="461"/>
    </row>
    <row r="960" spans="1:25" ht="20.25" x14ac:dyDescent="0.4">
      <c r="A960" s="461"/>
      <c r="B960" s="461"/>
      <c r="C960" s="461"/>
      <c r="D960" s="461"/>
      <c r="E960" s="461"/>
      <c r="F960" s="461"/>
      <c r="G960" s="461"/>
      <c r="H960" s="461"/>
      <c r="I960" s="463"/>
      <c r="J960" s="463"/>
      <c r="K960" s="461"/>
      <c r="L960" s="461"/>
      <c r="M960" s="461"/>
      <c r="N960" s="461"/>
      <c r="O960" s="461"/>
      <c r="P960" s="461"/>
      <c r="Q960" s="461"/>
      <c r="R960" s="461"/>
      <c r="S960" s="461"/>
      <c r="T960" s="461"/>
      <c r="U960" s="461"/>
      <c r="V960" s="461"/>
      <c r="W960" s="461"/>
      <c r="X960" s="461"/>
      <c r="Y960" s="461"/>
    </row>
    <row r="961" spans="1:25" ht="20.25" x14ac:dyDescent="0.4">
      <c r="A961" s="461"/>
      <c r="B961" s="461"/>
      <c r="C961" s="461"/>
      <c r="D961" s="461"/>
      <c r="E961" s="461"/>
      <c r="F961" s="461"/>
      <c r="G961" s="461"/>
      <c r="H961" s="461"/>
      <c r="I961" s="463"/>
      <c r="J961" s="463"/>
      <c r="K961" s="461"/>
      <c r="L961" s="461"/>
      <c r="M961" s="461"/>
      <c r="N961" s="461"/>
      <c r="O961" s="461"/>
      <c r="P961" s="461"/>
      <c r="Q961" s="461"/>
      <c r="R961" s="461"/>
      <c r="S961" s="461"/>
      <c r="T961" s="461"/>
      <c r="U961" s="461"/>
      <c r="V961" s="461"/>
      <c r="W961" s="461"/>
      <c r="X961" s="461"/>
      <c r="Y961" s="461"/>
    </row>
    <row r="962" spans="1:25" ht="20.25" x14ac:dyDescent="0.4">
      <c r="A962" s="461"/>
      <c r="B962" s="461"/>
      <c r="C962" s="461"/>
      <c r="D962" s="461"/>
      <c r="E962" s="461"/>
      <c r="F962" s="461"/>
      <c r="G962" s="461"/>
      <c r="H962" s="461"/>
      <c r="I962" s="463"/>
      <c r="J962" s="463"/>
      <c r="K962" s="461"/>
      <c r="L962" s="461"/>
      <c r="M962" s="461"/>
      <c r="N962" s="461"/>
      <c r="O962" s="461"/>
      <c r="P962" s="461"/>
      <c r="Q962" s="461"/>
      <c r="R962" s="461"/>
      <c r="S962" s="461"/>
      <c r="T962" s="461"/>
      <c r="U962" s="461"/>
      <c r="V962" s="461"/>
      <c r="W962" s="461"/>
      <c r="X962" s="461"/>
      <c r="Y962" s="461"/>
    </row>
    <row r="963" spans="1:25" ht="20.25" x14ac:dyDescent="0.4">
      <c r="A963" s="461"/>
      <c r="B963" s="461"/>
      <c r="C963" s="461"/>
      <c r="D963" s="461"/>
      <c r="E963" s="461"/>
      <c r="F963" s="461"/>
      <c r="G963" s="461"/>
      <c r="H963" s="461"/>
      <c r="I963" s="463"/>
      <c r="J963" s="463"/>
      <c r="K963" s="461"/>
      <c r="L963" s="461"/>
      <c r="M963" s="461"/>
      <c r="N963" s="461"/>
      <c r="O963" s="461"/>
      <c r="P963" s="461"/>
      <c r="Q963" s="461"/>
      <c r="R963" s="461"/>
      <c r="S963" s="461"/>
      <c r="T963" s="461"/>
      <c r="U963" s="461"/>
      <c r="V963" s="461"/>
      <c r="W963" s="461"/>
      <c r="X963" s="461"/>
      <c r="Y963" s="461"/>
    </row>
    <row r="964" spans="1:25" ht="20.25" x14ac:dyDescent="0.4">
      <c r="A964" s="461"/>
      <c r="B964" s="461"/>
      <c r="C964" s="461"/>
      <c r="D964" s="461"/>
      <c r="E964" s="461"/>
      <c r="F964" s="461"/>
      <c r="G964" s="461"/>
      <c r="H964" s="461"/>
      <c r="I964" s="463"/>
      <c r="J964" s="463"/>
      <c r="K964" s="461"/>
      <c r="L964" s="461"/>
      <c r="M964" s="461"/>
      <c r="N964" s="461"/>
      <c r="O964" s="461"/>
      <c r="P964" s="461"/>
      <c r="Q964" s="461"/>
      <c r="R964" s="461"/>
      <c r="S964" s="461"/>
      <c r="T964" s="461"/>
      <c r="U964" s="461"/>
      <c r="V964" s="461"/>
      <c r="W964" s="461"/>
      <c r="X964" s="461"/>
      <c r="Y964" s="461"/>
    </row>
    <row r="965" spans="1:25" ht="20.25" x14ac:dyDescent="0.4">
      <c r="A965" s="461"/>
      <c r="B965" s="461"/>
      <c r="C965" s="461"/>
      <c r="D965" s="461"/>
      <c r="E965" s="461"/>
      <c r="F965" s="461"/>
      <c r="G965" s="461"/>
      <c r="H965" s="461"/>
      <c r="I965" s="463"/>
      <c r="J965" s="463"/>
      <c r="K965" s="461"/>
      <c r="L965" s="461"/>
      <c r="M965" s="461"/>
      <c r="N965" s="461"/>
      <c r="O965" s="461"/>
      <c r="P965" s="461"/>
      <c r="Q965" s="461"/>
      <c r="R965" s="461"/>
      <c r="S965" s="461"/>
      <c r="T965" s="461"/>
      <c r="U965" s="461"/>
      <c r="V965" s="461"/>
      <c r="W965" s="461"/>
      <c r="X965" s="461"/>
      <c r="Y965" s="461"/>
    </row>
    <row r="966" spans="1:25" ht="20.25" x14ac:dyDescent="0.4">
      <c r="A966" s="461"/>
      <c r="B966" s="461"/>
      <c r="C966" s="461"/>
      <c r="D966" s="461"/>
      <c r="E966" s="461"/>
      <c r="F966" s="461"/>
      <c r="G966" s="461"/>
      <c r="H966" s="461"/>
      <c r="I966" s="463"/>
      <c r="J966" s="463"/>
      <c r="K966" s="461"/>
      <c r="L966" s="461"/>
      <c r="M966" s="461"/>
      <c r="N966" s="461"/>
      <c r="O966" s="461"/>
      <c r="P966" s="461"/>
      <c r="Q966" s="461"/>
      <c r="R966" s="461"/>
      <c r="S966" s="461"/>
      <c r="T966" s="461"/>
      <c r="U966" s="461"/>
      <c r="V966" s="461"/>
      <c r="W966" s="461"/>
      <c r="X966" s="461"/>
      <c r="Y966" s="461"/>
    </row>
    <row r="967" spans="1:25" ht="20.25" x14ac:dyDescent="0.4">
      <c r="A967" s="461"/>
      <c r="B967" s="461"/>
      <c r="C967" s="461"/>
      <c r="D967" s="461"/>
      <c r="E967" s="461"/>
      <c r="F967" s="461"/>
      <c r="G967" s="461"/>
      <c r="H967" s="461"/>
      <c r="I967" s="463"/>
      <c r="J967" s="463"/>
      <c r="K967" s="461"/>
      <c r="L967" s="461"/>
      <c r="M967" s="461"/>
      <c r="N967" s="461"/>
      <c r="O967" s="461"/>
      <c r="P967" s="461"/>
      <c r="Q967" s="461"/>
      <c r="R967" s="461"/>
      <c r="S967" s="461"/>
      <c r="T967" s="461"/>
      <c r="U967" s="461"/>
      <c r="V967" s="461"/>
      <c r="W967" s="461"/>
      <c r="X967" s="461"/>
      <c r="Y967" s="461"/>
    </row>
    <row r="968" spans="1:25" ht="20.25" x14ac:dyDescent="0.4">
      <c r="A968" s="461"/>
      <c r="B968" s="461"/>
      <c r="C968" s="461"/>
      <c r="D968" s="461"/>
      <c r="E968" s="461"/>
      <c r="F968" s="461"/>
      <c r="G968" s="461"/>
      <c r="H968" s="461"/>
      <c r="I968" s="463"/>
      <c r="J968" s="463"/>
      <c r="K968" s="461"/>
      <c r="L968" s="461"/>
      <c r="M968" s="461"/>
      <c r="N968" s="461"/>
      <c r="O968" s="461"/>
      <c r="P968" s="461"/>
      <c r="Q968" s="461"/>
      <c r="R968" s="461"/>
      <c r="S968" s="461"/>
      <c r="T968" s="461"/>
      <c r="U968" s="461"/>
      <c r="V968" s="461"/>
      <c r="W968" s="461"/>
      <c r="X968" s="461"/>
      <c r="Y968" s="461"/>
    </row>
    <row r="969" spans="1:25" ht="20.25" x14ac:dyDescent="0.4">
      <c r="A969" s="461"/>
      <c r="B969" s="461"/>
      <c r="C969" s="461"/>
      <c r="D969" s="461"/>
      <c r="E969" s="461"/>
      <c r="F969" s="461"/>
      <c r="G969" s="461"/>
      <c r="H969" s="461"/>
      <c r="I969" s="463"/>
      <c r="J969" s="463"/>
      <c r="K969" s="461"/>
      <c r="L969" s="461"/>
      <c r="M969" s="461"/>
      <c r="N969" s="461"/>
      <c r="O969" s="461"/>
      <c r="P969" s="461"/>
      <c r="Q969" s="461"/>
      <c r="R969" s="461"/>
      <c r="S969" s="461"/>
      <c r="T969" s="461"/>
      <c r="U969" s="461"/>
      <c r="V969" s="461"/>
      <c r="W969" s="461"/>
      <c r="X969" s="461"/>
      <c r="Y969" s="461"/>
    </row>
    <row r="970" spans="1:25" ht="20.25" x14ac:dyDescent="0.4">
      <c r="A970" s="461"/>
      <c r="B970" s="461"/>
      <c r="C970" s="461"/>
      <c r="D970" s="461"/>
      <c r="E970" s="461"/>
      <c r="F970" s="461"/>
      <c r="G970" s="461"/>
      <c r="H970" s="461"/>
      <c r="I970" s="463"/>
      <c r="J970" s="463"/>
      <c r="K970" s="461"/>
      <c r="L970" s="461"/>
      <c r="M970" s="461"/>
      <c r="N970" s="461"/>
      <c r="O970" s="461"/>
      <c r="P970" s="461"/>
      <c r="Q970" s="461"/>
      <c r="R970" s="461"/>
      <c r="S970" s="461"/>
      <c r="T970" s="461"/>
      <c r="U970" s="461"/>
      <c r="V970" s="461"/>
      <c r="W970" s="461"/>
      <c r="X970" s="461"/>
      <c r="Y970" s="461"/>
    </row>
    <row r="971" spans="1:25" ht="20.25" x14ac:dyDescent="0.4">
      <c r="A971" s="461"/>
      <c r="B971" s="461"/>
      <c r="C971" s="461"/>
      <c r="D971" s="461"/>
      <c r="E971" s="461"/>
      <c r="F971" s="461"/>
      <c r="G971" s="461"/>
      <c r="H971" s="461"/>
      <c r="I971" s="463"/>
      <c r="J971" s="463"/>
      <c r="K971" s="461"/>
      <c r="L971" s="461"/>
      <c r="M971" s="461"/>
      <c r="N971" s="461"/>
      <c r="O971" s="461"/>
      <c r="P971" s="461"/>
      <c r="Q971" s="461"/>
      <c r="R971" s="461"/>
      <c r="S971" s="461"/>
      <c r="T971" s="461"/>
      <c r="U971" s="461"/>
      <c r="V971" s="461"/>
      <c r="W971" s="461"/>
      <c r="X971" s="461"/>
      <c r="Y971" s="461"/>
    </row>
    <row r="972" spans="1:25" ht="20.25" x14ac:dyDescent="0.4">
      <c r="A972" s="461"/>
      <c r="B972" s="461"/>
      <c r="C972" s="461"/>
      <c r="D972" s="461"/>
      <c r="E972" s="461"/>
      <c r="F972" s="461"/>
      <c r="G972" s="461"/>
      <c r="H972" s="461"/>
      <c r="I972" s="463"/>
      <c r="J972" s="463"/>
      <c r="K972" s="461"/>
      <c r="L972" s="461"/>
      <c r="M972" s="461"/>
      <c r="N972" s="461"/>
      <c r="O972" s="461"/>
      <c r="P972" s="461"/>
      <c r="Q972" s="461"/>
      <c r="R972" s="461"/>
      <c r="S972" s="461"/>
      <c r="T972" s="461"/>
      <c r="U972" s="461"/>
      <c r="V972" s="461"/>
      <c r="W972" s="461"/>
      <c r="X972" s="461"/>
      <c r="Y972" s="461"/>
    </row>
    <row r="973" spans="1:25" ht="20.25" x14ac:dyDescent="0.4">
      <c r="A973" s="461"/>
      <c r="B973" s="461"/>
      <c r="C973" s="461"/>
      <c r="D973" s="461"/>
      <c r="E973" s="461"/>
      <c r="F973" s="461"/>
      <c r="G973" s="461"/>
      <c r="H973" s="461"/>
      <c r="I973" s="463"/>
      <c r="J973" s="463"/>
      <c r="K973" s="461"/>
      <c r="L973" s="461"/>
      <c r="M973" s="461"/>
      <c r="N973" s="461"/>
      <c r="O973" s="461"/>
      <c r="P973" s="461"/>
      <c r="Q973" s="461"/>
      <c r="R973" s="461"/>
      <c r="S973" s="461"/>
      <c r="T973" s="461"/>
      <c r="U973" s="461"/>
      <c r="V973" s="461"/>
      <c r="W973" s="461"/>
      <c r="X973" s="461"/>
      <c r="Y973" s="461"/>
    </row>
    <row r="974" spans="1:25" ht="20.25" x14ac:dyDescent="0.4">
      <c r="A974" s="461"/>
      <c r="B974" s="461"/>
      <c r="C974" s="461"/>
      <c r="D974" s="461"/>
      <c r="E974" s="461"/>
      <c r="F974" s="461"/>
      <c r="G974" s="461"/>
      <c r="H974" s="461"/>
      <c r="I974" s="463"/>
      <c r="J974" s="463"/>
      <c r="K974" s="461"/>
      <c r="L974" s="461"/>
      <c r="M974" s="461"/>
      <c r="N974" s="461"/>
      <c r="O974" s="461"/>
      <c r="P974" s="461"/>
      <c r="Q974" s="461"/>
      <c r="R974" s="461"/>
      <c r="S974" s="461"/>
      <c r="T974" s="461"/>
      <c r="U974" s="461"/>
      <c r="V974" s="461"/>
      <c r="W974" s="461"/>
      <c r="X974" s="461"/>
      <c r="Y974" s="461"/>
    </row>
    <row r="975" spans="1:25" ht="20.25" x14ac:dyDescent="0.4">
      <c r="A975" s="461"/>
      <c r="B975" s="461"/>
      <c r="C975" s="461"/>
      <c r="D975" s="461"/>
      <c r="E975" s="461"/>
      <c r="F975" s="461"/>
      <c r="G975" s="461"/>
      <c r="H975" s="461"/>
      <c r="I975" s="463"/>
      <c r="J975" s="463"/>
      <c r="K975" s="461"/>
      <c r="L975" s="461"/>
      <c r="M975" s="461"/>
      <c r="N975" s="461"/>
      <c r="O975" s="461"/>
      <c r="P975" s="461"/>
      <c r="Q975" s="461"/>
      <c r="R975" s="461"/>
      <c r="S975" s="461"/>
      <c r="T975" s="461"/>
      <c r="U975" s="461"/>
      <c r="V975" s="461"/>
      <c r="W975" s="461"/>
      <c r="X975" s="461"/>
      <c r="Y975" s="461"/>
    </row>
    <row r="976" spans="1:25" ht="20.25" x14ac:dyDescent="0.4">
      <c r="A976" s="461"/>
      <c r="B976" s="461"/>
      <c r="C976" s="461"/>
      <c r="D976" s="461"/>
      <c r="E976" s="461"/>
      <c r="F976" s="461"/>
      <c r="G976" s="461"/>
      <c r="H976" s="461"/>
      <c r="I976" s="463"/>
      <c r="J976" s="463"/>
      <c r="K976" s="461"/>
      <c r="L976" s="461"/>
      <c r="M976" s="461"/>
      <c r="N976" s="461"/>
      <c r="O976" s="461"/>
      <c r="P976" s="461"/>
      <c r="Q976" s="461"/>
      <c r="R976" s="461"/>
      <c r="S976" s="461"/>
      <c r="T976" s="461"/>
      <c r="U976" s="461"/>
      <c r="V976" s="461"/>
      <c r="W976" s="461"/>
      <c r="X976" s="461"/>
      <c r="Y976" s="461"/>
    </row>
    <row r="977" spans="1:25" ht="20.25" x14ac:dyDescent="0.4">
      <c r="A977" s="461"/>
      <c r="B977" s="461"/>
      <c r="C977" s="461"/>
      <c r="D977" s="461"/>
      <c r="E977" s="461"/>
      <c r="F977" s="461"/>
      <c r="G977" s="461"/>
      <c r="H977" s="461"/>
      <c r="I977" s="463"/>
      <c r="J977" s="463"/>
      <c r="K977" s="461"/>
      <c r="L977" s="461"/>
      <c r="M977" s="461"/>
      <c r="N977" s="461"/>
      <c r="O977" s="461"/>
      <c r="P977" s="461"/>
      <c r="Q977" s="461"/>
      <c r="R977" s="461"/>
      <c r="S977" s="461"/>
      <c r="T977" s="461"/>
      <c r="U977" s="461"/>
      <c r="V977" s="461"/>
      <c r="W977" s="461"/>
      <c r="X977" s="461"/>
      <c r="Y977" s="461"/>
    </row>
    <row r="978" spans="1:25" ht="20.25" x14ac:dyDescent="0.4">
      <c r="A978" s="461"/>
      <c r="B978" s="461"/>
      <c r="C978" s="461"/>
      <c r="D978" s="461"/>
      <c r="E978" s="461"/>
      <c r="F978" s="461"/>
      <c r="G978" s="461"/>
      <c r="H978" s="461"/>
      <c r="I978" s="463"/>
      <c r="J978" s="463"/>
      <c r="K978" s="461"/>
      <c r="L978" s="461"/>
      <c r="M978" s="461"/>
      <c r="N978" s="461"/>
      <c r="O978" s="461"/>
      <c r="P978" s="461"/>
      <c r="Q978" s="461"/>
      <c r="R978" s="461"/>
      <c r="S978" s="461"/>
      <c r="T978" s="461"/>
      <c r="U978" s="461"/>
      <c r="V978" s="461"/>
      <c r="W978" s="461"/>
      <c r="X978" s="461"/>
      <c r="Y978" s="461"/>
    </row>
    <row r="979" spans="1:25" ht="20.25" x14ac:dyDescent="0.4">
      <c r="A979" s="461"/>
      <c r="B979" s="461"/>
      <c r="C979" s="461"/>
      <c r="D979" s="461"/>
      <c r="E979" s="461"/>
      <c r="F979" s="461"/>
      <c r="G979" s="461"/>
      <c r="H979" s="461"/>
      <c r="I979" s="463"/>
      <c r="J979" s="463"/>
      <c r="K979" s="461"/>
      <c r="L979" s="461"/>
      <c r="M979" s="461"/>
      <c r="N979" s="461"/>
      <c r="O979" s="461"/>
      <c r="P979" s="461"/>
      <c r="Q979" s="461"/>
      <c r="R979" s="461"/>
      <c r="S979" s="461"/>
      <c r="T979" s="461"/>
      <c r="U979" s="461"/>
      <c r="V979" s="461"/>
      <c r="W979" s="461"/>
      <c r="X979" s="461"/>
      <c r="Y979" s="461"/>
    </row>
    <row r="980" spans="1:25" ht="20.25" x14ac:dyDescent="0.4">
      <c r="A980" s="461"/>
      <c r="B980" s="461"/>
      <c r="C980" s="461"/>
      <c r="D980" s="461"/>
      <c r="E980" s="461"/>
      <c r="F980" s="461"/>
      <c r="G980" s="461"/>
      <c r="H980" s="461"/>
      <c r="I980" s="463"/>
      <c r="J980" s="463"/>
      <c r="K980" s="461"/>
      <c r="L980" s="461"/>
      <c r="M980" s="461"/>
      <c r="N980" s="461"/>
      <c r="O980" s="461"/>
      <c r="P980" s="461"/>
      <c r="Q980" s="461"/>
      <c r="R980" s="461"/>
      <c r="S980" s="461"/>
      <c r="T980" s="461"/>
      <c r="U980" s="461"/>
      <c r="V980" s="461"/>
      <c r="W980" s="461"/>
      <c r="X980" s="461"/>
      <c r="Y980" s="461"/>
    </row>
    <row r="981" spans="1:25" ht="20.25" x14ac:dyDescent="0.4">
      <c r="A981" s="461"/>
      <c r="B981" s="461"/>
      <c r="C981" s="461"/>
      <c r="D981" s="461"/>
      <c r="E981" s="461"/>
      <c r="F981" s="461"/>
      <c r="G981" s="461"/>
      <c r="H981" s="461"/>
      <c r="I981" s="463"/>
      <c r="J981" s="463"/>
      <c r="K981" s="461"/>
      <c r="L981" s="461"/>
      <c r="M981" s="461"/>
      <c r="N981" s="461"/>
      <c r="O981" s="461"/>
      <c r="P981" s="461"/>
      <c r="Q981" s="461"/>
      <c r="R981" s="461"/>
      <c r="S981" s="461"/>
      <c r="T981" s="461"/>
      <c r="U981" s="461"/>
      <c r="V981" s="461"/>
      <c r="W981" s="461"/>
      <c r="X981" s="461"/>
      <c r="Y981" s="461"/>
    </row>
    <row r="982" spans="1:25" ht="20.25" x14ac:dyDescent="0.4">
      <c r="A982" s="461"/>
      <c r="B982" s="461"/>
      <c r="C982" s="461"/>
      <c r="D982" s="461"/>
      <c r="E982" s="461"/>
      <c r="F982" s="461"/>
      <c r="G982" s="461"/>
      <c r="H982" s="461"/>
      <c r="I982" s="463"/>
      <c r="J982" s="463"/>
      <c r="K982" s="461"/>
      <c r="L982" s="461"/>
      <c r="M982" s="461"/>
      <c r="N982" s="461"/>
      <c r="O982" s="461"/>
      <c r="P982" s="461"/>
      <c r="Q982" s="461"/>
      <c r="R982" s="461"/>
      <c r="S982" s="461"/>
      <c r="T982" s="461"/>
      <c r="U982" s="461"/>
      <c r="V982" s="461"/>
      <c r="W982" s="461"/>
      <c r="X982" s="461"/>
      <c r="Y982" s="461"/>
    </row>
    <row r="983" spans="1:25" ht="20.25" x14ac:dyDescent="0.4">
      <c r="A983" s="461"/>
      <c r="B983" s="461"/>
      <c r="C983" s="461"/>
      <c r="D983" s="461"/>
      <c r="E983" s="461"/>
      <c r="F983" s="461"/>
      <c r="G983" s="461"/>
      <c r="H983" s="461"/>
      <c r="I983" s="463"/>
      <c r="J983" s="463"/>
      <c r="K983" s="461"/>
      <c r="L983" s="461"/>
      <c r="M983" s="461"/>
      <c r="N983" s="461"/>
      <c r="O983" s="461"/>
      <c r="P983" s="461"/>
      <c r="Q983" s="461"/>
      <c r="R983" s="461"/>
      <c r="S983" s="461"/>
      <c r="T983" s="461"/>
      <c r="U983" s="461"/>
      <c r="V983" s="461"/>
      <c r="W983" s="461"/>
      <c r="X983" s="461"/>
      <c r="Y983" s="461"/>
    </row>
    <row r="984" spans="1:25" ht="20.25" x14ac:dyDescent="0.4">
      <c r="A984" s="461"/>
      <c r="B984" s="461"/>
      <c r="C984" s="461"/>
      <c r="D984" s="461"/>
      <c r="E984" s="461"/>
      <c r="F984" s="461"/>
      <c r="G984" s="461"/>
      <c r="H984" s="461"/>
      <c r="I984" s="463"/>
      <c r="J984" s="463"/>
      <c r="K984" s="461"/>
      <c r="L984" s="461"/>
      <c r="M984" s="461"/>
      <c r="N984" s="461"/>
      <c r="O984" s="461"/>
      <c r="P984" s="461"/>
      <c r="Q984" s="461"/>
      <c r="R984" s="461"/>
      <c r="S984" s="461"/>
      <c r="T984" s="461"/>
      <c r="U984" s="461"/>
      <c r="V984" s="461"/>
      <c r="W984" s="461"/>
      <c r="X984" s="461"/>
      <c r="Y984" s="461"/>
    </row>
    <row r="985" spans="1:25" ht="20.25" x14ac:dyDescent="0.4">
      <c r="A985" s="461"/>
      <c r="B985" s="461"/>
      <c r="C985" s="461"/>
      <c r="D985" s="461"/>
      <c r="E985" s="461"/>
      <c r="F985" s="461"/>
      <c r="G985" s="461"/>
      <c r="H985" s="461"/>
      <c r="I985" s="463"/>
      <c r="J985" s="463"/>
      <c r="K985" s="461"/>
      <c r="L985" s="461"/>
      <c r="M985" s="461"/>
      <c r="N985" s="461"/>
      <c r="O985" s="461"/>
      <c r="P985" s="461"/>
      <c r="Q985" s="461"/>
      <c r="R985" s="461"/>
      <c r="S985" s="461"/>
      <c r="T985" s="461"/>
      <c r="U985" s="461"/>
      <c r="V985" s="461"/>
      <c r="W985" s="461"/>
      <c r="X985" s="461"/>
      <c r="Y985" s="461"/>
    </row>
    <row r="986" spans="1:25" ht="20.25" x14ac:dyDescent="0.4">
      <c r="A986" s="461"/>
      <c r="B986" s="461"/>
      <c r="C986" s="461"/>
      <c r="D986" s="461"/>
      <c r="E986" s="461"/>
      <c r="F986" s="461"/>
      <c r="G986" s="461"/>
      <c r="H986" s="461"/>
      <c r="I986" s="463"/>
      <c r="J986" s="463"/>
      <c r="K986" s="461"/>
      <c r="L986" s="461"/>
      <c r="M986" s="461"/>
      <c r="N986" s="461"/>
      <c r="O986" s="461"/>
      <c r="P986" s="461"/>
      <c r="Q986" s="461"/>
      <c r="R986" s="461"/>
      <c r="S986" s="461"/>
      <c r="T986" s="461"/>
      <c r="U986" s="461"/>
      <c r="V986" s="461"/>
      <c r="W986" s="461"/>
      <c r="X986" s="461"/>
      <c r="Y986" s="461"/>
    </row>
    <row r="987" spans="1:25" ht="20.25" x14ac:dyDescent="0.4">
      <c r="A987" s="461"/>
      <c r="B987" s="461"/>
      <c r="C987" s="461"/>
      <c r="D987" s="461"/>
      <c r="E987" s="461"/>
      <c r="F987" s="461"/>
      <c r="G987" s="461"/>
      <c r="H987" s="461"/>
      <c r="I987" s="463"/>
      <c r="J987" s="463"/>
      <c r="K987" s="461"/>
      <c r="L987" s="461"/>
      <c r="M987" s="461"/>
      <c r="N987" s="461"/>
      <c r="O987" s="461"/>
      <c r="P987" s="461"/>
      <c r="Q987" s="461"/>
      <c r="R987" s="461"/>
      <c r="S987" s="461"/>
      <c r="T987" s="461"/>
      <c r="U987" s="461"/>
      <c r="V987" s="461"/>
      <c r="W987" s="461"/>
      <c r="X987" s="461"/>
      <c r="Y987" s="461"/>
    </row>
    <row r="988" spans="1:25" ht="20.25" x14ac:dyDescent="0.4">
      <c r="A988" s="461"/>
      <c r="B988" s="461"/>
      <c r="C988" s="461"/>
      <c r="D988" s="461"/>
      <c r="E988" s="461"/>
      <c r="F988" s="461"/>
      <c r="G988" s="461"/>
      <c r="H988" s="461"/>
      <c r="I988" s="463"/>
      <c r="J988" s="463"/>
      <c r="K988" s="461"/>
      <c r="L988" s="461"/>
      <c r="M988" s="461"/>
      <c r="N988" s="461"/>
      <c r="O988" s="461"/>
      <c r="P988" s="461"/>
      <c r="Q988" s="461"/>
      <c r="R988" s="461"/>
      <c r="S988" s="461"/>
      <c r="T988" s="461"/>
      <c r="U988" s="461"/>
      <c r="V988" s="461"/>
      <c r="W988" s="461"/>
      <c r="X988" s="461"/>
      <c r="Y988" s="461"/>
    </row>
    <row r="989" spans="1:25" ht="20.25" x14ac:dyDescent="0.4">
      <c r="A989" s="461"/>
      <c r="B989" s="461"/>
      <c r="C989" s="461"/>
      <c r="D989" s="461"/>
      <c r="E989" s="461"/>
      <c r="F989" s="461"/>
      <c r="G989" s="461"/>
      <c r="H989" s="461"/>
      <c r="I989" s="463"/>
      <c r="J989" s="463"/>
      <c r="K989" s="461"/>
      <c r="L989" s="461"/>
      <c r="M989" s="461"/>
      <c r="N989" s="461"/>
      <c r="O989" s="461"/>
      <c r="P989" s="461"/>
      <c r="Q989" s="461"/>
      <c r="R989" s="461"/>
      <c r="S989" s="461"/>
      <c r="T989" s="461"/>
      <c r="U989" s="461"/>
      <c r="V989" s="461"/>
      <c r="W989" s="461"/>
      <c r="X989" s="461"/>
      <c r="Y989" s="461"/>
    </row>
    <row r="990" spans="1:25" ht="20.25" x14ac:dyDescent="0.4">
      <c r="A990" s="461"/>
      <c r="B990" s="461"/>
      <c r="C990" s="461"/>
      <c r="D990" s="461"/>
      <c r="E990" s="461"/>
      <c r="F990" s="461"/>
      <c r="G990" s="461"/>
      <c r="H990" s="461"/>
      <c r="I990" s="463"/>
      <c r="J990" s="463"/>
      <c r="K990" s="461"/>
      <c r="L990" s="461"/>
      <c r="M990" s="461"/>
      <c r="N990" s="461"/>
      <c r="O990" s="461"/>
      <c r="P990" s="461"/>
      <c r="Q990" s="461"/>
      <c r="R990" s="461"/>
      <c r="S990" s="461"/>
      <c r="T990" s="461"/>
      <c r="U990" s="461"/>
      <c r="V990" s="461"/>
      <c r="W990" s="461"/>
      <c r="X990" s="461"/>
      <c r="Y990" s="461"/>
    </row>
    <row r="991" spans="1:25" ht="20.25" x14ac:dyDescent="0.4">
      <c r="A991" s="461"/>
      <c r="B991" s="461"/>
      <c r="C991" s="461"/>
      <c r="D991" s="461"/>
      <c r="E991" s="461"/>
      <c r="F991" s="461"/>
      <c r="G991" s="461"/>
      <c r="H991" s="461"/>
      <c r="I991" s="463"/>
      <c r="J991" s="463"/>
      <c r="K991" s="461"/>
      <c r="L991" s="461"/>
      <c r="M991" s="461"/>
      <c r="N991" s="461"/>
      <c r="O991" s="461"/>
      <c r="P991" s="461"/>
      <c r="Q991" s="461"/>
      <c r="R991" s="461"/>
      <c r="S991" s="461"/>
      <c r="T991" s="461"/>
      <c r="U991" s="461"/>
      <c r="V991" s="461"/>
      <c r="W991" s="461"/>
      <c r="X991" s="461"/>
      <c r="Y991" s="461"/>
    </row>
    <row r="992" spans="1:25" ht="20.25" x14ac:dyDescent="0.4">
      <c r="A992" s="461"/>
      <c r="B992" s="461"/>
      <c r="C992" s="461"/>
      <c r="D992" s="461"/>
      <c r="E992" s="461"/>
      <c r="F992" s="461"/>
      <c r="G992" s="461"/>
      <c r="H992" s="461"/>
      <c r="I992" s="463"/>
      <c r="J992" s="463"/>
      <c r="K992" s="461"/>
      <c r="L992" s="461"/>
      <c r="M992" s="461"/>
      <c r="N992" s="461"/>
      <c r="O992" s="461"/>
      <c r="P992" s="461"/>
      <c r="Q992" s="461"/>
      <c r="R992" s="461"/>
      <c r="S992" s="461"/>
      <c r="T992" s="461"/>
      <c r="U992" s="461"/>
      <c r="V992" s="461"/>
      <c r="W992" s="461"/>
      <c r="X992" s="461"/>
      <c r="Y992" s="461"/>
    </row>
    <row r="993" spans="1:25" ht="20.25" x14ac:dyDescent="0.4">
      <c r="A993" s="461"/>
      <c r="B993" s="461"/>
      <c r="C993" s="461"/>
      <c r="D993" s="461"/>
      <c r="E993" s="461"/>
      <c r="F993" s="461"/>
      <c r="G993" s="461"/>
      <c r="H993" s="461"/>
      <c r="I993" s="463"/>
      <c r="J993" s="463"/>
      <c r="K993" s="461"/>
      <c r="L993" s="461"/>
      <c r="M993" s="461"/>
      <c r="N993" s="461"/>
      <c r="O993" s="461"/>
      <c r="P993" s="461"/>
      <c r="Q993" s="461"/>
      <c r="R993" s="461"/>
      <c r="S993" s="461"/>
      <c r="T993" s="461"/>
      <c r="U993" s="461"/>
      <c r="V993" s="461"/>
      <c r="W993" s="461"/>
      <c r="X993" s="461"/>
      <c r="Y993" s="461"/>
    </row>
    <row r="994" spans="1:25" ht="20.25" x14ac:dyDescent="0.4">
      <c r="A994" s="461"/>
      <c r="B994" s="461"/>
      <c r="C994" s="461"/>
      <c r="D994" s="461"/>
      <c r="E994" s="461"/>
      <c r="F994" s="461"/>
      <c r="G994" s="461"/>
      <c r="H994" s="461"/>
      <c r="I994" s="463"/>
      <c r="J994" s="463"/>
      <c r="K994" s="461"/>
      <c r="L994" s="461"/>
      <c r="M994" s="461"/>
      <c r="N994" s="461"/>
      <c r="O994" s="461"/>
      <c r="P994" s="461"/>
      <c r="Q994" s="461"/>
      <c r="R994" s="461"/>
      <c r="S994" s="461"/>
      <c r="T994" s="461"/>
      <c r="U994" s="461"/>
      <c r="V994" s="461"/>
      <c r="W994" s="461"/>
      <c r="X994" s="461"/>
      <c r="Y994" s="461"/>
    </row>
    <row r="995" spans="1:25" ht="20.25" x14ac:dyDescent="0.4">
      <c r="A995" s="461"/>
      <c r="B995" s="461"/>
      <c r="C995" s="461"/>
      <c r="D995" s="461"/>
      <c r="E995" s="461"/>
      <c r="F995" s="461"/>
      <c r="G995" s="461"/>
      <c r="H995" s="461"/>
      <c r="I995" s="463"/>
      <c r="J995" s="463"/>
      <c r="K995" s="461"/>
      <c r="L995" s="461"/>
      <c r="M995" s="461"/>
      <c r="N995" s="461"/>
      <c r="O995" s="461"/>
      <c r="P995" s="461"/>
      <c r="Q995" s="461"/>
      <c r="R995" s="461"/>
      <c r="S995" s="461"/>
      <c r="T995" s="461"/>
      <c r="U995" s="461"/>
      <c r="V995" s="461"/>
      <c r="W995" s="461"/>
      <c r="X995" s="461"/>
      <c r="Y995" s="461"/>
    </row>
    <row r="996" spans="1:25" ht="20.25" x14ac:dyDescent="0.4">
      <c r="A996" s="461"/>
      <c r="B996" s="461"/>
      <c r="C996" s="461"/>
      <c r="D996" s="461"/>
      <c r="E996" s="461"/>
      <c r="F996" s="461"/>
      <c r="G996" s="461"/>
      <c r="H996" s="461"/>
      <c r="I996" s="463"/>
      <c r="J996" s="463"/>
      <c r="K996" s="461"/>
      <c r="L996" s="461"/>
      <c r="M996" s="461"/>
      <c r="N996" s="461"/>
      <c r="O996" s="461"/>
      <c r="P996" s="461"/>
      <c r="Q996" s="461"/>
      <c r="R996" s="461"/>
      <c r="S996" s="461"/>
      <c r="T996" s="461"/>
      <c r="U996" s="461"/>
      <c r="V996" s="461"/>
      <c r="W996" s="461"/>
      <c r="X996" s="461"/>
      <c r="Y996" s="461"/>
    </row>
    <row r="997" spans="1:25" ht="20.25" x14ac:dyDescent="0.4">
      <c r="A997" s="461"/>
      <c r="B997" s="461"/>
      <c r="C997" s="461"/>
      <c r="D997" s="461"/>
      <c r="E997" s="461"/>
      <c r="F997" s="461"/>
      <c r="G997" s="461"/>
      <c r="H997" s="461"/>
      <c r="I997" s="463"/>
      <c r="J997" s="463"/>
      <c r="K997" s="461"/>
      <c r="L997" s="461"/>
      <c r="M997" s="461"/>
      <c r="N997" s="461"/>
      <c r="O997" s="461"/>
      <c r="P997" s="461"/>
      <c r="Q997" s="461"/>
      <c r="R997" s="461"/>
      <c r="S997" s="461"/>
      <c r="T997" s="461"/>
      <c r="U997" s="461"/>
      <c r="V997" s="461"/>
      <c r="W997" s="461"/>
      <c r="X997" s="461"/>
      <c r="Y997" s="461"/>
    </row>
    <row r="998" spans="1:25" ht="20.25" x14ac:dyDescent="0.4">
      <c r="A998" s="461"/>
      <c r="B998" s="461"/>
      <c r="C998" s="461"/>
      <c r="D998" s="461"/>
      <c r="E998" s="461"/>
      <c r="F998" s="461"/>
      <c r="G998" s="461"/>
      <c r="H998" s="461"/>
      <c r="I998" s="463"/>
      <c r="J998" s="463"/>
      <c r="K998" s="461"/>
      <c r="L998" s="461"/>
      <c r="M998" s="461"/>
      <c r="N998" s="461"/>
      <c r="O998" s="461"/>
      <c r="P998" s="461"/>
      <c r="Q998" s="461"/>
      <c r="R998" s="461"/>
      <c r="S998" s="461"/>
      <c r="T998" s="461"/>
      <c r="U998" s="461"/>
      <c r="V998" s="461"/>
      <c r="W998" s="461"/>
      <c r="X998" s="461"/>
      <c r="Y998" s="461"/>
    </row>
    <row r="999" spans="1:25" ht="20.25" x14ac:dyDescent="0.4">
      <c r="A999" s="461"/>
      <c r="B999" s="461"/>
      <c r="C999" s="461"/>
      <c r="D999" s="461"/>
      <c r="E999" s="461"/>
      <c r="F999" s="461"/>
      <c r="G999" s="461"/>
      <c r="H999" s="461"/>
      <c r="I999" s="463"/>
      <c r="J999" s="463"/>
      <c r="K999" s="461"/>
      <c r="L999" s="461"/>
      <c r="M999" s="461"/>
      <c r="N999" s="461"/>
      <c r="O999" s="461"/>
      <c r="P999" s="461"/>
      <c r="Q999" s="461"/>
      <c r="R999" s="461"/>
      <c r="S999" s="461"/>
      <c r="T999" s="461"/>
      <c r="U999" s="461"/>
      <c r="V999" s="461"/>
      <c r="W999" s="461"/>
      <c r="X999" s="461"/>
      <c r="Y999" s="461"/>
    </row>
    <row r="1000" spans="1:25" ht="20.25" x14ac:dyDescent="0.4">
      <c r="A1000" s="461"/>
      <c r="B1000" s="461"/>
      <c r="C1000" s="461"/>
      <c r="D1000" s="461"/>
      <c r="E1000" s="461"/>
      <c r="F1000" s="461"/>
      <c r="G1000" s="461"/>
      <c r="H1000" s="461"/>
      <c r="I1000" s="463"/>
      <c r="J1000" s="463"/>
      <c r="K1000" s="461"/>
      <c r="L1000" s="461"/>
      <c r="M1000" s="461"/>
      <c r="N1000" s="461"/>
      <c r="O1000" s="461"/>
      <c r="P1000" s="461"/>
      <c r="Q1000" s="461"/>
      <c r="R1000" s="461"/>
      <c r="S1000" s="461"/>
      <c r="T1000" s="461"/>
      <c r="U1000" s="461"/>
      <c r="V1000" s="461"/>
      <c r="W1000" s="461"/>
      <c r="X1000" s="461"/>
      <c r="Y1000" s="461"/>
    </row>
    <row r="1001" spans="1:25" ht="20.25" x14ac:dyDescent="0.4">
      <c r="A1001" s="461"/>
      <c r="B1001" s="461"/>
      <c r="C1001" s="461"/>
      <c r="D1001" s="461"/>
      <c r="E1001" s="461"/>
      <c r="F1001" s="461"/>
      <c r="G1001" s="461"/>
      <c r="H1001" s="461"/>
      <c r="I1001" s="463"/>
      <c r="J1001" s="463"/>
      <c r="K1001" s="461"/>
      <c r="L1001" s="461"/>
      <c r="M1001" s="461"/>
      <c r="N1001" s="461"/>
      <c r="O1001" s="461"/>
      <c r="P1001" s="461"/>
      <c r="Q1001" s="461"/>
      <c r="R1001" s="461"/>
      <c r="S1001" s="461"/>
      <c r="T1001" s="461"/>
      <c r="U1001" s="461"/>
      <c r="V1001" s="461"/>
      <c r="W1001" s="461"/>
      <c r="X1001" s="461"/>
      <c r="Y1001" s="461"/>
    </row>
    <row r="1002" spans="1:25" ht="20.25" x14ac:dyDescent="0.4">
      <c r="A1002" s="461"/>
      <c r="B1002" s="461"/>
      <c r="C1002" s="461"/>
      <c r="D1002" s="461"/>
      <c r="E1002" s="461"/>
      <c r="F1002" s="461"/>
      <c r="G1002" s="461"/>
      <c r="H1002" s="461"/>
      <c r="I1002" s="463"/>
      <c r="J1002" s="463"/>
      <c r="K1002" s="461"/>
      <c r="L1002" s="461"/>
      <c r="M1002" s="461"/>
      <c r="N1002" s="461"/>
      <c r="O1002" s="461"/>
      <c r="P1002" s="461"/>
      <c r="Q1002" s="461"/>
      <c r="R1002" s="461"/>
      <c r="S1002" s="461"/>
      <c r="T1002" s="461"/>
      <c r="U1002" s="461"/>
      <c r="V1002" s="461"/>
      <c r="W1002" s="461"/>
      <c r="X1002" s="461"/>
      <c r="Y1002" s="461"/>
    </row>
    <row r="1003" spans="1:25" ht="20.25" x14ac:dyDescent="0.4">
      <c r="A1003" s="461"/>
      <c r="B1003" s="461"/>
      <c r="C1003" s="461"/>
      <c r="D1003" s="461"/>
      <c r="E1003" s="461"/>
      <c r="F1003" s="461"/>
      <c r="G1003" s="461"/>
      <c r="H1003" s="461"/>
      <c r="I1003" s="463"/>
      <c r="J1003" s="463"/>
      <c r="K1003" s="461"/>
      <c r="L1003" s="461"/>
      <c r="M1003" s="461"/>
      <c r="N1003" s="461"/>
      <c r="O1003" s="461"/>
      <c r="P1003" s="461"/>
      <c r="Q1003" s="461"/>
      <c r="R1003" s="461"/>
      <c r="S1003" s="461"/>
      <c r="T1003" s="461"/>
      <c r="U1003" s="461"/>
      <c r="V1003" s="461"/>
      <c r="W1003" s="461"/>
      <c r="X1003" s="461"/>
      <c r="Y1003" s="461"/>
    </row>
    <row r="1004" spans="1:25" ht="20.25" x14ac:dyDescent="0.4">
      <c r="A1004" s="461"/>
      <c r="B1004" s="461"/>
      <c r="C1004" s="461"/>
      <c r="D1004" s="461"/>
      <c r="E1004" s="461"/>
      <c r="F1004" s="461"/>
      <c r="G1004" s="461"/>
      <c r="H1004" s="461"/>
      <c r="I1004" s="463"/>
      <c r="J1004" s="463"/>
      <c r="K1004" s="461"/>
      <c r="L1004" s="461"/>
      <c r="M1004" s="461"/>
      <c r="N1004" s="461"/>
      <c r="O1004" s="461"/>
      <c r="P1004" s="461"/>
      <c r="Q1004" s="461"/>
      <c r="R1004" s="461"/>
      <c r="S1004" s="461"/>
      <c r="T1004" s="461"/>
      <c r="U1004" s="461"/>
      <c r="V1004" s="461"/>
      <c r="W1004" s="461"/>
      <c r="X1004" s="461"/>
      <c r="Y1004" s="461"/>
    </row>
    <row r="1005" spans="1:25" ht="20.25" x14ac:dyDescent="0.4">
      <c r="A1005" s="461"/>
      <c r="B1005" s="461"/>
      <c r="C1005" s="461"/>
      <c r="D1005" s="461"/>
      <c r="E1005" s="461"/>
      <c r="F1005" s="461"/>
      <c r="G1005" s="461"/>
      <c r="H1005" s="461"/>
      <c r="I1005" s="463"/>
      <c r="J1005" s="463"/>
      <c r="K1005" s="461"/>
      <c r="L1005" s="461"/>
      <c r="M1005" s="461"/>
      <c r="N1005" s="461"/>
      <c r="O1005" s="461"/>
      <c r="P1005" s="461"/>
      <c r="Q1005" s="461"/>
      <c r="R1005" s="461"/>
      <c r="S1005" s="461"/>
      <c r="T1005" s="461"/>
      <c r="U1005" s="461"/>
      <c r="V1005" s="461"/>
      <c r="W1005" s="461"/>
      <c r="X1005" s="461"/>
      <c r="Y1005" s="461"/>
    </row>
    <row r="1006" spans="1:25" ht="20.25" x14ac:dyDescent="0.4">
      <c r="A1006" s="461"/>
      <c r="B1006" s="461"/>
      <c r="C1006" s="461"/>
      <c r="D1006" s="461"/>
      <c r="E1006" s="461"/>
      <c r="F1006" s="461"/>
      <c r="G1006" s="461"/>
      <c r="H1006" s="461"/>
      <c r="I1006" s="463"/>
      <c r="J1006" s="463"/>
      <c r="K1006" s="461"/>
      <c r="L1006" s="461"/>
      <c r="M1006" s="461"/>
      <c r="N1006" s="461"/>
      <c r="O1006" s="461"/>
      <c r="P1006" s="461"/>
      <c r="Q1006" s="461"/>
      <c r="R1006" s="461"/>
      <c r="S1006" s="461"/>
      <c r="T1006" s="461"/>
      <c r="U1006" s="461"/>
      <c r="V1006" s="461"/>
      <c r="W1006" s="461"/>
      <c r="X1006" s="461"/>
      <c r="Y1006" s="461"/>
    </row>
    <row r="1007" spans="1:25" ht="20.25" x14ac:dyDescent="0.4">
      <c r="A1007" s="461"/>
      <c r="B1007" s="461"/>
      <c r="C1007" s="461"/>
      <c r="D1007" s="461"/>
      <c r="E1007" s="461"/>
      <c r="F1007" s="461"/>
      <c r="G1007" s="461"/>
      <c r="H1007" s="461"/>
      <c r="I1007" s="463"/>
      <c r="J1007" s="463"/>
      <c r="K1007" s="461"/>
      <c r="L1007" s="461"/>
      <c r="M1007" s="461"/>
      <c r="N1007" s="461"/>
      <c r="O1007" s="461"/>
      <c r="P1007" s="461"/>
      <c r="Q1007" s="461"/>
      <c r="R1007" s="461"/>
      <c r="S1007" s="461"/>
      <c r="T1007" s="461"/>
      <c r="U1007" s="461"/>
      <c r="V1007" s="461"/>
      <c r="W1007" s="461"/>
      <c r="X1007" s="461"/>
      <c r="Y1007" s="461"/>
    </row>
    <row r="1008" spans="1:25" ht="20.25" x14ac:dyDescent="0.4">
      <c r="A1008" s="461"/>
      <c r="B1008" s="461"/>
      <c r="C1008" s="461"/>
      <c r="D1008" s="461"/>
      <c r="E1008" s="461"/>
      <c r="F1008" s="461"/>
      <c r="G1008" s="461"/>
      <c r="H1008" s="461"/>
      <c r="I1008" s="463"/>
      <c r="J1008" s="463"/>
      <c r="K1008" s="461"/>
      <c r="L1008" s="461"/>
      <c r="M1008" s="461"/>
      <c r="N1008" s="461"/>
      <c r="O1008" s="461"/>
      <c r="P1008" s="461"/>
      <c r="Q1008" s="461"/>
      <c r="R1008" s="461"/>
      <c r="S1008" s="461"/>
      <c r="T1008" s="461"/>
      <c r="U1008" s="461"/>
      <c r="V1008" s="461"/>
      <c r="W1008" s="461"/>
      <c r="X1008" s="461"/>
      <c r="Y1008" s="461"/>
    </row>
    <row r="1009" spans="1:25" ht="20.25" x14ac:dyDescent="0.4">
      <c r="A1009" s="461"/>
      <c r="B1009" s="461"/>
      <c r="C1009" s="461"/>
      <c r="D1009" s="461"/>
      <c r="E1009" s="461"/>
      <c r="F1009" s="461"/>
      <c r="G1009" s="461"/>
      <c r="H1009" s="461"/>
      <c r="I1009" s="463"/>
      <c r="J1009" s="463"/>
      <c r="K1009" s="461"/>
      <c r="L1009" s="461"/>
      <c r="M1009" s="461"/>
      <c r="N1009" s="461"/>
      <c r="O1009" s="461"/>
      <c r="P1009" s="461"/>
      <c r="Q1009" s="461"/>
      <c r="R1009" s="461"/>
      <c r="S1009" s="461"/>
      <c r="T1009" s="461"/>
      <c r="U1009" s="461"/>
      <c r="V1009" s="461"/>
      <c r="W1009" s="461"/>
      <c r="X1009" s="461"/>
      <c r="Y1009" s="461"/>
    </row>
    <row r="1010" spans="1:25" ht="20.25" x14ac:dyDescent="0.4">
      <c r="A1010" s="461"/>
      <c r="B1010" s="461"/>
      <c r="C1010" s="461"/>
      <c r="D1010" s="461"/>
      <c r="E1010" s="461"/>
      <c r="F1010" s="461"/>
      <c r="G1010" s="461"/>
      <c r="H1010" s="461"/>
      <c r="I1010" s="463"/>
      <c r="J1010" s="463"/>
      <c r="K1010" s="461"/>
      <c r="L1010" s="461"/>
      <c r="M1010" s="461"/>
      <c r="N1010" s="461"/>
      <c r="O1010" s="461"/>
      <c r="P1010" s="461"/>
      <c r="Q1010" s="461"/>
      <c r="R1010" s="461"/>
      <c r="S1010" s="461"/>
      <c r="T1010" s="461"/>
      <c r="U1010" s="461"/>
      <c r="V1010" s="461"/>
      <c r="W1010" s="461"/>
      <c r="X1010" s="461"/>
      <c r="Y1010" s="461"/>
    </row>
    <row r="1011" spans="1:25" ht="20.25" x14ac:dyDescent="0.4">
      <c r="A1011" s="461"/>
      <c r="B1011" s="461"/>
      <c r="C1011" s="461"/>
      <c r="D1011" s="461"/>
      <c r="E1011" s="461"/>
      <c r="F1011" s="461"/>
      <c r="G1011" s="461"/>
      <c r="H1011" s="461"/>
      <c r="I1011" s="463"/>
      <c r="J1011" s="463"/>
      <c r="K1011" s="461"/>
      <c r="L1011" s="461"/>
      <c r="M1011" s="461"/>
      <c r="N1011" s="461"/>
      <c r="O1011" s="461"/>
      <c r="P1011" s="461"/>
      <c r="Q1011" s="461"/>
      <c r="R1011" s="461"/>
      <c r="S1011" s="461"/>
      <c r="T1011" s="461"/>
      <c r="U1011" s="461"/>
      <c r="V1011" s="461"/>
      <c r="W1011" s="461"/>
      <c r="X1011" s="461"/>
      <c r="Y1011" s="461"/>
    </row>
    <row r="1012" spans="1:25" ht="20.25" x14ac:dyDescent="0.4">
      <c r="A1012" s="461"/>
      <c r="B1012" s="461"/>
      <c r="C1012" s="461"/>
      <c r="D1012" s="461"/>
      <c r="E1012" s="461"/>
      <c r="F1012" s="461"/>
      <c r="G1012" s="461"/>
      <c r="H1012" s="461"/>
      <c r="I1012" s="463"/>
      <c r="J1012" s="463"/>
      <c r="K1012" s="461"/>
      <c r="L1012" s="461"/>
      <c r="M1012" s="461"/>
      <c r="N1012" s="461"/>
      <c r="O1012" s="461"/>
      <c r="P1012" s="461"/>
      <c r="Q1012" s="461"/>
      <c r="R1012" s="461"/>
      <c r="S1012" s="461"/>
      <c r="T1012" s="461"/>
      <c r="U1012" s="461"/>
      <c r="V1012" s="461"/>
      <c r="W1012" s="461"/>
      <c r="X1012" s="461"/>
      <c r="Y1012" s="461"/>
    </row>
    <row r="1013" spans="1:25" ht="20.25" x14ac:dyDescent="0.4">
      <c r="A1013" s="461"/>
      <c r="B1013" s="461"/>
      <c r="C1013" s="461"/>
      <c r="D1013" s="461"/>
      <c r="E1013" s="461"/>
      <c r="F1013" s="461"/>
      <c r="G1013" s="461"/>
      <c r="H1013" s="461"/>
      <c r="I1013" s="463"/>
      <c r="J1013" s="463"/>
      <c r="K1013" s="461"/>
      <c r="L1013" s="461"/>
      <c r="M1013" s="461"/>
      <c r="N1013" s="461"/>
      <c r="O1013" s="461"/>
      <c r="P1013" s="461"/>
      <c r="Q1013" s="461"/>
      <c r="R1013" s="461"/>
      <c r="S1013" s="461"/>
      <c r="T1013" s="461"/>
      <c r="U1013" s="461"/>
      <c r="V1013" s="461"/>
      <c r="W1013" s="461"/>
      <c r="X1013" s="461"/>
      <c r="Y1013" s="461"/>
    </row>
    <row r="1014" spans="1:25" ht="20.25" x14ac:dyDescent="0.4">
      <c r="A1014" s="461"/>
      <c r="B1014" s="461"/>
      <c r="C1014" s="461"/>
      <c r="D1014" s="461"/>
      <c r="E1014" s="461"/>
      <c r="F1014" s="461"/>
      <c r="G1014" s="461"/>
      <c r="H1014" s="461"/>
      <c r="I1014" s="463"/>
      <c r="J1014" s="463"/>
      <c r="K1014" s="461"/>
      <c r="L1014" s="461"/>
      <c r="M1014" s="461"/>
      <c r="N1014" s="461"/>
      <c r="O1014" s="461"/>
      <c r="P1014" s="461"/>
      <c r="Q1014" s="461"/>
      <c r="R1014" s="461"/>
      <c r="S1014" s="461"/>
      <c r="T1014" s="461"/>
      <c r="U1014" s="461"/>
      <c r="V1014" s="461"/>
      <c r="W1014" s="461"/>
      <c r="X1014" s="461"/>
      <c r="Y1014" s="461"/>
    </row>
    <row r="1015" spans="1:25" ht="20.25" x14ac:dyDescent="0.4">
      <c r="A1015" s="461"/>
      <c r="B1015" s="461"/>
      <c r="C1015" s="461"/>
      <c r="D1015" s="461"/>
      <c r="E1015" s="461"/>
      <c r="F1015" s="461"/>
      <c r="G1015" s="461"/>
      <c r="H1015" s="461"/>
      <c r="I1015" s="463"/>
      <c r="J1015" s="463"/>
      <c r="K1015" s="461"/>
      <c r="L1015" s="461"/>
      <c r="M1015" s="461"/>
      <c r="N1015" s="461"/>
      <c r="O1015" s="461"/>
      <c r="P1015" s="461"/>
      <c r="Q1015" s="461"/>
      <c r="R1015" s="461"/>
      <c r="S1015" s="461"/>
      <c r="T1015" s="461"/>
      <c r="U1015" s="461"/>
      <c r="V1015" s="461"/>
      <c r="W1015" s="461"/>
      <c r="X1015" s="461"/>
      <c r="Y1015" s="461"/>
    </row>
    <row r="1016" spans="1:25" ht="20.25" x14ac:dyDescent="0.4">
      <c r="A1016" s="461"/>
      <c r="B1016" s="461"/>
      <c r="C1016" s="461"/>
      <c r="D1016" s="461"/>
      <c r="E1016" s="461"/>
      <c r="F1016" s="461"/>
      <c r="G1016" s="461"/>
      <c r="H1016" s="461"/>
      <c r="I1016" s="463"/>
      <c r="J1016" s="463"/>
      <c r="K1016" s="461"/>
      <c r="L1016" s="461"/>
      <c r="M1016" s="461"/>
      <c r="N1016" s="461"/>
      <c r="O1016" s="461"/>
      <c r="P1016" s="461"/>
      <c r="Q1016" s="461"/>
      <c r="R1016" s="461"/>
      <c r="S1016" s="461"/>
      <c r="T1016" s="461"/>
      <c r="U1016" s="461"/>
      <c r="V1016" s="461"/>
      <c r="W1016" s="461"/>
      <c r="X1016" s="461"/>
      <c r="Y1016" s="461"/>
    </row>
    <row r="1017" spans="1:25" ht="20.25" x14ac:dyDescent="0.4">
      <c r="A1017" s="461"/>
      <c r="B1017" s="461"/>
      <c r="C1017" s="461"/>
      <c r="D1017" s="461"/>
      <c r="E1017" s="461"/>
      <c r="F1017" s="461"/>
      <c r="G1017" s="461"/>
      <c r="H1017" s="461"/>
      <c r="I1017" s="463"/>
      <c r="J1017" s="463"/>
      <c r="K1017" s="461"/>
      <c r="L1017" s="461"/>
      <c r="M1017" s="461"/>
      <c r="N1017" s="461"/>
      <c r="O1017" s="461"/>
      <c r="P1017" s="461"/>
      <c r="Q1017" s="461"/>
      <c r="R1017" s="461"/>
      <c r="S1017" s="461"/>
      <c r="T1017" s="461"/>
      <c r="U1017" s="461"/>
      <c r="V1017" s="461"/>
      <c r="W1017" s="461"/>
      <c r="X1017" s="461"/>
      <c r="Y1017" s="461"/>
    </row>
    <row r="1018" spans="1:25" ht="20.25" x14ac:dyDescent="0.4">
      <c r="A1018" s="461"/>
      <c r="B1018" s="461"/>
      <c r="C1018" s="461"/>
      <c r="D1018" s="461"/>
      <c r="E1018" s="461"/>
      <c r="F1018" s="461"/>
      <c r="G1018" s="461"/>
      <c r="H1018" s="461"/>
      <c r="I1018" s="463"/>
      <c r="J1018" s="463"/>
      <c r="K1018" s="461"/>
      <c r="L1018" s="461"/>
      <c r="M1018" s="461"/>
      <c r="N1018" s="461"/>
      <c r="O1018" s="461"/>
      <c r="P1018" s="461"/>
      <c r="Q1018" s="461"/>
      <c r="R1018" s="461"/>
      <c r="S1018" s="461"/>
      <c r="T1018" s="461"/>
      <c r="U1018" s="461"/>
      <c r="V1018" s="461"/>
      <c r="W1018" s="461"/>
      <c r="X1018" s="461"/>
      <c r="Y1018" s="461"/>
    </row>
    <row r="1019" spans="1:25" ht="20.25" x14ac:dyDescent="0.4">
      <c r="A1019" s="461"/>
      <c r="B1019" s="461"/>
      <c r="C1019" s="461"/>
      <c r="D1019" s="461"/>
      <c r="E1019" s="461"/>
      <c r="F1019" s="461"/>
      <c r="G1019" s="461"/>
      <c r="H1019" s="461"/>
      <c r="I1019" s="463"/>
      <c r="J1019" s="463"/>
      <c r="K1019" s="461"/>
      <c r="L1019" s="461"/>
      <c r="M1019" s="461"/>
      <c r="N1019" s="461"/>
      <c r="O1019" s="461"/>
      <c r="P1019" s="461"/>
      <c r="Q1019" s="461"/>
      <c r="R1019" s="461"/>
      <c r="S1019" s="461"/>
      <c r="T1019" s="461"/>
      <c r="U1019" s="461"/>
      <c r="V1019" s="461"/>
      <c r="W1019" s="461"/>
      <c r="X1019" s="461"/>
      <c r="Y1019" s="461"/>
    </row>
    <row r="1020" spans="1:25" ht="20.25" x14ac:dyDescent="0.4">
      <c r="A1020" s="461"/>
      <c r="B1020" s="461"/>
      <c r="C1020" s="461"/>
      <c r="D1020" s="461"/>
      <c r="E1020" s="461"/>
      <c r="F1020" s="461"/>
      <c r="G1020" s="461"/>
      <c r="H1020" s="461"/>
      <c r="I1020" s="463"/>
      <c r="J1020" s="463"/>
      <c r="K1020" s="461"/>
      <c r="L1020" s="461"/>
      <c r="M1020" s="461"/>
      <c r="N1020" s="461"/>
      <c r="O1020" s="461"/>
      <c r="P1020" s="461"/>
      <c r="Q1020" s="461"/>
      <c r="R1020" s="461"/>
      <c r="S1020" s="461"/>
      <c r="T1020" s="461"/>
      <c r="U1020" s="461"/>
      <c r="V1020" s="461"/>
      <c r="W1020" s="461"/>
      <c r="X1020" s="461"/>
      <c r="Y1020" s="461"/>
    </row>
    <row r="1021" spans="1:25" ht="20.25" x14ac:dyDescent="0.4">
      <c r="A1021" s="461"/>
      <c r="B1021" s="461"/>
      <c r="C1021" s="461"/>
      <c r="D1021" s="461"/>
      <c r="E1021" s="461"/>
      <c r="F1021" s="461"/>
      <c r="G1021" s="461"/>
      <c r="H1021" s="461"/>
      <c r="I1021" s="463"/>
      <c r="J1021" s="463"/>
      <c r="K1021" s="461"/>
      <c r="L1021" s="461"/>
      <c r="M1021" s="461"/>
      <c r="N1021" s="461"/>
      <c r="O1021" s="461"/>
      <c r="P1021" s="461"/>
      <c r="Q1021" s="461"/>
      <c r="R1021" s="461"/>
      <c r="S1021" s="461"/>
      <c r="T1021" s="461"/>
      <c r="U1021" s="461"/>
      <c r="V1021" s="461"/>
      <c r="W1021" s="461"/>
      <c r="X1021" s="461"/>
      <c r="Y1021" s="461"/>
    </row>
    <row r="1022" spans="1:25" ht="20.25" x14ac:dyDescent="0.4">
      <c r="A1022" s="461"/>
      <c r="B1022" s="461"/>
      <c r="C1022" s="461"/>
      <c r="D1022" s="461"/>
      <c r="E1022" s="461"/>
      <c r="F1022" s="461"/>
      <c r="G1022" s="461"/>
      <c r="H1022" s="461"/>
      <c r="I1022" s="463"/>
      <c r="J1022" s="463"/>
      <c r="K1022" s="461"/>
      <c r="L1022" s="461"/>
      <c r="M1022" s="461"/>
      <c r="N1022" s="461"/>
      <c r="O1022" s="461"/>
      <c r="P1022" s="461"/>
      <c r="Q1022" s="461"/>
      <c r="R1022" s="461"/>
      <c r="S1022" s="461"/>
      <c r="T1022" s="461"/>
      <c r="U1022" s="461"/>
      <c r="V1022" s="461"/>
      <c r="W1022" s="461"/>
      <c r="X1022" s="461"/>
      <c r="Y1022" s="461"/>
    </row>
    <row r="1023" spans="1:25" ht="20.25" x14ac:dyDescent="0.4">
      <c r="A1023" s="461"/>
      <c r="B1023" s="461"/>
      <c r="C1023" s="461"/>
      <c r="D1023" s="461"/>
      <c r="E1023" s="461"/>
      <c r="F1023" s="461"/>
      <c r="G1023" s="461"/>
      <c r="H1023" s="461"/>
      <c r="I1023" s="463"/>
      <c r="J1023" s="463"/>
      <c r="K1023" s="461"/>
      <c r="L1023" s="461"/>
      <c r="M1023" s="461"/>
      <c r="N1023" s="461"/>
      <c r="O1023" s="461"/>
      <c r="P1023" s="461"/>
      <c r="Q1023" s="461"/>
      <c r="R1023" s="461"/>
      <c r="S1023" s="461"/>
      <c r="T1023" s="461"/>
      <c r="U1023" s="461"/>
      <c r="V1023" s="461"/>
      <c r="W1023" s="461"/>
      <c r="X1023" s="461"/>
      <c r="Y1023" s="461"/>
    </row>
    <row r="1024" spans="1:25" ht="20.25" x14ac:dyDescent="0.4">
      <c r="A1024" s="461"/>
      <c r="B1024" s="461"/>
      <c r="C1024" s="461"/>
      <c r="D1024" s="461"/>
      <c r="E1024" s="461"/>
      <c r="F1024" s="461"/>
      <c r="G1024" s="461"/>
      <c r="H1024" s="461"/>
      <c r="I1024" s="463"/>
      <c r="J1024" s="463"/>
      <c r="K1024" s="461"/>
      <c r="L1024" s="461"/>
      <c r="M1024" s="461"/>
      <c r="N1024" s="461"/>
      <c r="O1024" s="461"/>
      <c r="P1024" s="461"/>
      <c r="Q1024" s="461"/>
      <c r="R1024" s="461"/>
      <c r="S1024" s="461"/>
      <c r="T1024" s="461"/>
      <c r="U1024" s="461"/>
      <c r="V1024" s="461"/>
      <c r="W1024" s="461"/>
      <c r="X1024" s="461"/>
      <c r="Y1024" s="461"/>
    </row>
    <row r="1025" spans="1:25" ht="20.25" x14ac:dyDescent="0.4">
      <c r="A1025" s="461"/>
      <c r="B1025" s="461"/>
      <c r="C1025" s="461"/>
      <c r="D1025" s="461"/>
      <c r="E1025" s="461"/>
      <c r="F1025" s="461"/>
      <c r="G1025" s="461"/>
      <c r="H1025" s="461"/>
      <c r="I1025" s="463"/>
      <c r="J1025" s="463"/>
      <c r="K1025" s="461"/>
      <c r="L1025" s="461"/>
      <c r="M1025" s="461"/>
      <c r="N1025" s="461"/>
      <c r="O1025" s="461"/>
      <c r="P1025" s="461"/>
      <c r="Q1025" s="461"/>
      <c r="R1025" s="461"/>
      <c r="S1025" s="461"/>
      <c r="T1025" s="461"/>
      <c r="U1025" s="461"/>
      <c r="V1025" s="461"/>
      <c r="W1025" s="461"/>
      <c r="X1025" s="461"/>
      <c r="Y1025" s="461"/>
    </row>
    <row r="1026" spans="1:25" ht="20.25" x14ac:dyDescent="0.4">
      <c r="A1026" s="461"/>
      <c r="B1026" s="461"/>
      <c r="C1026" s="461"/>
      <c r="D1026" s="461"/>
      <c r="E1026" s="461"/>
      <c r="F1026" s="461"/>
      <c r="G1026" s="461"/>
      <c r="H1026" s="461"/>
      <c r="I1026" s="463"/>
      <c r="J1026" s="463"/>
      <c r="K1026" s="461"/>
      <c r="L1026" s="461"/>
      <c r="M1026" s="461"/>
      <c r="N1026" s="461"/>
      <c r="O1026" s="461"/>
      <c r="P1026" s="461"/>
      <c r="Q1026" s="461"/>
      <c r="R1026" s="461"/>
      <c r="S1026" s="461"/>
      <c r="T1026" s="461"/>
      <c r="U1026" s="461"/>
      <c r="V1026" s="461"/>
      <c r="W1026" s="461"/>
      <c r="X1026" s="461"/>
      <c r="Y1026" s="461"/>
    </row>
    <row r="1027" spans="1:25" ht="20.25" x14ac:dyDescent="0.4">
      <c r="A1027" s="461"/>
      <c r="B1027" s="461"/>
      <c r="C1027" s="461"/>
      <c r="D1027" s="461"/>
      <c r="E1027" s="461"/>
      <c r="F1027" s="461"/>
      <c r="G1027" s="461"/>
      <c r="H1027" s="461"/>
      <c r="I1027" s="463"/>
      <c r="J1027" s="463"/>
      <c r="K1027" s="461"/>
      <c r="L1027" s="461"/>
      <c r="M1027" s="461"/>
      <c r="N1027" s="461"/>
      <c r="O1027" s="461"/>
      <c r="P1027" s="461"/>
      <c r="Q1027" s="461"/>
      <c r="R1027" s="461"/>
      <c r="S1027" s="461"/>
      <c r="T1027" s="461"/>
      <c r="U1027" s="461"/>
      <c r="V1027" s="461"/>
      <c r="W1027" s="461"/>
      <c r="X1027" s="461"/>
      <c r="Y1027" s="461"/>
    </row>
    <row r="1028" spans="1:25" ht="20.25" x14ac:dyDescent="0.4">
      <c r="A1028" s="461"/>
      <c r="B1028" s="461"/>
      <c r="C1028" s="461"/>
      <c r="D1028" s="461"/>
      <c r="E1028" s="461"/>
      <c r="F1028" s="461"/>
      <c r="G1028" s="461"/>
      <c r="H1028" s="461"/>
      <c r="I1028" s="463"/>
      <c r="J1028" s="463"/>
      <c r="K1028" s="461"/>
      <c r="L1028" s="461"/>
      <c r="M1028" s="461"/>
      <c r="N1028" s="461"/>
      <c r="O1028" s="461"/>
      <c r="P1028" s="461"/>
      <c r="Q1028" s="461"/>
      <c r="R1028" s="461"/>
      <c r="S1028" s="461"/>
      <c r="T1028" s="461"/>
      <c r="U1028" s="461"/>
      <c r="V1028" s="461"/>
      <c r="W1028" s="461"/>
      <c r="X1028" s="461"/>
      <c r="Y1028" s="461"/>
    </row>
    <row r="1029" spans="1:25" ht="20.25" x14ac:dyDescent="0.4">
      <c r="A1029" s="461"/>
      <c r="B1029" s="461"/>
      <c r="C1029" s="461"/>
      <c r="D1029" s="461"/>
      <c r="E1029" s="461"/>
      <c r="F1029" s="461"/>
      <c r="G1029" s="461"/>
      <c r="H1029" s="461"/>
      <c r="I1029" s="463"/>
      <c r="J1029" s="463"/>
      <c r="K1029" s="461"/>
      <c r="L1029" s="461"/>
      <c r="M1029" s="461"/>
      <c r="N1029" s="461"/>
      <c r="O1029" s="461"/>
      <c r="P1029" s="461"/>
      <c r="Q1029" s="461"/>
      <c r="R1029" s="461"/>
      <c r="S1029" s="461"/>
      <c r="T1029" s="461"/>
      <c r="U1029" s="461"/>
      <c r="V1029" s="461"/>
      <c r="W1029" s="461"/>
      <c r="X1029" s="461"/>
      <c r="Y1029" s="461"/>
    </row>
    <row r="1030" spans="1:25" ht="20.25" x14ac:dyDescent="0.4">
      <c r="A1030" s="461"/>
      <c r="B1030" s="461"/>
      <c r="C1030" s="461"/>
      <c r="D1030" s="461"/>
      <c r="E1030" s="461"/>
      <c r="F1030" s="461"/>
      <c r="G1030" s="461"/>
      <c r="H1030" s="461"/>
      <c r="I1030" s="463"/>
      <c r="J1030" s="463"/>
      <c r="K1030" s="461"/>
      <c r="L1030" s="461"/>
      <c r="M1030" s="461"/>
      <c r="N1030" s="461"/>
      <c r="O1030" s="461"/>
      <c r="P1030" s="461"/>
      <c r="Q1030" s="461"/>
      <c r="R1030" s="461"/>
      <c r="S1030" s="461"/>
      <c r="T1030" s="461"/>
      <c r="U1030" s="461"/>
      <c r="V1030" s="461"/>
      <c r="W1030" s="461"/>
      <c r="X1030" s="461"/>
      <c r="Y1030" s="461"/>
    </row>
    <row r="1031" spans="1:25" ht="20.25" x14ac:dyDescent="0.4">
      <c r="A1031" s="461"/>
      <c r="B1031" s="461"/>
      <c r="C1031" s="461"/>
      <c r="D1031" s="461"/>
      <c r="E1031" s="461"/>
      <c r="F1031" s="461"/>
      <c r="G1031" s="461"/>
      <c r="H1031" s="461"/>
      <c r="I1031" s="463"/>
      <c r="J1031" s="463"/>
      <c r="K1031" s="461"/>
      <c r="L1031" s="461"/>
      <c r="M1031" s="461"/>
      <c r="N1031" s="461"/>
      <c r="O1031" s="461"/>
      <c r="P1031" s="461"/>
      <c r="Q1031" s="461"/>
      <c r="R1031" s="461"/>
      <c r="S1031" s="461"/>
      <c r="T1031" s="461"/>
      <c r="U1031" s="461"/>
      <c r="V1031" s="461"/>
      <c r="W1031" s="461"/>
      <c r="X1031" s="461"/>
      <c r="Y1031" s="461"/>
    </row>
    <row r="1032" spans="1:25" ht="20.25" x14ac:dyDescent="0.4">
      <c r="A1032" s="461"/>
      <c r="B1032" s="461"/>
      <c r="C1032" s="461"/>
      <c r="D1032" s="461"/>
      <c r="E1032" s="461"/>
      <c r="F1032" s="461"/>
      <c r="G1032" s="461"/>
      <c r="H1032" s="461"/>
      <c r="I1032" s="463"/>
      <c r="J1032" s="463"/>
      <c r="K1032" s="461"/>
      <c r="L1032" s="461"/>
      <c r="M1032" s="461"/>
      <c r="N1032" s="461"/>
      <c r="O1032" s="461"/>
      <c r="P1032" s="461"/>
      <c r="Q1032" s="461"/>
      <c r="R1032" s="461"/>
      <c r="S1032" s="461"/>
      <c r="T1032" s="461"/>
      <c r="U1032" s="461"/>
      <c r="V1032" s="461"/>
      <c r="W1032" s="461"/>
      <c r="X1032" s="461"/>
      <c r="Y1032" s="461"/>
    </row>
    <row r="1033" spans="1:25" ht="20.25" x14ac:dyDescent="0.4">
      <c r="A1033" s="461"/>
      <c r="B1033" s="461"/>
      <c r="C1033" s="461"/>
      <c r="D1033" s="461"/>
      <c r="E1033" s="461"/>
      <c r="F1033" s="461"/>
      <c r="G1033" s="461"/>
      <c r="H1033" s="461"/>
      <c r="I1033" s="463"/>
      <c r="J1033" s="463"/>
      <c r="K1033" s="461"/>
      <c r="L1033" s="461"/>
      <c r="M1033" s="461"/>
      <c r="N1033" s="461"/>
      <c r="O1033" s="461"/>
      <c r="P1033" s="461"/>
      <c r="Q1033" s="461"/>
      <c r="R1033" s="461"/>
      <c r="S1033" s="461"/>
      <c r="T1033" s="461"/>
      <c r="U1033" s="461"/>
      <c r="V1033" s="461"/>
      <c r="W1033" s="461"/>
      <c r="X1033" s="461"/>
      <c r="Y1033" s="461"/>
    </row>
    <row r="1034" spans="1:25" ht="20.25" x14ac:dyDescent="0.4">
      <c r="A1034" s="461"/>
      <c r="B1034" s="461"/>
      <c r="C1034" s="461"/>
      <c r="D1034" s="461"/>
      <c r="E1034" s="461"/>
      <c r="F1034" s="461"/>
      <c r="G1034" s="461"/>
      <c r="H1034" s="461"/>
      <c r="I1034" s="463"/>
      <c r="J1034" s="463"/>
      <c r="K1034" s="461"/>
      <c r="L1034" s="461"/>
      <c r="M1034" s="461"/>
      <c r="N1034" s="461"/>
      <c r="O1034" s="461"/>
      <c r="P1034" s="461"/>
      <c r="Q1034" s="461"/>
      <c r="R1034" s="461"/>
      <c r="S1034" s="461"/>
      <c r="T1034" s="461"/>
      <c r="U1034" s="461"/>
      <c r="V1034" s="461"/>
      <c r="W1034" s="461"/>
      <c r="X1034" s="461"/>
      <c r="Y1034" s="461"/>
    </row>
    <row r="1035" spans="1:25" ht="20.25" x14ac:dyDescent="0.4">
      <c r="A1035" s="461"/>
      <c r="B1035" s="461"/>
      <c r="C1035" s="461"/>
      <c r="D1035" s="461"/>
      <c r="E1035" s="461"/>
      <c r="F1035" s="461"/>
      <c r="G1035" s="461"/>
      <c r="H1035" s="461"/>
      <c r="I1035" s="463"/>
      <c r="J1035" s="463"/>
      <c r="K1035" s="461"/>
      <c r="L1035" s="461"/>
      <c r="M1035" s="461"/>
      <c r="N1035" s="461"/>
      <c r="O1035" s="461"/>
      <c r="P1035" s="461"/>
      <c r="Q1035" s="461"/>
      <c r="R1035" s="461"/>
      <c r="S1035" s="461"/>
      <c r="T1035" s="461"/>
      <c r="U1035" s="461"/>
      <c r="V1035" s="461"/>
      <c r="W1035" s="461"/>
      <c r="X1035" s="461"/>
      <c r="Y1035" s="461"/>
    </row>
    <row r="1036" spans="1:25" ht="20.25" x14ac:dyDescent="0.4">
      <c r="A1036" s="461"/>
      <c r="B1036" s="461"/>
      <c r="C1036" s="461"/>
      <c r="D1036" s="461"/>
      <c r="E1036" s="461"/>
      <c r="F1036" s="461"/>
      <c r="G1036" s="461"/>
      <c r="H1036" s="461"/>
      <c r="I1036" s="463"/>
      <c r="J1036" s="463"/>
      <c r="K1036" s="461"/>
      <c r="L1036" s="461"/>
      <c r="M1036" s="461"/>
      <c r="N1036" s="461"/>
      <c r="O1036" s="461"/>
      <c r="P1036" s="461"/>
      <c r="Q1036" s="461"/>
      <c r="R1036" s="461"/>
      <c r="S1036" s="461"/>
      <c r="T1036" s="461"/>
      <c r="U1036" s="461"/>
      <c r="V1036" s="461"/>
      <c r="W1036" s="461"/>
      <c r="X1036" s="461"/>
      <c r="Y1036" s="461"/>
    </row>
    <row r="1037" spans="1:25" ht="20.25" x14ac:dyDescent="0.4">
      <c r="A1037" s="461"/>
      <c r="B1037" s="461"/>
      <c r="C1037" s="461"/>
      <c r="D1037" s="461"/>
      <c r="E1037" s="461"/>
      <c r="F1037" s="461"/>
      <c r="G1037" s="461"/>
      <c r="H1037" s="461"/>
      <c r="I1037" s="463"/>
      <c r="J1037" s="463"/>
      <c r="K1037" s="461"/>
      <c r="L1037" s="461"/>
      <c r="M1037" s="461"/>
      <c r="N1037" s="461"/>
      <c r="O1037" s="461"/>
      <c r="P1037" s="461"/>
      <c r="Q1037" s="461"/>
      <c r="R1037" s="461"/>
      <c r="S1037" s="461"/>
      <c r="T1037" s="461"/>
      <c r="U1037" s="461"/>
      <c r="V1037" s="461"/>
      <c r="W1037" s="461"/>
      <c r="X1037" s="461"/>
      <c r="Y1037" s="461"/>
    </row>
    <row r="1038" spans="1:25" ht="20.25" x14ac:dyDescent="0.4">
      <c r="A1038" s="461"/>
      <c r="B1038" s="461"/>
      <c r="C1038" s="461"/>
      <c r="D1038" s="461"/>
      <c r="E1038" s="461"/>
      <c r="F1038" s="461"/>
      <c r="G1038" s="461"/>
      <c r="H1038" s="461"/>
      <c r="I1038" s="463"/>
      <c r="J1038" s="463"/>
      <c r="K1038" s="461"/>
      <c r="L1038" s="461"/>
      <c r="M1038" s="461"/>
      <c r="N1038" s="461"/>
      <c r="O1038" s="461"/>
      <c r="P1038" s="461"/>
      <c r="Q1038" s="461"/>
      <c r="R1038" s="461"/>
      <c r="S1038" s="461"/>
      <c r="T1038" s="461"/>
      <c r="U1038" s="461"/>
      <c r="V1038" s="461"/>
      <c r="W1038" s="461"/>
      <c r="X1038" s="461"/>
      <c r="Y1038" s="461"/>
    </row>
    <row r="1039" spans="1:25" ht="20.25" x14ac:dyDescent="0.4">
      <c r="A1039" s="461"/>
      <c r="B1039" s="461"/>
      <c r="C1039" s="461"/>
      <c r="D1039" s="461"/>
      <c r="E1039" s="461"/>
      <c r="F1039" s="461"/>
      <c r="G1039" s="461"/>
      <c r="H1039" s="461"/>
      <c r="I1039" s="463"/>
      <c r="J1039" s="463"/>
      <c r="K1039" s="461"/>
      <c r="L1039" s="461"/>
      <c r="M1039" s="461"/>
      <c r="N1039" s="461"/>
      <c r="O1039" s="461"/>
      <c r="P1039" s="461"/>
      <c r="Q1039" s="461"/>
      <c r="R1039" s="461"/>
      <c r="S1039" s="461"/>
      <c r="T1039" s="461"/>
      <c r="U1039" s="461"/>
      <c r="V1039" s="461"/>
      <c r="W1039" s="461"/>
      <c r="X1039" s="461"/>
      <c r="Y1039" s="461"/>
    </row>
    <row r="1040" spans="1:25" ht="20.25" x14ac:dyDescent="0.4">
      <c r="A1040" s="461"/>
      <c r="B1040" s="461"/>
      <c r="C1040" s="461"/>
      <c r="D1040" s="461"/>
      <c r="E1040" s="461"/>
      <c r="F1040" s="461"/>
      <c r="G1040" s="461"/>
      <c r="H1040" s="461"/>
      <c r="I1040" s="463"/>
      <c r="J1040" s="463"/>
      <c r="K1040" s="461"/>
      <c r="L1040" s="461"/>
      <c r="M1040" s="461"/>
      <c r="N1040" s="461"/>
      <c r="O1040" s="461"/>
      <c r="P1040" s="461"/>
      <c r="Q1040" s="461"/>
      <c r="R1040" s="461"/>
      <c r="S1040" s="461"/>
      <c r="T1040" s="461"/>
      <c r="U1040" s="461"/>
      <c r="V1040" s="461"/>
      <c r="W1040" s="461"/>
      <c r="X1040" s="461"/>
      <c r="Y1040" s="461"/>
    </row>
    <row r="1041" spans="1:25" ht="20.25" x14ac:dyDescent="0.4">
      <c r="A1041" s="461"/>
      <c r="B1041" s="461"/>
      <c r="C1041" s="461"/>
      <c r="D1041" s="461"/>
      <c r="E1041" s="461"/>
      <c r="F1041" s="461"/>
      <c r="G1041" s="461"/>
      <c r="H1041" s="461"/>
      <c r="I1041" s="463"/>
      <c r="J1041" s="463"/>
      <c r="K1041" s="461"/>
      <c r="L1041" s="461"/>
      <c r="M1041" s="461"/>
      <c r="N1041" s="461"/>
      <c r="O1041" s="461"/>
      <c r="P1041" s="461"/>
      <c r="Q1041" s="461"/>
      <c r="R1041" s="461"/>
      <c r="S1041" s="461"/>
      <c r="T1041" s="461"/>
      <c r="U1041" s="461"/>
      <c r="V1041" s="461"/>
      <c r="W1041" s="461"/>
      <c r="X1041" s="461"/>
      <c r="Y1041" s="461"/>
    </row>
    <row r="1042" spans="1:25" ht="20.25" x14ac:dyDescent="0.4">
      <c r="A1042" s="461"/>
      <c r="B1042" s="461"/>
      <c r="C1042" s="461"/>
      <c r="D1042" s="461"/>
      <c r="E1042" s="461"/>
      <c r="F1042" s="461"/>
      <c r="G1042" s="461"/>
      <c r="H1042" s="461"/>
      <c r="I1042" s="463"/>
      <c r="J1042" s="463"/>
      <c r="K1042" s="461"/>
      <c r="L1042" s="461"/>
      <c r="M1042" s="461"/>
      <c r="N1042" s="461"/>
      <c r="O1042" s="461"/>
      <c r="P1042" s="461"/>
      <c r="Q1042" s="461"/>
      <c r="R1042" s="461"/>
      <c r="S1042" s="461"/>
      <c r="T1042" s="461"/>
      <c r="U1042" s="461"/>
      <c r="V1042" s="461"/>
      <c r="W1042" s="461"/>
      <c r="X1042" s="461"/>
      <c r="Y1042" s="461"/>
    </row>
    <row r="1043" spans="1:25" ht="20.25" x14ac:dyDescent="0.4">
      <c r="A1043" s="461"/>
      <c r="B1043" s="461"/>
      <c r="C1043" s="461"/>
      <c r="D1043" s="461"/>
      <c r="E1043" s="461"/>
      <c r="F1043" s="461"/>
      <c r="G1043" s="461"/>
      <c r="H1043" s="461"/>
      <c r="I1043" s="463"/>
      <c r="J1043" s="463"/>
      <c r="K1043" s="461"/>
      <c r="L1043" s="461"/>
      <c r="M1043" s="461"/>
      <c r="N1043" s="461"/>
      <c r="O1043" s="461"/>
      <c r="P1043" s="461"/>
      <c r="Q1043" s="461"/>
      <c r="R1043" s="461"/>
      <c r="S1043" s="461"/>
      <c r="T1043" s="461"/>
      <c r="U1043" s="461"/>
      <c r="V1043" s="461"/>
      <c r="W1043" s="461"/>
      <c r="X1043" s="461"/>
      <c r="Y1043" s="461"/>
    </row>
    <row r="1044" spans="1:25" ht="20.25" x14ac:dyDescent="0.4">
      <c r="A1044" s="461"/>
      <c r="B1044" s="461"/>
      <c r="C1044" s="461"/>
      <c r="D1044" s="461"/>
      <c r="E1044" s="461"/>
      <c r="F1044" s="461"/>
      <c r="G1044" s="461"/>
      <c r="H1044" s="461"/>
      <c r="I1044" s="463"/>
      <c r="J1044" s="463"/>
      <c r="K1044" s="461"/>
      <c r="L1044" s="461"/>
      <c r="M1044" s="461"/>
      <c r="N1044" s="461"/>
      <c r="O1044" s="461"/>
      <c r="P1044" s="461"/>
      <c r="Q1044" s="461"/>
      <c r="R1044" s="461"/>
      <c r="S1044" s="461"/>
      <c r="T1044" s="461"/>
      <c r="U1044" s="461"/>
      <c r="V1044" s="461"/>
      <c r="W1044" s="461"/>
      <c r="X1044" s="461"/>
      <c r="Y1044" s="461"/>
    </row>
    <row r="1045" spans="1:25" ht="20.25" x14ac:dyDescent="0.4">
      <c r="A1045" s="461"/>
      <c r="B1045" s="461"/>
      <c r="C1045" s="461"/>
      <c r="D1045" s="461"/>
      <c r="E1045" s="461"/>
      <c r="F1045" s="461"/>
      <c r="G1045" s="461"/>
      <c r="H1045" s="461"/>
      <c r="I1045" s="463"/>
      <c r="J1045" s="463"/>
      <c r="K1045" s="461"/>
      <c r="L1045" s="461"/>
      <c r="M1045" s="461"/>
      <c r="N1045" s="461"/>
      <c r="O1045" s="461"/>
      <c r="P1045" s="461"/>
      <c r="Q1045" s="461"/>
      <c r="R1045" s="461"/>
      <c r="S1045" s="461"/>
      <c r="T1045" s="461"/>
      <c r="U1045" s="461"/>
      <c r="V1045" s="461"/>
      <c r="W1045" s="461"/>
      <c r="X1045" s="461"/>
      <c r="Y1045" s="461"/>
    </row>
    <row r="1046" spans="1:25" ht="20.25" x14ac:dyDescent="0.4">
      <c r="A1046" s="461"/>
      <c r="B1046" s="461"/>
      <c r="C1046" s="461"/>
      <c r="D1046" s="461"/>
      <c r="E1046" s="461"/>
      <c r="F1046" s="461"/>
      <c r="G1046" s="461"/>
      <c r="H1046" s="461"/>
      <c r="I1046" s="463"/>
      <c r="J1046" s="463"/>
      <c r="K1046" s="461"/>
      <c r="L1046" s="461"/>
      <c r="M1046" s="461"/>
      <c r="N1046" s="461"/>
      <c r="O1046" s="461"/>
      <c r="P1046" s="461"/>
      <c r="Q1046" s="461"/>
      <c r="R1046" s="461"/>
      <c r="S1046" s="461"/>
      <c r="T1046" s="461"/>
      <c r="U1046" s="461"/>
      <c r="V1046" s="461"/>
      <c r="W1046" s="461"/>
      <c r="X1046" s="461"/>
      <c r="Y1046" s="461"/>
    </row>
    <row r="1047" spans="1:25" ht="20.25" x14ac:dyDescent="0.4">
      <c r="A1047" s="461"/>
      <c r="B1047" s="461"/>
      <c r="C1047" s="461"/>
      <c r="D1047" s="461"/>
      <c r="E1047" s="461"/>
      <c r="F1047" s="461"/>
      <c r="G1047" s="461"/>
      <c r="H1047" s="461"/>
      <c r="I1047" s="463"/>
      <c r="J1047" s="463"/>
      <c r="K1047" s="461"/>
      <c r="L1047" s="461"/>
      <c r="M1047" s="461"/>
      <c r="N1047" s="461"/>
      <c r="O1047" s="461"/>
      <c r="P1047" s="461"/>
      <c r="Q1047" s="461"/>
      <c r="R1047" s="461"/>
      <c r="S1047" s="461"/>
      <c r="T1047" s="461"/>
      <c r="U1047" s="461"/>
      <c r="V1047" s="461"/>
      <c r="W1047" s="461"/>
      <c r="X1047" s="461"/>
      <c r="Y1047" s="461"/>
    </row>
    <row r="1048" spans="1:25" ht="20.25" x14ac:dyDescent="0.4">
      <c r="A1048" s="461"/>
      <c r="B1048" s="461"/>
      <c r="C1048" s="461"/>
      <c r="D1048" s="461"/>
      <c r="E1048" s="461"/>
      <c r="F1048" s="461"/>
      <c r="G1048" s="461"/>
      <c r="H1048" s="461"/>
      <c r="I1048" s="463"/>
      <c r="J1048" s="463"/>
      <c r="K1048" s="461"/>
      <c r="L1048" s="461"/>
      <c r="M1048" s="461"/>
      <c r="N1048" s="461"/>
      <c r="O1048" s="461"/>
      <c r="P1048" s="461"/>
      <c r="Q1048" s="461"/>
      <c r="R1048" s="461"/>
      <c r="S1048" s="461"/>
      <c r="T1048" s="461"/>
      <c r="U1048" s="461"/>
      <c r="V1048" s="461"/>
      <c r="W1048" s="461"/>
      <c r="X1048" s="461"/>
      <c r="Y1048" s="461"/>
    </row>
    <row r="1049" spans="1:25" ht="20.25" x14ac:dyDescent="0.4">
      <c r="A1049" s="461"/>
      <c r="B1049" s="461"/>
      <c r="C1049" s="461"/>
      <c r="D1049" s="461"/>
      <c r="E1049" s="461"/>
      <c r="F1049" s="461"/>
      <c r="G1049" s="461"/>
      <c r="H1049" s="461"/>
      <c r="I1049" s="463"/>
      <c r="J1049" s="463"/>
      <c r="K1049" s="461"/>
      <c r="L1049" s="461"/>
      <c r="M1049" s="461"/>
      <c r="N1049" s="461"/>
      <c r="O1049" s="461"/>
      <c r="P1049" s="461"/>
      <c r="Q1049" s="461"/>
      <c r="R1049" s="461"/>
      <c r="S1049" s="461"/>
      <c r="T1049" s="461"/>
      <c r="U1049" s="461"/>
      <c r="V1049" s="461"/>
      <c r="W1049" s="461"/>
      <c r="X1049" s="461"/>
      <c r="Y1049" s="461"/>
    </row>
    <row r="1050" spans="1:25" ht="20.25" x14ac:dyDescent="0.4">
      <c r="A1050" s="461"/>
      <c r="B1050" s="461"/>
      <c r="C1050" s="461"/>
      <c r="D1050" s="461"/>
      <c r="E1050" s="461"/>
      <c r="F1050" s="461"/>
      <c r="G1050" s="461"/>
      <c r="H1050" s="461"/>
      <c r="I1050" s="463"/>
      <c r="J1050" s="463"/>
      <c r="K1050" s="461"/>
      <c r="L1050" s="461"/>
      <c r="M1050" s="461"/>
      <c r="N1050" s="461"/>
      <c r="O1050" s="461"/>
      <c r="P1050" s="461"/>
      <c r="Q1050" s="461"/>
      <c r="R1050" s="461"/>
      <c r="S1050" s="461"/>
      <c r="T1050" s="461"/>
      <c r="U1050" s="461"/>
      <c r="V1050" s="461"/>
      <c r="W1050" s="461"/>
      <c r="X1050" s="461"/>
      <c r="Y1050" s="461"/>
    </row>
    <row r="1051" spans="1:25" ht="20.25" x14ac:dyDescent="0.4">
      <c r="A1051" s="461"/>
      <c r="B1051" s="461"/>
      <c r="C1051" s="461"/>
      <c r="D1051" s="461"/>
      <c r="E1051" s="461"/>
      <c r="F1051" s="461"/>
      <c r="G1051" s="461"/>
      <c r="H1051" s="461"/>
      <c r="I1051" s="463"/>
      <c r="J1051" s="463"/>
      <c r="K1051" s="461"/>
      <c r="L1051" s="461"/>
      <c r="M1051" s="461"/>
      <c r="N1051" s="461"/>
      <c r="O1051" s="461"/>
      <c r="P1051" s="461"/>
      <c r="Q1051" s="461"/>
      <c r="R1051" s="461"/>
      <c r="S1051" s="461"/>
      <c r="T1051" s="461"/>
      <c r="U1051" s="461"/>
      <c r="V1051" s="461"/>
      <c r="W1051" s="461"/>
      <c r="X1051" s="461"/>
      <c r="Y1051" s="461"/>
    </row>
    <row r="1052" spans="1:25" ht="20.25" x14ac:dyDescent="0.4">
      <c r="A1052" s="461"/>
      <c r="B1052" s="461"/>
      <c r="C1052" s="461"/>
      <c r="D1052" s="461"/>
      <c r="E1052" s="461"/>
      <c r="F1052" s="461"/>
      <c r="G1052" s="461"/>
      <c r="H1052" s="461"/>
      <c r="I1052" s="463"/>
      <c r="J1052" s="463"/>
      <c r="K1052" s="461"/>
      <c r="L1052" s="461"/>
      <c r="M1052" s="461"/>
      <c r="N1052" s="461"/>
      <c r="O1052" s="461"/>
      <c r="P1052" s="461"/>
      <c r="Q1052" s="461"/>
      <c r="R1052" s="461"/>
      <c r="S1052" s="461"/>
      <c r="T1052" s="461"/>
      <c r="U1052" s="461"/>
      <c r="V1052" s="461"/>
      <c r="W1052" s="461"/>
      <c r="X1052" s="461"/>
      <c r="Y1052" s="461"/>
    </row>
    <row r="1053" spans="1:25" ht="20.25" x14ac:dyDescent="0.4">
      <c r="A1053" s="461"/>
      <c r="B1053" s="461"/>
      <c r="C1053" s="461"/>
      <c r="D1053" s="461"/>
      <c r="E1053" s="461"/>
      <c r="F1053" s="461"/>
      <c r="G1053" s="461"/>
      <c r="H1053" s="461"/>
      <c r="I1053" s="463"/>
      <c r="J1053" s="463"/>
      <c r="K1053" s="461"/>
      <c r="L1053" s="461"/>
      <c r="M1053" s="461"/>
      <c r="N1053" s="461"/>
      <c r="O1053" s="461"/>
      <c r="P1053" s="461"/>
      <c r="Q1053" s="461"/>
      <c r="R1053" s="461"/>
      <c r="S1053" s="461"/>
      <c r="T1053" s="461"/>
      <c r="U1053" s="461"/>
      <c r="V1053" s="461"/>
      <c r="W1053" s="461"/>
      <c r="X1053" s="461"/>
      <c r="Y1053" s="461"/>
    </row>
    <row r="1054" spans="1:25" ht="20.25" x14ac:dyDescent="0.4">
      <c r="A1054" s="461"/>
      <c r="B1054" s="461"/>
      <c r="C1054" s="461"/>
      <c r="D1054" s="461"/>
      <c r="E1054" s="461"/>
      <c r="F1054" s="461"/>
      <c r="G1054" s="461"/>
      <c r="H1054" s="461"/>
      <c r="I1054" s="463"/>
      <c r="J1054" s="463"/>
      <c r="K1054" s="461"/>
      <c r="L1054" s="461"/>
      <c r="M1054" s="461"/>
      <c r="N1054" s="461"/>
      <c r="O1054" s="461"/>
      <c r="P1054" s="461"/>
      <c r="Q1054" s="461"/>
      <c r="R1054" s="461"/>
      <c r="S1054" s="461"/>
      <c r="T1054" s="461"/>
      <c r="U1054" s="461"/>
      <c r="V1054" s="461"/>
      <c r="W1054" s="461"/>
      <c r="X1054" s="461"/>
      <c r="Y1054" s="461"/>
    </row>
    <row r="1055" spans="1:25" ht="20.25" x14ac:dyDescent="0.4">
      <c r="A1055" s="461"/>
      <c r="B1055" s="461"/>
      <c r="C1055" s="461"/>
      <c r="D1055" s="461"/>
      <c r="E1055" s="461"/>
      <c r="F1055" s="461"/>
      <c r="G1055" s="461"/>
      <c r="H1055" s="461"/>
      <c r="I1055" s="463"/>
      <c r="J1055" s="463"/>
      <c r="K1055" s="461"/>
      <c r="L1055" s="461"/>
      <c r="M1055" s="461"/>
      <c r="N1055" s="461"/>
      <c r="O1055" s="461"/>
      <c r="P1055" s="461"/>
      <c r="Q1055" s="461"/>
      <c r="R1055" s="461"/>
      <c r="S1055" s="461"/>
      <c r="T1055" s="461"/>
      <c r="U1055" s="461"/>
      <c r="V1055" s="461"/>
      <c r="W1055" s="461"/>
      <c r="X1055" s="461"/>
      <c r="Y1055" s="461"/>
    </row>
    <row r="1056" spans="1:25" ht="20.25" x14ac:dyDescent="0.4">
      <c r="A1056" s="461"/>
      <c r="B1056" s="461"/>
      <c r="C1056" s="461"/>
      <c r="D1056" s="461"/>
      <c r="E1056" s="461"/>
      <c r="F1056" s="461"/>
      <c r="G1056" s="461"/>
      <c r="H1056" s="461"/>
      <c r="I1056" s="463"/>
      <c r="J1056" s="463"/>
      <c r="K1056" s="461"/>
      <c r="L1056" s="461"/>
      <c r="M1056" s="461"/>
      <c r="N1056" s="461"/>
      <c r="O1056" s="461"/>
      <c r="P1056" s="461"/>
      <c r="Q1056" s="461"/>
      <c r="R1056" s="461"/>
      <c r="S1056" s="461"/>
      <c r="T1056" s="461"/>
      <c r="U1056" s="461"/>
      <c r="V1056" s="461"/>
      <c r="W1056" s="461"/>
      <c r="X1056" s="461"/>
      <c r="Y1056" s="461"/>
    </row>
    <row r="1057" spans="1:25" ht="20.25" x14ac:dyDescent="0.4">
      <c r="A1057" s="461"/>
      <c r="B1057" s="461"/>
      <c r="C1057" s="461"/>
      <c r="D1057" s="461"/>
      <c r="E1057" s="461"/>
      <c r="F1057" s="461"/>
      <c r="G1057" s="461"/>
      <c r="H1057" s="461"/>
      <c r="I1057" s="463"/>
      <c r="J1057" s="463"/>
      <c r="K1057" s="461"/>
      <c r="L1057" s="461"/>
      <c r="M1057" s="461"/>
      <c r="N1057" s="461"/>
      <c r="O1057" s="461"/>
      <c r="P1057" s="461"/>
      <c r="Q1057" s="461"/>
      <c r="R1057" s="461"/>
      <c r="S1057" s="461"/>
      <c r="T1057" s="461"/>
      <c r="U1057" s="461"/>
      <c r="V1057" s="461"/>
      <c r="W1057" s="461"/>
      <c r="X1057" s="461"/>
      <c r="Y1057" s="461"/>
    </row>
    <row r="1058" spans="1:25" ht="20.25" x14ac:dyDescent="0.4">
      <c r="A1058" s="461"/>
      <c r="B1058" s="461"/>
      <c r="C1058" s="461"/>
      <c r="D1058" s="461"/>
      <c r="E1058" s="461"/>
      <c r="F1058" s="461"/>
      <c r="G1058" s="461"/>
      <c r="H1058" s="461"/>
      <c r="I1058" s="463"/>
      <c r="J1058" s="463"/>
      <c r="K1058" s="461"/>
      <c r="L1058" s="461"/>
      <c r="M1058" s="461"/>
      <c r="N1058" s="461"/>
      <c r="O1058" s="461"/>
      <c r="P1058" s="461"/>
      <c r="Q1058" s="461"/>
      <c r="R1058" s="461"/>
      <c r="S1058" s="461"/>
      <c r="T1058" s="461"/>
      <c r="U1058" s="461"/>
      <c r="V1058" s="461"/>
      <c r="W1058" s="461"/>
      <c r="X1058" s="461"/>
      <c r="Y1058" s="461"/>
    </row>
    <row r="1059" spans="1:25" ht="20.25" x14ac:dyDescent="0.4">
      <c r="A1059" s="461"/>
      <c r="B1059" s="461"/>
      <c r="C1059" s="461"/>
      <c r="D1059" s="461"/>
      <c r="E1059" s="461"/>
      <c r="F1059" s="461"/>
      <c r="G1059" s="461"/>
      <c r="H1059" s="461"/>
      <c r="I1059" s="463"/>
      <c r="J1059" s="463"/>
      <c r="K1059" s="461"/>
      <c r="L1059" s="461"/>
      <c r="M1059" s="461"/>
      <c r="N1059" s="461"/>
      <c r="O1059" s="461"/>
      <c r="P1059" s="461"/>
      <c r="Q1059" s="461"/>
      <c r="R1059" s="461"/>
      <c r="S1059" s="461"/>
      <c r="T1059" s="461"/>
      <c r="U1059" s="461"/>
      <c r="V1059" s="461"/>
      <c r="W1059" s="461"/>
      <c r="X1059" s="461"/>
      <c r="Y1059" s="461"/>
    </row>
    <row r="1060" spans="1:25" ht="20.25" x14ac:dyDescent="0.4">
      <c r="A1060" s="461"/>
      <c r="B1060" s="461"/>
      <c r="C1060" s="461"/>
      <c r="D1060" s="461"/>
      <c r="E1060" s="461"/>
      <c r="F1060" s="461"/>
      <c r="G1060" s="461"/>
      <c r="H1060" s="461"/>
      <c r="I1060" s="463"/>
      <c r="J1060" s="463"/>
      <c r="K1060" s="461"/>
      <c r="L1060" s="461"/>
      <c r="M1060" s="461"/>
      <c r="N1060" s="461"/>
      <c r="O1060" s="461"/>
      <c r="P1060" s="461"/>
      <c r="Q1060" s="461"/>
      <c r="R1060" s="461"/>
      <c r="S1060" s="461"/>
      <c r="T1060" s="461"/>
      <c r="U1060" s="461"/>
      <c r="V1060" s="461"/>
      <c r="W1060" s="461"/>
      <c r="X1060" s="461"/>
      <c r="Y1060" s="461"/>
    </row>
    <row r="1061" spans="1:25" ht="20.25" x14ac:dyDescent="0.4">
      <c r="A1061" s="461"/>
      <c r="B1061" s="461"/>
      <c r="C1061" s="461"/>
      <c r="D1061" s="461"/>
      <c r="E1061" s="461"/>
      <c r="F1061" s="461"/>
      <c r="G1061" s="461"/>
      <c r="H1061" s="461"/>
      <c r="I1061" s="463"/>
      <c r="J1061" s="463"/>
      <c r="K1061" s="461"/>
      <c r="L1061" s="461"/>
      <c r="M1061" s="461"/>
      <c r="N1061" s="461"/>
      <c r="O1061" s="461"/>
      <c r="P1061" s="461"/>
      <c r="Q1061" s="461"/>
      <c r="R1061" s="461"/>
      <c r="S1061" s="461"/>
      <c r="T1061" s="461"/>
      <c r="U1061" s="461"/>
      <c r="V1061" s="461"/>
      <c r="W1061" s="461"/>
      <c r="X1061" s="461"/>
      <c r="Y1061" s="461"/>
    </row>
    <row r="1062" spans="1:25" ht="20.25" x14ac:dyDescent="0.4">
      <c r="A1062" s="461"/>
      <c r="B1062" s="461"/>
      <c r="C1062" s="461"/>
      <c r="D1062" s="461"/>
      <c r="E1062" s="461"/>
      <c r="F1062" s="461"/>
      <c r="G1062" s="461"/>
      <c r="H1062" s="461"/>
      <c r="I1062" s="463"/>
      <c r="J1062" s="463"/>
      <c r="K1062" s="461"/>
      <c r="L1062" s="461"/>
      <c r="M1062" s="461"/>
      <c r="N1062" s="461"/>
      <c r="O1062" s="461"/>
      <c r="P1062" s="461"/>
      <c r="Q1062" s="461"/>
      <c r="R1062" s="461"/>
      <c r="S1062" s="461"/>
      <c r="T1062" s="461"/>
      <c r="U1062" s="461"/>
      <c r="V1062" s="461"/>
      <c r="W1062" s="461"/>
      <c r="X1062" s="461"/>
      <c r="Y1062" s="461"/>
    </row>
    <row r="1063" spans="1:25" ht="20.25" x14ac:dyDescent="0.4">
      <c r="A1063" s="461"/>
      <c r="B1063" s="461"/>
      <c r="C1063" s="461"/>
      <c r="D1063" s="461"/>
      <c r="E1063" s="461"/>
      <c r="F1063" s="461"/>
      <c r="G1063" s="461"/>
      <c r="H1063" s="461"/>
      <c r="I1063" s="463"/>
      <c r="J1063" s="463"/>
      <c r="K1063" s="461"/>
      <c r="L1063" s="461"/>
      <c r="M1063" s="461"/>
      <c r="N1063" s="461"/>
      <c r="O1063" s="461"/>
      <c r="P1063" s="461"/>
      <c r="Q1063" s="461"/>
      <c r="R1063" s="461"/>
      <c r="S1063" s="461"/>
      <c r="T1063" s="461"/>
      <c r="U1063" s="461"/>
      <c r="V1063" s="461"/>
      <c r="W1063" s="461"/>
      <c r="X1063" s="461"/>
      <c r="Y1063" s="461"/>
    </row>
    <row r="1064" spans="1:25" ht="20.25" x14ac:dyDescent="0.4">
      <c r="A1064" s="461"/>
      <c r="B1064" s="461"/>
      <c r="C1064" s="461"/>
      <c r="D1064" s="461"/>
      <c r="E1064" s="461"/>
      <c r="F1064" s="461"/>
      <c r="G1064" s="461"/>
      <c r="H1064" s="461"/>
      <c r="I1064" s="463"/>
      <c r="J1064" s="463"/>
      <c r="K1064" s="461"/>
      <c r="L1064" s="461"/>
      <c r="M1064" s="461"/>
      <c r="N1064" s="461"/>
      <c r="O1064" s="461"/>
      <c r="P1064" s="461"/>
      <c r="Q1064" s="461"/>
      <c r="R1064" s="461"/>
      <c r="S1064" s="461"/>
      <c r="T1064" s="461"/>
      <c r="U1064" s="461"/>
      <c r="V1064" s="461"/>
      <c r="W1064" s="461"/>
      <c r="X1064" s="461"/>
      <c r="Y1064" s="461"/>
    </row>
    <row r="1065" spans="1:25" ht="20.25" x14ac:dyDescent="0.4">
      <c r="A1065" s="461"/>
      <c r="B1065" s="461"/>
      <c r="C1065" s="461"/>
      <c r="D1065" s="461"/>
      <c r="E1065" s="461"/>
      <c r="F1065" s="461"/>
      <c r="G1065" s="461"/>
      <c r="H1065" s="461"/>
      <c r="I1065" s="463"/>
      <c r="J1065" s="463"/>
      <c r="K1065" s="461"/>
      <c r="L1065" s="461"/>
      <c r="M1065" s="461"/>
      <c r="N1065" s="461"/>
      <c r="O1065" s="461"/>
      <c r="P1065" s="461"/>
      <c r="Q1065" s="461"/>
      <c r="R1065" s="461"/>
      <c r="S1065" s="461"/>
      <c r="T1065" s="461"/>
      <c r="U1065" s="461"/>
      <c r="V1065" s="461"/>
      <c r="W1065" s="461"/>
      <c r="X1065" s="461"/>
      <c r="Y1065" s="461"/>
    </row>
    <row r="1066" spans="1:25" ht="20.25" x14ac:dyDescent="0.4">
      <c r="A1066" s="461"/>
      <c r="B1066" s="461"/>
      <c r="C1066" s="461"/>
      <c r="D1066" s="461"/>
      <c r="E1066" s="461"/>
      <c r="F1066" s="461"/>
      <c r="G1066" s="461"/>
      <c r="H1066" s="461"/>
      <c r="I1066" s="463"/>
      <c r="J1066" s="463"/>
      <c r="K1066" s="461"/>
      <c r="L1066" s="461"/>
      <c r="M1066" s="461"/>
      <c r="N1066" s="461"/>
      <c r="O1066" s="461"/>
      <c r="P1066" s="461"/>
      <c r="Q1066" s="461"/>
      <c r="R1066" s="461"/>
      <c r="S1066" s="461"/>
      <c r="T1066" s="461"/>
      <c r="U1066" s="461"/>
      <c r="V1066" s="461"/>
      <c r="W1066" s="461"/>
      <c r="X1066" s="461"/>
      <c r="Y1066" s="461"/>
    </row>
    <row r="1067" spans="1:25" ht="20.25" x14ac:dyDescent="0.4">
      <c r="A1067" s="461"/>
      <c r="B1067" s="461"/>
      <c r="C1067" s="461"/>
      <c r="D1067" s="461"/>
      <c r="E1067" s="461"/>
      <c r="F1067" s="461"/>
      <c r="G1067" s="461"/>
      <c r="H1067" s="461"/>
      <c r="I1067" s="463"/>
      <c r="J1067" s="463"/>
      <c r="K1067" s="461"/>
      <c r="L1067" s="461"/>
      <c r="M1067" s="461"/>
      <c r="N1067" s="461"/>
      <c r="O1067" s="461"/>
      <c r="P1067" s="461"/>
      <c r="Q1067" s="461"/>
      <c r="R1067" s="461"/>
      <c r="S1067" s="461"/>
      <c r="T1067" s="461"/>
      <c r="U1067" s="461"/>
      <c r="V1067" s="461"/>
      <c r="W1067" s="461"/>
      <c r="X1067" s="461"/>
      <c r="Y1067" s="461"/>
    </row>
    <row r="1068" spans="1:25" ht="20.25" x14ac:dyDescent="0.4">
      <c r="A1068" s="461"/>
      <c r="B1068" s="461"/>
      <c r="C1068" s="461"/>
      <c r="D1068" s="461"/>
      <c r="E1068" s="461"/>
      <c r="F1068" s="461"/>
      <c r="G1068" s="461"/>
      <c r="H1068" s="461"/>
      <c r="I1068" s="463"/>
      <c r="J1068" s="463"/>
      <c r="K1068" s="461"/>
      <c r="L1068" s="461"/>
      <c r="M1068" s="461"/>
      <c r="N1068" s="461"/>
      <c r="O1068" s="461"/>
      <c r="P1068" s="461"/>
      <c r="Q1068" s="461"/>
      <c r="R1068" s="461"/>
      <c r="S1068" s="461"/>
      <c r="T1068" s="461"/>
      <c r="U1068" s="461"/>
      <c r="V1068" s="461"/>
      <c r="W1068" s="461"/>
      <c r="X1068" s="461"/>
      <c r="Y1068" s="461"/>
    </row>
    <row r="1069" spans="1:25" ht="20.25" x14ac:dyDescent="0.4">
      <c r="A1069" s="461"/>
      <c r="B1069" s="461"/>
      <c r="C1069" s="461"/>
      <c r="D1069" s="461"/>
      <c r="E1069" s="461"/>
      <c r="F1069" s="461"/>
      <c r="G1069" s="461"/>
      <c r="H1069" s="461"/>
      <c r="I1069" s="463"/>
      <c r="J1069" s="463"/>
      <c r="K1069" s="461"/>
      <c r="L1069" s="461"/>
      <c r="M1069" s="461"/>
      <c r="N1069" s="461"/>
      <c r="O1069" s="461"/>
      <c r="P1069" s="461"/>
      <c r="Q1069" s="461"/>
      <c r="R1069" s="461"/>
      <c r="S1069" s="461"/>
      <c r="T1069" s="461"/>
      <c r="U1069" s="461"/>
      <c r="V1069" s="461"/>
      <c r="W1069" s="461"/>
      <c r="X1069" s="461"/>
      <c r="Y1069" s="461"/>
    </row>
    <row r="1070" spans="1:25" ht="20.25" x14ac:dyDescent="0.4">
      <c r="A1070" s="461"/>
      <c r="B1070" s="461"/>
      <c r="C1070" s="461"/>
      <c r="D1070" s="461"/>
      <c r="E1070" s="461"/>
      <c r="F1070" s="461"/>
      <c r="G1070" s="461"/>
      <c r="H1070" s="461"/>
      <c r="I1070" s="463"/>
      <c r="J1070" s="463"/>
      <c r="K1070" s="461"/>
      <c r="L1070" s="461"/>
      <c r="M1070" s="461"/>
      <c r="N1070" s="461"/>
      <c r="O1070" s="461"/>
      <c r="P1070" s="461"/>
      <c r="Q1070" s="461"/>
      <c r="R1070" s="461"/>
      <c r="S1070" s="461"/>
      <c r="T1070" s="461"/>
      <c r="U1070" s="461"/>
      <c r="V1070" s="461"/>
      <c r="W1070" s="461"/>
      <c r="X1070" s="461"/>
      <c r="Y1070" s="461"/>
    </row>
    <row r="1071" spans="1:25" ht="20.25" x14ac:dyDescent="0.4">
      <c r="A1071" s="461"/>
      <c r="B1071" s="461"/>
      <c r="C1071" s="461"/>
      <c r="D1071" s="461"/>
      <c r="E1071" s="461"/>
      <c r="F1071" s="461"/>
      <c r="G1071" s="461"/>
      <c r="H1071" s="461"/>
      <c r="I1071" s="463"/>
      <c r="J1071" s="463"/>
      <c r="K1071" s="461"/>
      <c r="L1071" s="461"/>
      <c r="M1071" s="461"/>
      <c r="N1071" s="461"/>
      <c r="O1071" s="461"/>
      <c r="P1071" s="461"/>
      <c r="Q1071" s="461"/>
      <c r="R1071" s="461"/>
      <c r="S1071" s="461"/>
      <c r="T1071" s="461"/>
      <c r="U1071" s="461"/>
      <c r="V1071" s="461"/>
      <c r="W1071" s="461"/>
      <c r="X1071" s="461"/>
      <c r="Y1071" s="461"/>
    </row>
    <row r="1072" spans="1:25" ht="20.25" x14ac:dyDescent="0.4">
      <c r="A1072" s="461"/>
      <c r="B1072" s="461"/>
      <c r="C1072" s="461"/>
      <c r="D1072" s="461"/>
      <c r="E1072" s="461"/>
      <c r="F1072" s="461"/>
      <c r="G1072" s="461"/>
      <c r="H1072" s="461"/>
      <c r="I1072" s="463"/>
      <c r="J1072" s="463"/>
      <c r="K1072" s="461"/>
      <c r="L1072" s="461"/>
      <c r="M1072" s="461"/>
      <c r="N1072" s="461"/>
      <c r="O1072" s="461"/>
      <c r="P1072" s="461"/>
      <c r="Q1072" s="461"/>
      <c r="R1072" s="461"/>
      <c r="S1072" s="461"/>
      <c r="T1072" s="461"/>
      <c r="U1072" s="461"/>
      <c r="V1072" s="461"/>
      <c r="W1072" s="461"/>
      <c r="X1072" s="461"/>
      <c r="Y1072" s="461"/>
    </row>
    <row r="1073" spans="1:25" ht="20.25" x14ac:dyDescent="0.4">
      <c r="A1073" s="461"/>
      <c r="B1073" s="461"/>
      <c r="C1073" s="461"/>
      <c r="D1073" s="461"/>
      <c r="E1073" s="461"/>
      <c r="F1073" s="461"/>
      <c r="G1073" s="461"/>
      <c r="H1073" s="461"/>
      <c r="I1073" s="463"/>
      <c r="J1073" s="463"/>
      <c r="K1073" s="461"/>
      <c r="L1073" s="461"/>
      <c r="M1073" s="461"/>
      <c r="N1073" s="461"/>
      <c r="O1073" s="461"/>
      <c r="P1073" s="461"/>
      <c r="Q1073" s="461"/>
      <c r="R1073" s="461"/>
      <c r="S1073" s="461"/>
      <c r="T1073" s="461"/>
      <c r="U1073" s="461"/>
      <c r="V1073" s="461"/>
      <c r="W1073" s="461"/>
      <c r="X1073" s="461"/>
      <c r="Y1073" s="461"/>
    </row>
    <row r="1074" spans="1:25" ht="20.25" x14ac:dyDescent="0.4">
      <c r="A1074" s="461"/>
      <c r="B1074" s="461"/>
      <c r="C1074" s="461"/>
      <c r="D1074" s="461"/>
      <c r="E1074" s="461"/>
      <c r="F1074" s="461"/>
      <c r="G1074" s="461"/>
      <c r="H1074" s="461"/>
      <c r="I1074" s="463"/>
      <c r="J1074" s="463"/>
      <c r="K1074" s="461"/>
      <c r="L1074" s="461"/>
      <c r="M1074" s="461"/>
      <c r="N1074" s="461"/>
      <c r="O1074" s="461"/>
      <c r="P1074" s="461"/>
      <c r="Q1074" s="461"/>
      <c r="R1074" s="461"/>
      <c r="S1074" s="461"/>
      <c r="T1074" s="461"/>
      <c r="U1074" s="461"/>
      <c r="V1074" s="461"/>
      <c r="W1074" s="461"/>
      <c r="X1074" s="461"/>
      <c r="Y1074" s="461"/>
    </row>
    <row r="1075" spans="1:25" ht="20.25" x14ac:dyDescent="0.4">
      <c r="A1075" s="461"/>
      <c r="B1075" s="461"/>
      <c r="C1075" s="461"/>
      <c r="D1075" s="461"/>
      <c r="E1075" s="461"/>
      <c r="F1075" s="461"/>
      <c r="G1075" s="461"/>
      <c r="H1075" s="461"/>
      <c r="I1075" s="463"/>
      <c r="J1075" s="463"/>
      <c r="K1075" s="461"/>
      <c r="L1075" s="461"/>
      <c r="M1075" s="461"/>
      <c r="N1075" s="461"/>
      <c r="O1075" s="461"/>
      <c r="P1075" s="461"/>
      <c r="Q1075" s="461"/>
      <c r="R1075" s="461"/>
      <c r="S1075" s="461"/>
      <c r="T1075" s="461"/>
      <c r="U1075" s="461"/>
      <c r="V1075" s="461"/>
      <c r="W1075" s="461"/>
      <c r="X1075" s="461"/>
      <c r="Y1075" s="461"/>
    </row>
    <row r="1076" spans="1:25" ht="20.25" x14ac:dyDescent="0.4">
      <c r="A1076" s="461"/>
      <c r="B1076" s="461"/>
      <c r="C1076" s="461"/>
      <c r="D1076" s="461"/>
      <c r="E1076" s="461"/>
      <c r="F1076" s="461"/>
      <c r="G1076" s="461"/>
      <c r="H1076" s="461"/>
      <c r="I1076" s="463"/>
      <c r="J1076" s="463"/>
      <c r="K1076" s="461"/>
      <c r="L1076" s="461"/>
      <c r="M1076" s="461"/>
      <c r="N1076" s="461"/>
      <c r="O1076" s="461"/>
      <c r="P1076" s="461"/>
      <c r="Q1076" s="461"/>
      <c r="R1076" s="461"/>
      <c r="S1076" s="461"/>
      <c r="T1076" s="461"/>
      <c r="U1076" s="461"/>
      <c r="V1076" s="461"/>
      <c r="W1076" s="461"/>
      <c r="X1076" s="461"/>
      <c r="Y1076" s="461"/>
    </row>
    <row r="1077" spans="1:25" ht="20.25" x14ac:dyDescent="0.4">
      <c r="A1077" s="461"/>
      <c r="B1077" s="461"/>
      <c r="C1077" s="461"/>
      <c r="D1077" s="461"/>
      <c r="E1077" s="461"/>
      <c r="F1077" s="461"/>
      <c r="G1077" s="461"/>
      <c r="H1077" s="461"/>
      <c r="I1077" s="463"/>
      <c r="J1077" s="463"/>
      <c r="K1077" s="461"/>
      <c r="L1077" s="461"/>
      <c r="M1077" s="461"/>
      <c r="N1077" s="461"/>
      <c r="O1077" s="461"/>
      <c r="P1077" s="461"/>
      <c r="Q1077" s="461"/>
      <c r="R1077" s="461"/>
      <c r="S1077" s="461"/>
      <c r="T1077" s="461"/>
      <c r="U1077" s="461"/>
      <c r="V1077" s="461"/>
      <c r="W1077" s="461"/>
      <c r="X1077" s="461"/>
      <c r="Y1077" s="461"/>
    </row>
    <row r="1078" spans="1:25" ht="20.25" x14ac:dyDescent="0.4">
      <c r="A1078" s="461"/>
      <c r="B1078" s="461"/>
      <c r="C1078" s="461"/>
      <c r="D1078" s="461"/>
      <c r="E1078" s="461"/>
      <c r="F1078" s="461"/>
      <c r="G1078" s="461"/>
      <c r="H1078" s="461"/>
      <c r="I1078" s="463"/>
      <c r="J1078" s="463"/>
      <c r="K1078" s="461"/>
      <c r="L1078" s="461"/>
      <c r="M1078" s="461"/>
      <c r="N1078" s="461"/>
      <c r="O1078" s="461"/>
      <c r="P1078" s="461"/>
      <c r="Q1078" s="461"/>
      <c r="R1078" s="461"/>
      <c r="S1078" s="461"/>
      <c r="T1078" s="461"/>
      <c r="U1078" s="461"/>
      <c r="V1078" s="461"/>
      <c r="W1078" s="461"/>
      <c r="X1078" s="461"/>
      <c r="Y1078" s="461"/>
    </row>
    <row r="1079" spans="1:25" ht="20.25" x14ac:dyDescent="0.4">
      <c r="A1079" s="461"/>
      <c r="B1079" s="461"/>
      <c r="C1079" s="461"/>
      <c r="D1079" s="461"/>
      <c r="E1079" s="461"/>
      <c r="F1079" s="461"/>
      <c r="G1079" s="461"/>
      <c r="H1079" s="461"/>
      <c r="I1079" s="463"/>
      <c r="J1079" s="463"/>
      <c r="K1079" s="461"/>
      <c r="L1079" s="461"/>
      <c r="M1079" s="461"/>
      <c r="N1079" s="461"/>
      <c r="O1079" s="461"/>
      <c r="P1079" s="461"/>
      <c r="Q1079" s="461"/>
      <c r="R1079" s="461"/>
      <c r="S1079" s="461"/>
      <c r="T1079" s="461"/>
      <c r="U1079" s="461"/>
      <c r="V1079" s="461"/>
      <c r="W1079" s="461"/>
      <c r="X1079" s="461"/>
      <c r="Y1079" s="461"/>
    </row>
    <row r="1080" spans="1:25" ht="20.25" x14ac:dyDescent="0.4">
      <c r="A1080" s="461"/>
      <c r="B1080" s="461"/>
      <c r="C1080" s="461"/>
      <c r="D1080" s="461"/>
      <c r="E1080" s="461"/>
      <c r="F1080" s="461"/>
      <c r="G1080" s="461"/>
      <c r="H1080" s="461"/>
      <c r="I1080" s="463"/>
      <c r="J1080" s="463"/>
      <c r="K1080" s="461"/>
      <c r="L1080" s="461"/>
      <c r="M1080" s="461"/>
      <c r="N1080" s="461"/>
      <c r="O1080" s="461"/>
      <c r="P1080" s="461"/>
      <c r="Q1080" s="461"/>
      <c r="R1080" s="461"/>
      <c r="S1080" s="461"/>
      <c r="T1080" s="461"/>
      <c r="U1080" s="461"/>
      <c r="V1080" s="461"/>
      <c r="W1080" s="461"/>
      <c r="X1080" s="461"/>
      <c r="Y1080" s="461"/>
    </row>
    <row r="1081" spans="1:25" ht="20.25" x14ac:dyDescent="0.4">
      <c r="A1081" s="461"/>
      <c r="B1081" s="461"/>
      <c r="C1081" s="461"/>
      <c r="D1081" s="461"/>
      <c r="E1081" s="461"/>
      <c r="F1081" s="461"/>
      <c r="G1081" s="461"/>
      <c r="H1081" s="461"/>
      <c r="I1081" s="463"/>
      <c r="J1081" s="463"/>
      <c r="K1081" s="461"/>
      <c r="L1081" s="461"/>
      <c r="M1081" s="461"/>
      <c r="N1081" s="461"/>
      <c r="O1081" s="461"/>
      <c r="P1081" s="461"/>
      <c r="Q1081" s="461"/>
      <c r="R1081" s="461"/>
      <c r="S1081" s="461"/>
      <c r="T1081" s="461"/>
      <c r="U1081" s="461"/>
      <c r="V1081" s="461"/>
      <c r="W1081" s="461"/>
      <c r="X1081" s="461"/>
      <c r="Y1081" s="461"/>
    </row>
    <row r="1082" spans="1:25" ht="20.25" x14ac:dyDescent="0.4">
      <c r="A1082" s="461"/>
      <c r="B1082" s="461"/>
      <c r="C1082" s="461"/>
      <c r="D1082" s="461"/>
      <c r="E1082" s="461"/>
      <c r="F1082" s="461"/>
      <c r="G1082" s="461"/>
      <c r="H1082" s="461"/>
      <c r="I1082" s="463"/>
      <c r="J1082" s="463"/>
      <c r="K1082" s="461"/>
      <c r="L1082" s="461"/>
      <c r="M1082" s="461"/>
      <c r="N1082" s="461"/>
      <c r="O1082" s="461"/>
      <c r="P1082" s="461"/>
      <c r="Q1082" s="461"/>
      <c r="R1082" s="461"/>
      <c r="S1082" s="461"/>
      <c r="T1082" s="461"/>
      <c r="U1082" s="461"/>
      <c r="V1082" s="461"/>
      <c r="W1082" s="461"/>
      <c r="X1082" s="461"/>
      <c r="Y1082" s="461"/>
    </row>
    <row r="1083" spans="1:25" ht="20.25" x14ac:dyDescent="0.4">
      <c r="A1083" s="461"/>
      <c r="B1083" s="461"/>
      <c r="C1083" s="461"/>
      <c r="D1083" s="461"/>
      <c r="E1083" s="461"/>
      <c r="F1083" s="461"/>
      <c r="G1083" s="461"/>
      <c r="H1083" s="461"/>
      <c r="I1083" s="463"/>
      <c r="J1083" s="463"/>
      <c r="K1083" s="461"/>
      <c r="L1083" s="461"/>
      <c r="M1083" s="461"/>
      <c r="N1083" s="461"/>
      <c r="O1083" s="461"/>
      <c r="P1083" s="461"/>
      <c r="Q1083" s="461"/>
      <c r="R1083" s="461"/>
      <c r="S1083" s="461"/>
      <c r="T1083" s="461"/>
      <c r="U1083" s="461"/>
      <c r="V1083" s="461"/>
      <c r="W1083" s="461"/>
      <c r="X1083" s="461"/>
      <c r="Y1083" s="461"/>
    </row>
    <row r="1084" spans="1:25" ht="20.25" x14ac:dyDescent="0.4">
      <c r="A1084" s="461"/>
      <c r="B1084" s="461"/>
      <c r="C1084" s="461"/>
      <c r="D1084" s="461"/>
      <c r="E1084" s="461"/>
      <c r="F1084" s="461"/>
      <c r="G1084" s="461"/>
      <c r="H1084" s="461"/>
      <c r="I1084" s="463"/>
      <c r="J1084" s="463"/>
      <c r="K1084" s="461"/>
      <c r="L1084" s="461"/>
      <c r="M1084" s="461"/>
      <c r="N1084" s="461"/>
      <c r="O1084" s="461"/>
      <c r="P1084" s="461"/>
      <c r="Q1084" s="461"/>
      <c r="R1084" s="461"/>
      <c r="S1084" s="461"/>
      <c r="T1084" s="461"/>
      <c r="U1084" s="461"/>
      <c r="V1084" s="461"/>
      <c r="W1084" s="461"/>
      <c r="X1084" s="461"/>
      <c r="Y1084" s="461"/>
    </row>
    <row r="1085" spans="1:25" ht="20.25" x14ac:dyDescent="0.4">
      <c r="A1085" s="461"/>
      <c r="B1085" s="461"/>
      <c r="C1085" s="461"/>
      <c r="D1085" s="461"/>
      <c r="E1085" s="461"/>
      <c r="F1085" s="461"/>
      <c r="G1085" s="461"/>
      <c r="H1085" s="461"/>
      <c r="I1085" s="463"/>
      <c r="J1085" s="463"/>
      <c r="K1085" s="461"/>
      <c r="L1085" s="461"/>
      <c r="M1085" s="461"/>
      <c r="N1085" s="461"/>
      <c r="O1085" s="461"/>
      <c r="P1085" s="461"/>
      <c r="Q1085" s="461"/>
      <c r="R1085" s="461"/>
      <c r="S1085" s="461"/>
      <c r="T1085" s="461"/>
      <c r="U1085" s="461"/>
      <c r="V1085" s="461"/>
      <c r="W1085" s="461"/>
      <c r="X1085" s="461"/>
      <c r="Y1085" s="461"/>
    </row>
    <row r="1086" spans="1:25" ht="20.25" x14ac:dyDescent="0.4">
      <c r="A1086" s="461"/>
      <c r="B1086" s="461"/>
      <c r="C1086" s="461"/>
      <c r="D1086" s="461"/>
      <c r="E1086" s="461"/>
      <c r="F1086" s="461"/>
      <c r="G1086" s="461"/>
      <c r="H1086" s="461"/>
      <c r="I1086" s="463"/>
      <c r="J1086" s="463"/>
      <c r="K1086" s="461"/>
      <c r="L1086" s="461"/>
      <c r="M1086" s="461"/>
      <c r="N1086" s="461"/>
      <c r="O1086" s="461"/>
      <c r="P1086" s="461"/>
      <c r="Q1086" s="461"/>
      <c r="R1086" s="461"/>
      <c r="S1086" s="461"/>
      <c r="T1086" s="461"/>
      <c r="U1086" s="461"/>
      <c r="V1086" s="461"/>
      <c r="W1086" s="461"/>
      <c r="X1086" s="461"/>
      <c r="Y1086" s="461"/>
    </row>
    <row r="1087" spans="1:25" ht="20.25" x14ac:dyDescent="0.4">
      <c r="A1087" s="461"/>
      <c r="B1087" s="461"/>
      <c r="C1087" s="461"/>
      <c r="D1087" s="461"/>
      <c r="E1087" s="461"/>
      <c r="F1087" s="461"/>
      <c r="G1087" s="461"/>
      <c r="H1087" s="461"/>
      <c r="I1087" s="463"/>
      <c r="J1087" s="463"/>
      <c r="K1087" s="461"/>
      <c r="L1087" s="461"/>
      <c r="M1087" s="461"/>
      <c r="N1087" s="461"/>
      <c r="O1087" s="461"/>
      <c r="P1087" s="461"/>
      <c r="Q1087" s="461"/>
      <c r="R1087" s="461"/>
      <c r="S1087" s="461"/>
      <c r="T1087" s="461"/>
      <c r="U1087" s="461"/>
      <c r="V1087" s="461"/>
      <c r="W1087" s="461"/>
      <c r="X1087" s="461"/>
      <c r="Y1087" s="461"/>
    </row>
    <row r="1088" spans="1:25" ht="20.25" x14ac:dyDescent="0.4">
      <c r="A1088" s="461"/>
      <c r="B1088" s="461"/>
      <c r="C1088" s="461"/>
      <c r="D1088" s="461"/>
      <c r="E1088" s="461"/>
      <c r="F1088" s="461"/>
      <c r="G1088" s="461"/>
      <c r="H1088" s="461"/>
      <c r="I1088" s="463"/>
      <c r="J1088" s="463"/>
      <c r="K1088" s="461"/>
      <c r="L1088" s="461"/>
      <c r="M1088" s="461"/>
      <c r="N1088" s="461"/>
      <c r="O1088" s="461"/>
      <c r="P1088" s="461"/>
      <c r="Q1088" s="461"/>
      <c r="R1088" s="461"/>
      <c r="S1088" s="461"/>
      <c r="T1088" s="461"/>
      <c r="U1088" s="461"/>
      <c r="V1088" s="461"/>
      <c r="W1088" s="461"/>
      <c r="X1088" s="461"/>
      <c r="Y1088" s="461"/>
    </row>
    <row r="1089" spans="1:25" ht="20.25" x14ac:dyDescent="0.4">
      <c r="A1089" s="461"/>
      <c r="B1089" s="461"/>
      <c r="C1089" s="461"/>
      <c r="D1089" s="461"/>
      <c r="E1089" s="461"/>
      <c r="F1089" s="461"/>
      <c r="G1089" s="461"/>
      <c r="H1089" s="461"/>
      <c r="I1089" s="463"/>
      <c r="J1089" s="463"/>
      <c r="K1089" s="461"/>
      <c r="L1089" s="461"/>
      <c r="M1089" s="461"/>
      <c r="N1089" s="461"/>
      <c r="O1089" s="461"/>
      <c r="P1089" s="461"/>
      <c r="Q1089" s="461"/>
      <c r="R1089" s="461"/>
      <c r="S1089" s="461"/>
      <c r="T1089" s="461"/>
      <c r="U1089" s="461"/>
      <c r="V1089" s="461"/>
      <c r="W1089" s="461"/>
      <c r="X1089" s="461"/>
      <c r="Y1089" s="461"/>
    </row>
    <row r="1090" spans="1:25" ht="20.25" x14ac:dyDescent="0.4">
      <c r="A1090" s="461"/>
      <c r="B1090" s="461"/>
      <c r="C1090" s="461"/>
      <c r="D1090" s="461"/>
      <c r="E1090" s="461"/>
      <c r="F1090" s="461"/>
      <c r="G1090" s="461"/>
      <c r="H1090" s="461"/>
      <c r="I1090" s="463"/>
      <c r="J1090" s="463"/>
      <c r="K1090" s="461"/>
      <c r="L1090" s="461"/>
      <c r="M1090" s="461"/>
      <c r="N1090" s="461"/>
      <c r="O1090" s="461"/>
      <c r="P1090" s="461"/>
      <c r="Q1090" s="461"/>
      <c r="R1090" s="461"/>
      <c r="S1090" s="461"/>
      <c r="T1090" s="461"/>
      <c r="U1090" s="461"/>
      <c r="V1090" s="461"/>
      <c r="W1090" s="461"/>
      <c r="X1090" s="461"/>
      <c r="Y1090" s="461"/>
    </row>
    <row r="1091" spans="1:25" ht="20.25" x14ac:dyDescent="0.4">
      <c r="A1091" s="461"/>
      <c r="B1091" s="461"/>
      <c r="C1091" s="461"/>
      <c r="D1091" s="461"/>
      <c r="E1091" s="461"/>
      <c r="F1091" s="461"/>
      <c r="G1091" s="461"/>
      <c r="H1091" s="461"/>
      <c r="I1091" s="463"/>
      <c r="J1091" s="463"/>
      <c r="K1091" s="461"/>
      <c r="L1091" s="461"/>
      <c r="M1091" s="461"/>
      <c r="N1091" s="461"/>
      <c r="O1091" s="461"/>
      <c r="P1091" s="461"/>
      <c r="Q1091" s="461"/>
      <c r="R1091" s="461"/>
      <c r="S1091" s="461"/>
      <c r="T1091" s="461"/>
      <c r="U1091" s="461"/>
      <c r="V1091" s="461"/>
      <c r="W1091" s="461"/>
      <c r="X1091" s="461"/>
      <c r="Y1091" s="461"/>
    </row>
    <row r="1092" spans="1:25" ht="20.25" x14ac:dyDescent="0.4">
      <c r="A1092" s="461"/>
      <c r="B1092" s="461"/>
      <c r="C1092" s="461"/>
      <c r="D1092" s="461"/>
      <c r="E1092" s="461"/>
      <c r="F1092" s="461"/>
      <c r="G1092" s="461"/>
      <c r="H1092" s="461"/>
      <c r="I1092" s="463"/>
      <c r="J1092" s="463"/>
      <c r="K1092" s="461"/>
      <c r="L1092" s="461"/>
      <c r="M1092" s="461"/>
      <c r="N1092" s="461"/>
      <c r="O1092" s="461"/>
      <c r="P1092" s="461"/>
      <c r="Q1092" s="461"/>
      <c r="R1092" s="461"/>
      <c r="S1092" s="461"/>
      <c r="T1092" s="461"/>
      <c r="U1092" s="461"/>
      <c r="V1092" s="461"/>
      <c r="W1092" s="461"/>
      <c r="X1092" s="461"/>
      <c r="Y1092" s="461"/>
    </row>
    <row r="1093" spans="1:25" ht="20.25" x14ac:dyDescent="0.4">
      <c r="A1093" s="461"/>
      <c r="B1093" s="461"/>
      <c r="C1093" s="461"/>
      <c r="D1093" s="461"/>
      <c r="E1093" s="461"/>
      <c r="F1093" s="461"/>
      <c r="G1093" s="461"/>
      <c r="H1093" s="461"/>
      <c r="I1093" s="463"/>
      <c r="J1093" s="463"/>
      <c r="K1093" s="461"/>
      <c r="L1093" s="461"/>
      <c r="M1093" s="461"/>
      <c r="N1093" s="461"/>
      <c r="O1093" s="461"/>
      <c r="P1093" s="461"/>
      <c r="Q1093" s="461"/>
      <c r="R1093" s="461"/>
      <c r="S1093" s="461"/>
      <c r="T1093" s="461"/>
      <c r="U1093" s="461"/>
      <c r="V1093" s="461"/>
      <c r="W1093" s="461"/>
      <c r="X1093" s="461"/>
      <c r="Y1093" s="461"/>
    </row>
    <row r="1094" spans="1:25" ht="20.25" x14ac:dyDescent="0.4">
      <c r="A1094" s="461"/>
      <c r="B1094" s="461"/>
      <c r="C1094" s="461"/>
      <c r="D1094" s="461"/>
      <c r="E1094" s="461"/>
      <c r="F1094" s="461"/>
      <c r="G1094" s="461"/>
      <c r="H1094" s="461"/>
      <c r="I1094" s="463"/>
      <c r="J1094" s="463"/>
      <c r="K1094" s="461"/>
      <c r="L1094" s="461"/>
      <c r="M1094" s="461"/>
      <c r="N1094" s="461"/>
      <c r="O1094" s="461"/>
      <c r="P1094" s="461"/>
      <c r="Q1094" s="461"/>
      <c r="R1094" s="461"/>
      <c r="S1094" s="461"/>
      <c r="T1094" s="461"/>
      <c r="U1094" s="461"/>
      <c r="V1094" s="461"/>
      <c r="W1094" s="461"/>
      <c r="X1094" s="461"/>
      <c r="Y1094" s="461"/>
    </row>
    <row r="1095" spans="1:25" ht="20.25" x14ac:dyDescent="0.4">
      <c r="A1095" s="461"/>
      <c r="B1095" s="461"/>
      <c r="C1095" s="461"/>
      <c r="D1095" s="461"/>
      <c r="E1095" s="461"/>
      <c r="F1095" s="461"/>
      <c r="G1095" s="461"/>
      <c r="H1095" s="461"/>
      <c r="I1095" s="463"/>
      <c r="J1095" s="463"/>
      <c r="K1095" s="461"/>
      <c r="L1095" s="461"/>
      <c r="M1095" s="461"/>
      <c r="N1095" s="461"/>
      <c r="O1095" s="461"/>
      <c r="P1095" s="461"/>
      <c r="Q1095" s="461"/>
      <c r="R1095" s="461"/>
      <c r="S1095" s="461"/>
      <c r="T1095" s="461"/>
      <c r="U1095" s="461"/>
      <c r="V1095" s="461"/>
      <c r="W1095" s="461"/>
      <c r="X1095" s="461"/>
      <c r="Y1095" s="461"/>
    </row>
    <row r="1096" spans="1:25" ht="20.25" x14ac:dyDescent="0.4">
      <c r="A1096" s="461"/>
      <c r="B1096" s="461"/>
      <c r="C1096" s="461"/>
      <c r="D1096" s="461"/>
      <c r="E1096" s="461"/>
      <c r="F1096" s="461"/>
      <c r="G1096" s="461"/>
      <c r="H1096" s="461"/>
      <c r="I1096" s="463"/>
      <c r="J1096" s="463"/>
      <c r="K1096" s="461"/>
      <c r="L1096" s="461"/>
      <c r="M1096" s="461"/>
      <c r="N1096" s="461"/>
      <c r="O1096" s="461"/>
      <c r="P1096" s="461"/>
      <c r="Q1096" s="461"/>
      <c r="R1096" s="461"/>
      <c r="S1096" s="461"/>
      <c r="T1096" s="461"/>
      <c r="U1096" s="461"/>
      <c r="V1096" s="461"/>
      <c r="W1096" s="461"/>
      <c r="X1096" s="461"/>
      <c r="Y1096" s="461"/>
    </row>
    <row r="1097" spans="1:25" ht="20.25" x14ac:dyDescent="0.4">
      <c r="A1097" s="461"/>
      <c r="B1097" s="461"/>
      <c r="C1097" s="461"/>
      <c r="D1097" s="461"/>
      <c r="E1097" s="461"/>
      <c r="F1097" s="461"/>
      <c r="G1097" s="461"/>
      <c r="H1097" s="461"/>
      <c r="I1097" s="463"/>
      <c r="J1097" s="463"/>
      <c r="K1097" s="461"/>
      <c r="L1097" s="461"/>
      <c r="M1097" s="461"/>
      <c r="N1097" s="461"/>
      <c r="O1097" s="461"/>
      <c r="P1097" s="461"/>
      <c r="Q1097" s="461"/>
      <c r="R1097" s="461"/>
      <c r="S1097" s="461"/>
      <c r="T1097" s="461"/>
      <c r="U1097" s="461"/>
      <c r="V1097" s="461"/>
      <c r="W1097" s="461"/>
      <c r="X1097" s="461"/>
      <c r="Y1097" s="461"/>
    </row>
    <row r="1098" spans="1:25" ht="20.25" x14ac:dyDescent="0.4">
      <c r="A1098" s="461"/>
      <c r="B1098" s="461"/>
      <c r="C1098" s="461"/>
      <c r="D1098" s="461"/>
      <c r="E1098" s="461"/>
      <c r="F1098" s="461"/>
      <c r="G1098" s="461"/>
      <c r="H1098" s="461"/>
      <c r="I1098" s="463"/>
      <c r="J1098" s="463"/>
      <c r="K1098" s="461"/>
      <c r="L1098" s="461"/>
      <c r="M1098" s="461"/>
      <c r="N1098" s="461"/>
      <c r="O1098" s="461"/>
      <c r="P1098" s="461"/>
      <c r="Q1098" s="461"/>
      <c r="R1098" s="461"/>
      <c r="S1098" s="461"/>
      <c r="T1098" s="461"/>
      <c r="U1098" s="461"/>
      <c r="V1098" s="461"/>
      <c r="W1098" s="461"/>
      <c r="X1098" s="461"/>
      <c r="Y1098" s="461"/>
    </row>
    <row r="1099" spans="1:25" ht="20.25" x14ac:dyDescent="0.4">
      <c r="A1099" s="461"/>
      <c r="B1099" s="461"/>
      <c r="C1099" s="461"/>
      <c r="D1099" s="461"/>
      <c r="E1099" s="461"/>
      <c r="F1099" s="461"/>
      <c r="G1099" s="461"/>
      <c r="H1099" s="461"/>
      <c r="I1099" s="463"/>
      <c r="J1099" s="463"/>
      <c r="K1099" s="461"/>
      <c r="L1099" s="461"/>
      <c r="M1099" s="461"/>
      <c r="N1099" s="461"/>
      <c r="O1099" s="461"/>
      <c r="P1099" s="461"/>
      <c r="Q1099" s="461"/>
      <c r="R1099" s="461"/>
      <c r="S1099" s="461"/>
      <c r="T1099" s="461"/>
      <c r="U1099" s="461"/>
      <c r="V1099" s="461"/>
      <c r="W1099" s="461"/>
      <c r="X1099" s="461"/>
      <c r="Y1099" s="461"/>
    </row>
    <row r="1100" spans="1:25" ht="20.25" x14ac:dyDescent="0.4">
      <c r="A1100" s="461"/>
      <c r="B1100" s="461"/>
      <c r="C1100" s="461"/>
      <c r="D1100" s="461"/>
      <c r="E1100" s="461"/>
      <c r="F1100" s="461"/>
      <c r="G1100" s="461"/>
      <c r="H1100" s="461"/>
      <c r="I1100" s="463"/>
      <c r="J1100" s="463"/>
      <c r="K1100" s="461"/>
      <c r="L1100" s="461"/>
      <c r="M1100" s="461"/>
      <c r="N1100" s="461"/>
      <c r="O1100" s="461"/>
      <c r="P1100" s="461"/>
      <c r="Q1100" s="461"/>
      <c r="R1100" s="461"/>
      <c r="S1100" s="461"/>
      <c r="T1100" s="461"/>
      <c r="U1100" s="461"/>
      <c r="V1100" s="461"/>
      <c r="W1100" s="461"/>
      <c r="X1100" s="461"/>
      <c r="Y1100" s="461"/>
    </row>
    <row r="1101" spans="1:25" ht="20.25" x14ac:dyDescent="0.4">
      <c r="A1101" s="461"/>
      <c r="B1101" s="461"/>
      <c r="C1101" s="461"/>
      <c r="D1101" s="461"/>
      <c r="E1101" s="461"/>
      <c r="F1101" s="461"/>
      <c r="G1101" s="461"/>
      <c r="H1101" s="461"/>
      <c r="I1101" s="463"/>
      <c r="J1101" s="463"/>
      <c r="K1101" s="461"/>
      <c r="L1101" s="461"/>
      <c r="M1101" s="461"/>
      <c r="N1101" s="461"/>
      <c r="O1101" s="461"/>
      <c r="P1101" s="461"/>
      <c r="Q1101" s="461"/>
      <c r="R1101" s="461"/>
      <c r="S1101" s="461"/>
      <c r="T1101" s="461"/>
      <c r="U1101" s="461"/>
      <c r="V1101" s="461"/>
      <c r="W1101" s="461"/>
      <c r="X1101" s="461"/>
      <c r="Y1101" s="461"/>
    </row>
    <row r="1102" spans="1:25" ht="20.25" x14ac:dyDescent="0.4">
      <c r="A1102" s="461"/>
      <c r="B1102" s="461"/>
      <c r="C1102" s="461"/>
      <c r="D1102" s="461"/>
      <c r="E1102" s="461"/>
      <c r="F1102" s="461"/>
      <c r="G1102" s="461"/>
      <c r="H1102" s="461"/>
      <c r="I1102" s="463"/>
      <c r="J1102" s="463"/>
      <c r="K1102" s="461"/>
      <c r="L1102" s="461"/>
      <c r="M1102" s="461"/>
      <c r="N1102" s="461"/>
      <c r="O1102" s="461"/>
      <c r="P1102" s="461"/>
      <c r="Q1102" s="461"/>
      <c r="R1102" s="461"/>
      <c r="S1102" s="461"/>
      <c r="T1102" s="461"/>
      <c r="U1102" s="461"/>
      <c r="V1102" s="461"/>
      <c r="W1102" s="461"/>
      <c r="X1102" s="461"/>
      <c r="Y1102" s="461"/>
    </row>
    <row r="1103" spans="1:25" ht="20.25" x14ac:dyDescent="0.4">
      <c r="A1103" s="461"/>
      <c r="B1103" s="461"/>
      <c r="C1103" s="461"/>
      <c r="D1103" s="461"/>
      <c r="E1103" s="461"/>
      <c r="F1103" s="461"/>
      <c r="G1103" s="461"/>
      <c r="H1103" s="461"/>
      <c r="I1103" s="463"/>
      <c r="J1103" s="463"/>
      <c r="K1103" s="461"/>
      <c r="L1103" s="461"/>
      <c r="M1103" s="461"/>
      <c r="N1103" s="461"/>
      <c r="O1103" s="461"/>
      <c r="P1103" s="461"/>
      <c r="Q1103" s="461"/>
      <c r="R1103" s="461"/>
      <c r="S1103" s="461"/>
      <c r="T1103" s="461"/>
      <c r="U1103" s="461"/>
      <c r="V1103" s="461"/>
      <c r="W1103" s="461"/>
      <c r="X1103" s="461"/>
      <c r="Y1103" s="461"/>
    </row>
    <row r="1104" spans="1:25" ht="20.25" x14ac:dyDescent="0.4">
      <c r="A1104" s="461"/>
      <c r="B1104" s="461"/>
      <c r="C1104" s="461"/>
      <c r="D1104" s="461"/>
      <c r="E1104" s="461"/>
      <c r="F1104" s="461"/>
      <c r="G1104" s="461"/>
      <c r="H1104" s="461"/>
      <c r="I1104" s="463"/>
      <c r="J1104" s="463"/>
      <c r="K1104" s="461"/>
      <c r="L1104" s="461"/>
      <c r="M1104" s="461"/>
      <c r="N1104" s="461"/>
      <c r="O1104" s="461"/>
      <c r="P1104" s="461"/>
      <c r="Q1104" s="461"/>
      <c r="R1104" s="461"/>
      <c r="S1104" s="461"/>
      <c r="T1104" s="461"/>
      <c r="U1104" s="461"/>
      <c r="V1104" s="461"/>
      <c r="W1104" s="461"/>
      <c r="X1104" s="461"/>
      <c r="Y1104" s="461"/>
    </row>
    <row r="1105" spans="1:25" ht="20.25" x14ac:dyDescent="0.4">
      <c r="A1105" s="461"/>
      <c r="B1105" s="461"/>
      <c r="C1105" s="461"/>
      <c r="D1105" s="461"/>
      <c r="E1105" s="461"/>
      <c r="F1105" s="461"/>
      <c r="G1105" s="461"/>
      <c r="H1105" s="461"/>
      <c r="I1105" s="463"/>
      <c r="J1105" s="463"/>
      <c r="K1105" s="461"/>
      <c r="L1105" s="461"/>
      <c r="M1105" s="461"/>
      <c r="N1105" s="461"/>
      <c r="O1105" s="461"/>
      <c r="P1105" s="461"/>
      <c r="Q1105" s="461"/>
      <c r="R1105" s="461"/>
      <c r="S1105" s="461"/>
      <c r="T1105" s="461"/>
      <c r="U1105" s="461"/>
      <c r="V1105" s="461"/>
      <c r="W1105" s="461"/>
      <c r="X1105" s="461"/>
      <c r="Y1105" s="461"/>
    </row>
    <row r="1106" spans="1:25" ht="20.25" x14ac:dyDescent="0.4">
      <c r="A1106" s="461"/>
      <c r="B1106" s="461"/>
      <c r="C1106" s="461"/>
      <c r="D1106" s="461"/>
      <c r="E1106" s="461"/>
      <c r="F1106" s="461"/>
      <c r="G1106" s="461"/>
      <c r="H1106" s="461"/>
      <c r="I1106" s="463"/>
      <c r="J1106" s="463"/>
      <c r="K1106" s="461"/>
      <c r="L1106" s="461"/>
      <c r="M1106" s="461"/>
      <c r="N1106" s="461"/>
      <c r="O1106" s="461"/>
      <c r="P1106" s="461"/>
      <c r="Q1106" s="461"/>
      <c r="R1106" s="461"/>
      <c r="S1106" s="461"/>
      <c r="T1106" s="461"/>
      <c r="U1106" s="461"/>
      <c r="V1106" s="461"/>
      <c r="W1106" s="461"/>
      <c r="X1106" s="461"/>
      <c r="Y1106" s="461"/>
    </row>
    <row r="1107" spans="1:25" ht="20.25" x14ac:dyDescent="0.4">
      <c r="A1107" s="461"/>
      <c r="B1107" s="461"/>
      <c r="C1107" s="461"/>
      <c r="D1107" s="461"/>
      <c r="E1107" s="461"/>
      <c r="F1107" s="461"/>
      <c r="G1107" s="461"/>
      <c r="H1107" s="461"/>
      <c r="I1107" s="463"/>
      <c r="J1107" s="463"/>
      <c r="K1107" s="461"/>
      <c r="L1107" s="461"/>
      <c r="M1107" s="461"/>
      <c r="N1107" s="461"/>
      <c r="O1107" s="461"/>
      <c r="P1107" s="461"/>
      <c r="Q1107" s="461"/>
      <c r="R1107" s="461"/>
      <c r="S1107" s="461"/>
      <c r="T1107" s="461"/>
      <c r="U1107" s="461"/>
      <c r="V1107" s="461"/>
      <c r="W1107" s="461"/>
      <c r="X1107" s="461"/>
      <c r="Y1107" s="461"/>
    </row>
    <row r="1108" spans="1:25" ht="20.25" x14ac:dyDescent="0.4">
      <c r="A1108" s="461"/>
      <c r="B1108" s="461"/>
      <c r="C1108" s="461"/>
      <c r="D1108" s="461"/>
      <c r="E1108" s="461"/>
      <c r="F1108" s="461"/>
      <c r="G1108" s="461"/>
      <c r="H1108" s="461"/>
      <c r="I1108" s="463"/>
      <c r="J1108" s="463"/>
      <c r="K1108" s="461"/>
      <c r="L1108" s="461"/>
      <c r="M1108" s="461"/>
      <c r="N1108" s="461"/>
      <c r="O1108" s="461"/>
      <c r="P1108" s="461"/>
      <c r="Q1108" s="461"/>
      <c r="R1108" s="461"/>
      <c r="S1108" s="461"/>
      <c r="T1108" s="461"/>
      <c r="U1108" s="461"/>
      <c r="V1108" s="461"/>
      <c r="W1108" s="461"/>
      <c r="X1108" s="461"/>
      <c r="Y1108" s="461"/>
    </row>
    <row r="1109" spans="1:25" ht="20.25" x14ac:dyDescent="0.4">
      <c r="A1109" s="461"/>
      <c r="B1109" s="461"/>
      <c r="C1109" s="461"/>
      <c r="D1109" s="461"/>
      <c r="E1109" s="461"/>
      <c r="F1109" s="461"/>
      <c r="G1109" s="461"/>
      <c r="H1109" s="461"/>
      <c r="I1109" s="463"/>
      <c r="J1109" s="463"/>
      <c r="K1109" s="461"/>
      <c r="L1109" s="461"/>
      <c r="M1109" s="461"/>
      <c r="N1109" s="461"/>
      <c r="O1109" s="461"/>
      <c r="P1109" s="461"/>
      <c r="Q1109" s="461"/>
      <c r="R1109" s="461"/>
      <c r="S1109" s="461"/>
      <c r="T1109" s="461"/>
      <c r="U1109" s="461"/>
      <c r="V1109" s="461"/>
      <c r="W1109" s="461"/>
      <c r="X1109" s="461"/>
      <c r="Y1109" s="461"/>
    </row>
    <row r="1110" spans="1:25" ht="20.25" x14ac:dyDescent="0.4">
      <c r="A1110" s="461"/>
      <c r="B1110" s="461"/>
      <c r="C1110" s="461"/>
      <c r="D1110" s="461"/>
      <c r="E1110" s="461"/>
      <c r="F1110" s="461"/>
      <c r="G1110" s="461"/>
      <c r="H1110" s="461"/>
      <c r="I1110" s="463"/>
      <c r="J1110" s="463"/>
      <c r="K1110" s="461"/>
      <c r="L1110" s="461"/>
      <c r="M1110" s="461"/>
      <c r="N1110" s="461"/>
      <c r="O1110" s="461"/>
      <c r="P1110" s="461"/>
      <c r="Q1110" s="461"/>
      <c r="R1110" s="461"/>
      <c r="S1110" s="461"/>
      <c r="T1110" s="461"/>
      <c r="U1110" s="461"/>
      <c r="V1110" s="461"/>
      <c r="W1110" s="461"/>
      <c r="X1110" s="461"/>
      <c r="Y1110" s="461"/>
    </row>
    <row r="1111" spans="1:25" ht="20.25" x14ac:dyDescent="0.4">
      <c r="A1111" s="461"/>
      <c r="B1111" s="461"/>
      <c r="C1111" s="461"/>
      <c r="D1111" s="461"/>
      <c r="E1111" s="461"/>
      <c r="F1111" s="461"/>
      <c r="G1111" s="461"/>
      <c r="H1111" s="461"/>
      <c r="I1111" s="463"/>
      <c r="J1111" s="463"/>
      <c r="K1111" s="461"/>
      <c r="L1111" s="461"/>
      <c r="M1111" s="461"/>
      <c r="N1111" s="461"/>
      <c r="O1111" s="461"/>
      <c r="P1111" s="461"/>
      <c r="Q1111" s="461"/>
      <c r="R1111" s="461"/>
      <c r="S1111" s="461"/>
      <c r="T1111" s="461"/>
      <c r="U1111" s="461"/>
      <c r="V1111" s="461"/>
      <c r="W1111" s="461"/>
      <c r="X1111" s="461"/>
      <c r="Y1111" s="461"/>
    </row>
    <row r="1112" spans="1:25" ht="20.25" x14ac:dyDescent="0.4">
      <c r="A1112" s="461"/>
      <c r="B1112" s="461"/>
      <c r="C1112" s="461"/>
      <c r="D1112" s="461"/>
      <c r="E1112" s="461"/>
      <c r="F1112" s="461"/>
      <c r="G1112" s="461"/>
      <c r="H1112" s="461"/>
      <c r="I1112" s="463"/>
      <c r="J1112" s="463"/>
      <c r="K1112" s="461"/>
      <c r="L1112" s="461"/>
      <c r="M1112" s="461"/>
      <c r="N1112" s="461"/>
      <c r="O1112" s="461"/>
      <c r="P1112" s="461"/>
      <c r="Q1112" s="461"/>
      <c r="R1112" s="461"/>
      <c r="S1112" s="461"/>
      <c r="T1112" s="461"/>
      <c r="U1112" s="461"/>
      <c r="V1112" s="461"/>
      <c r="W1112" s="461"/>
      <c r="X1112" s="461"/>
      <c r="Y1112" s="461"/>
    </row>
    <row r="1113" spans="1:25" ht="20.25" x14ac:dyDescent="0.4">
      <c r="A1113" s="461"/>
      <c r="B1113" s="461"/>
      <c r="C1113" s="461"/>
      <c r="D1113" s="461"/>
      <c r="E1113" s="461"/>
      <c r="F1113" s="461"/>
      <c r="G1113" s="461"/>
      <c r="H1113" s="461"/>
      <c r="I1113" s="463"/>
      <c r="J1113" s="463"/>
      <c r="K1113" s="461"/>
      <c r="L1113" s="461"/>
      <c r="M1113" s="461"/>
      <c r="N1113" s="461"/>
      <c r="O1113" s="461"/>
      <c r="P1113" s="461"/>
      <c r="Q1113" s="461"/>
      <c r="R1113" s="461"/>
      <c r="S1113" s="461"/>
      <c r="T1113" s="461"/>
      <c r="U1113" s="461"/>
      <c r="V1113" s="461"/>
      <c r="W1113" s="461"/>
      <c r="X1113" s="461"/>
      <c r="Y1113" s="461"/>
    </row>
    <row r="1114" spans="1:25" ht="20.25" x14ac:dyDescent="0.4">
      <c r="A1114" s="461"/>
      <c r="B1114" s="461"/>
      <c r="C1114" s="461"/>
      <c r="D1114" s="461"/>
      <c r="E1114" s="461"/>
      <c r="F1114" s="461"/>
      <c r="G1114" s="461"/>
      <c r="H1114" s="461"/>
      <c r="I1114" s="463"/>
      <c r="J1114" s="463"/>
      <c r="K1114" s="461"/>
      <c r="L1114" s="461"/>
      <c r="M1114" s="461"/>
      <c r="N1114" s="461"/>
      <c r="O1114" s="461"/>
      <c r="P1114" s="461"/>
      <c r="Q1114" s="461"/>
      <c r="R1114" s="461"/>
      <c r="S1114" s="461"/>
      <c r="T1114" s="461"/>
      <c r="U1114" s="461"/>
      <c r="V1114" s="461"/>
      <c r="W1114" s="461"/>
      <c r="X1114" s="461"/>
      <c r="Y1114" s="461"/>
    </row>
    <row r="1115" spans="1:25" ht="20.25" x14ac:dyDescent="0.4">
      <c r="A1115" s="461"/>
      <c r="B1115" s="461"/>
      <c r="C1115" s="461"/>
      <c r="D1115" s="461"/>
      <c r="E1115" s="461"/>
      <c r="F1115" s="461"/>
      <c r="G1115" s="461"/>
      <c r="H1115" s="461"/>
      <c r="I1115" s="463"/>
      <c r="J1115" s="463"/>
      <c r="K1115" s="461"/>
      <c r="L1115" s="461"/>
      <c r="M1115" s="461"/>
      <c r="N1115" s="461"/>
      <c r="O1115" s="461"/>
      <c r="P1115" s="461"/>
      <c r="Q1115" s="461"/>
      <c r="R1115" s="461"/>
      <c r="S1115" s="461"/>
      <c r="T1115" s="461"/>
      <c r="U1115" s="461"/>
      <c r="V1115" s="461"/>
      <c r="W1115" s="461"/>
      <c r="X1115" s="461"/>
      <c r="Y1115" s="461"/>
    </row>
    <row r="1116" spans="1:25" ht="20.25" x14ac:dyDescent="0.4">
      <c r="A1116" s="461"/>
      <c r="B1116" s="461"/>
      <c r="C1116" s="461"/>
      <c r="D1116" s="461"/>
      <c r="E1116" s="461"/>
      <c r="F1116" s="461"/>
      <c r="G1116" s="461"/>
      <c r="H1116" s="461"/>
      <c r="I1116" s="463"/>
      <c r="J1116" s="463"/>
      <c r="K1116" s="461"/>
      <c r="L1116" s="461"/>
      <c r="M1116" s="461"/>
      <c r="N1116" s="461"/>
      <c r="O1116" s="461"/>
      <c r="P1116" s="461"/>
      <c r="Q1116" s="461"/>
      <c r="R1116" s="461"/>
      <c r="S1116" s="461"/>
      <c r="T1116" s="461"/>
      <c r="U1116" s="461"/>
      <c r="V1116" s="461"/>
      <c r="W1116" s="461"/>
      <c r="X1116" s="461"/>
      <c r="Y1116" s="461"/>
    </row>
    <row r="1117" spans="1:25" ht="20.25" x14ac:dyDescent="0.4">
      <c r="A1117" s="461"/>
      <c r="B1117" s="461"/>
      <c r="C1117" s="461"/>
      <c r="D1117" s="461"/>
      <c r="E1117" s="461"/>
      <c r="F1117" s="461"/>
      <c r="G1117" s="461"/>
      <c r="H1117" s="461"/>
      <c r="I1117" s="463"/>
      <c r="J1117" s="463"/>
      <c r="K1117" s="461"/>
      <c r="L1117" s="461"/>
      <c r="M1117" s="461"/>
      <c r="N1117" s="461"/>
      <c r="O1117" s="461"/>
      <c r="P1117" s="461"/>
      <c r="Q1117" s="461"/>
      <c r="R1117" s="461"/>
      <c r="S1117" s="461"/>
      <c r="T1117" s="461"/>
      <c r="U1117" s="461"/>
      <c r="V1117" s="461"/>
      <c r="W1117" s="461"/>
      <c r="X1117" s="461"/>
      <c r="Y1117" s="461"/>
    </row>
    <row r="1118" spans="1:25" ht="20.25" x14ac:dyDescent="0.4">
      <c r="A1118" s="461"/>
      <c r="B1118" s="461"/>
      <c r="C1118" s="461"/>
      <c r="D1118" s="461"/>
      <c r="E1118" s="461"/>
      <c r="F1118" s="461"/>
      <c r="G1118" s="461"/>
      <c r="H1118" s="461"/>
      <c r="I1118" s="463"/>
      <c r="J1118" s="463"/>
      <c r="K1118" s="461"/>
      <c r="L1118" s="461"/>
      <c r="M1118" s="461"/>
      <c r="N1118" s="461"/>
      <c r="O1118" s="461"/>
      <c r="P1118" s="461"/>
      <c r="Q1118" s="461"/>
      <c r="R1118" s="461"/>
      <c r="S1118" s="461"/>
      <c r="T1118" s="461"/>
      <c r="U1118" s="461"/>
      <c r="V1118" s="461"/>
      <c r="W1118" s="461"/>
      <c r="X1118" s="461"/>
      <c r="Y1118" s="461"/>
    </row>
    <row r="1119" spans="1:25" ht="20.25" x14ac:dyDescent="0.4">
      <c r="A1119" s="461"/>
      <c r="B1119" s="461"/>
      <c r="C1119" s="461"/>
      <c r="D1119" s="461"/>
      <c r="E1119" s="461"/>
      <c r="F1119" s="461"/>
      <c r="G1119" s="461"/>
      <c r="H1119" s="461"/>
      <c r="I1119" s="463"/>
      <c r="J1119" s="463"/>
      <c r="K1119" s="461"/>
      <c r="L1119" s="461"/>
      <c r="M1119" s="461"/>
      <c r="N1119" s="461"/>
      <c r="O1119" s="461"/>
      <c r="P1119" s="461"/>
      <c r="Q1119" s="461"/>
      <c r="R1119" s="461"/>
      <c r="S1119" s="461"/>
      <c r="T1119" s="461"/>
      <c r="U1119" s="461"/>
      <c r="V1119" s="461"/>
      <c r="W1119" s="461"/>
      <c r="X1119" s="461"/>
      <c r="Y1119" s="461"/>
    </row>
    <row r="1120" spans="1:25" ht="20.25" x14ac:dyDescent="0.4">
      <c r="A1120" s="461"/>
      <c r="B1120" s="461"/>
      <c r="C1120" s="461"/>
      <c r="D1120" s="461"/>
      <c r="E1120" s="461"/>
      <c r="F1120" s="461"/>
      <c r="G1120" s="461"/>
      <c r="H1120" s="461"/>
      <c r="I1120" s="463"/>
      <c r="J1120" s="463"/>
      <c r="K1120" s="461"/>
      <c r="L1120" s="461"/>
      <c r="M1120" s="461"/>
      <c r="N1120" s="461"/>
      <c r="O1120" s="461"/>
      <c r="P1120" s="461"/>
      <c r="Q1120" s="461"/>
      <c r="R1120" s="461"/>
      <c r="S1120" s="461"/>
      <c r="T1120" s="461"/>
      <c r="U1120" s="461"/>
      <c r="V1120" s="461"/>
      <c r="W1120" s="461"/>
      <c r="X1120" s="461"/>
      <c r="Y1120" s="461"/>
    </row>
    <row r="1121" spans="1:25" ht="20.25" x14ac:dyDescent="0.4">
      <c r="A1121" s="461"/>
      <c r="B1121" s="461"/>
      <c r="C1121" s="461"/>
      <c r="D1121" s="461"/>
      <c r="E1121" s="461"/>
      <c r="F1121" s="461"/>
      <c r="G1121" s="461"/>
      <c r="H1121" s="461"/>
      <c r="I1121" s="463"/>
      <c r="J1121" s="463"/>
      <c r="K1121" s="461"/>
      <c r="L1121" s="461"/>
      <c r="M1121" s="461"/>
      <c r="N1121" s="461"/>
      <c r="O1121" s="461"/>
      <c r="P1121" s="461"/>
      <c r="Q1121" s="461"/>
      <c r="R1121" s="461"/>
      <c r="S1121" s="461"/>
      <c r="T1121" s="461"/>
      <c r="U1121" s="461"/>
      <c r="V1121" s="461"/>
      <c r="W1121" s="461"/>
      <c r="X1121" s="461"/>
      <c r="Y1121" s="461"/>
    </row>
    <row r="1122" spans="1:25" ht="20.25" x14ac:dyDescent="0.4">
      <c r="A1122" s="461"/>
      <c r="B1122" s="461"/>
      <c r="C1122" s="461"/>
      <c r="D1122" s="461"/>
      <c r="E1122" s="461"/>
      <c r="F1122" s="461"/>
      <c r="G1122" s="461"/>
      <c r="H1122" s="461"/>
      <c r="I1122" s="463"/>
      <c r="J1122" s="463"/>
      <c r="K1122" s="461"/>
      <c r="L1122" s="461"/>
      <c r="M1122" s="461"/>
      <c r="N1122" s="461"/>
      <c r="O1122" s="461"/>
      <c r="P1122" s="461"/>
      <c r="Q1122" s="461"/>
      <c r="R1122" s="461"/>
      <c r="S1122" s="461"/>
      <c r="T1122" s="461"/>
      <c r="U1122" s="461"/>
      <c r="V1122" s="461"/>
      <c r="W1122" s="461"/>
      <c r="X1122" s="461"/>
      <c r="Y1122" s="461"/>
    </row>
    <row r="1123" spans="1:25" ht="20.25" x14ac:dyDescent="0.4">
      <c r="A1123" s="461"/>
      <c r="B1123" s="461"/>
      <c r="C1123" s="461"/>
      <c r="D1123" s="461"/>
      <c r="E1123" s="461"/>
      <c r="F1123" s="461"/>
      <c r="G1123" s="461"/>
      <c r="H1123" s="461"/>
      <c r="I1123" s="463"/>
      <c r="J1123" s="463"/>
      <c r="K1123" s="461"/>
      <c r="L1123" s="461"/>
      <c r="M1123" s="461"/>
      <c r="N1123" s="461"/>
      <c r="O1123" s="461"/>
      <c r="P1123" s="461"/>
      <c r="Q1123" s="461"/>
      <c r="R1123" s="461"/>
      <c r="S1123" s="461"/>
      <c r="T1123" s="461"/>
      <c r="U1123" s="461"/>
      <c r="V1123" s="461"/>
      <c r="W1123" s="461"/>
      <c r="X1123" s="461"/>
      <c r="Y1123" s="461"/>
    </row>
    <row r="1124" spans="1:25" ht="20.25" x14ac:dyDescent="0.4">
      <c r="A1124" s="461"/>
      <c r="B1124" s="461"/>
      <c r="C1124" s="461"/>
      <c r="D1124" s="461"/>
      <c r="E1124" s="461"/>
      <c r="F1124" s="461"/>
      <c r="G1124" s="461"/>
      <c r="H1124" s="461"/>
      <c r="I1124" s="463"/>
      <c r="J1124" s="463"/>
      <c r="K1124" s="461"/>
      <c r="L1124" s="461"/>
      <c r="M1124" s="461"/>
      <c r="N1124" s="461"/>
      <c r="O1124" s="461"/>
      <c r="P1124" s="461"/>
      <c r="Q1124" s="461"/>
      <c r="R1124" s="461"/>
      <c r="S1124" s="461"/>
      <c r="T1124" s="461"/>
      <c r="U1124" s="461"/>
      <c r="V1124" s="461"/>
      <c r="W1124" s="461"/>
      <c r="X1124" s="461"/>
      <c r="Y1124" s="461"/>
    </row>
    <row r="1125" spans="1:25" ht="20.25" x14ac:dyDescent="0.4">
      <c r="A1125" s="461"/>
      <c r="B1125" s="461"/>
      <c r="C1125" s="461"/>
      <c r="D1125" s="461"/>
      <c r="E1125" s="461"/>
      <c r="F1125" s="461"/>
      <c r="G1125" s="461"/>
      <c r="H1125" s="461"/>
      <c r="I1125" s="463"/>
      <c r="J1125" s="463"/>
      <c r="K1125" s="461"/>
      <c r="L1125" s="461"/>
      <c r="M1125" s="461"/>
      <c r="N1125" s="461"/>
      <c r="O1125" s="461"/>
      <c r="P1125" s="461"/>
      <c r="Q1125" s="461"/>
      <c r="R1125" s="461"/>
      <c r="S1125" s="461"/>
      <c r="T1125" s="461"/>
      <c r="U1125" s="461"/>
      <c r="V1125" s="461"/>
      <c r="W1125" s="461"/>
      <c r="X1125" s="461"/>
      <c r="Y1125" s="461"/>
    </row>
    <row r="1126" spans="1:25" ht="20.25" x14ac:dyDescent="0.4">
      <c r="A1126" s="461"/>
      <c r="B1126" s="461"/>
      <c r="C1126" s="461"/>
      <c r="D1126" s="461"/>
      <c r="E1126" s="461"/>
      <c r="F1126" s="461"/>
      <c r="G1126" s="461"/>
      <c r="H1126" s="461"/>
      <c r="I1126" s="463"/>
      <c r="J1126" s="463"/>
      <c r="K1126" s="461"/>
      <c r="L1126" s="461"/>
      <c r="M1126" s="461"/>
      <c r="N1126" s="461"/>
      <c r="O1126" s="461"/>
      <c r="P1126" s="461"/>
      <c r="Q1126" s="461"/>
      <c r="R1126" s="461"/>
      <c r="S1126" s="461"/>
      <c r="T1126" s="461"/>
      <c r="U1126" s="461"/>
      <c r="V1126" s="461"/>
      <c r="W1126" s="461"/>
      <c r="X1126" s="461"/>
      <c r="Y1126" s="461"/>
    </row>
    <row r="1127" spans="1:25" ht="20.25" x14ac:dyDescent="0.4">
      <c r="A1127" s="461"/>
      <c r="B1127" s="461"/>
      <c r="C1127" s="461"/>
      <c r="D1127" s="461"/>
      <c r="E1127" s="461"/>
      <c r="F1127" s="461"/>
      <c r="G1127" s="461"/>
      <c r="H1127" s="461"/>
      <c r="I1127" s="463"/>
      <c r="J1127" s="463"/>
      <c r="K1127" s="461"/>
      <c r="L1127" s="461"/>
      <c r="M1127" s="461"/>
      <c r="N1127" s="461"/>
      <c r="O1127" s="461"/>
      <c r="P1127" s="461"/>
      <c r="Q1127" s="461"/>
      <c r="R1127" s="461"/>
      <c r="S1127" s="461"/>
      <c r="T1127" s="461"/>
      <c r="U1127" s="461"/>
      <c r="V1127" s="461"/>
      <c r="W1127" s="461"/>
      <c r="X1127" s="461"/>
      <c r="Y1127" s="461"/>
    </row>
    <row r="1128" spans="1:25" ht="20.25" x14ac:dyDescent="0.4">
      <c r="A1128" s="461"/>
      <c r="B1128" s="461"/>
      <c r="C1128" s="461"/>
      <c r="D1128" s="461"/>
      <c r="E1128" s="461"/>
      <c r="F1128" s="461"/>
      <c r="G1128" s="461"/>
      <c r="H1128" s="461"/>
      <c r="I1128" s="463"/>
      <c r="J1128" s="463"/>
      <c r="K1128" s="461"/>
      <c r="L1128" s="461"/>
      <c r="M1128" s="461"/>
      <c r="N1128" s="461"/>
      <c r="O1128" s="461"/>
      <c r="P1128" s="461"/>
      <c r="Q1128" s="461"/>
      <c r="R1128" s="461"/>
      <c r="S1128" s="461"/>
      <c r="T1128" s="461"/>
      <c r="U1128" s="461"/>
      <c r="V1128" s="461"/>
      <c r="W1128" s="461"/>
      <c r="X1128" s="461"/>
      <c r="Y1128" s="461"/>
    </row>
    <row r="1129" spans="1:25" ht="20.25" x14ac:dyDescent="0.4">
      <c r="A1129" s="461"/>
      <c r="B1129" s="461"/>
      <c r="C1129" s="461"/>
      <c r="D1129" s="461"/>
      <c r="E1129" s="461"/>
      <c r="F1129" s="461"/>
      <c r="G1129" s="461"/>
      <c r="H1129" s="461"/>
      <c r="I1129" s="463"/>
      <c r="J1129" s="463"/>
      <c r="K1129" s="461"/>
      <c r="L1129" s="461"/>
      <c r="M1129" s="461"/>
      <c r="N1129" s="461"/>
      <c r="O1129" s="461"/>
      <c r="P1129" s="461"/>
      <c r="Q1129" s="461"/>
      <c r="R1129" s="461"/>
      <c r="S1129" s="461"/>
      <c r="T1129" s="461"/>
      <c r="U1129" s="461"/>
      <c r="V1129" s="461"/>
      <c r="W1129" s="461"/>
      <c r="X1129" s="461"/>
      <c r="Y1129" s="461"/>
    </row>
    <row r="1130" spans="1:25" ht="20.25" x14ac:dyDescent="0.4">
      <c r="A1130" s="461"/>
      <c r="B1130" s="461"/>
      <c r="C1130" s="461"/>
      <c r="D1130" s="461"/>
      <c r="E1130" s="461"/>
      <c r="F1130" s="461"/>
      <c r="G1130" s="461"/>
      <c r="H1130" s="461"/>
      <c r="I1130" s="463"/>
      <c r="J1130" s="463"/>
      <c r="K1130" s="461"/>
      <c r="L1130" s="461"/>
      <c r="M1130" s="461"/>
      <c r="N1130" s="461"/>
      <c r="O1130" s="461"/>
      <c r="P1130" s="461"/>
      <c r="Q1130" s="461"/>
      <c r="R1130" s="461"/>
      <c r="S1130" s="461"/>
      <c r="T1130" s="461"/>
      <c r="U1130" s="461"/>
      <c r="V1130" s="461"/>
      <c r="W1130" s="461"/>
      <c r="X1130" s="461"/>
      <c r="Y1130" s="461"/>
    </row>
    <row r="1131" spans="1:25" ht="20.25" x14ac:dyDescent="0.4">
      <c r="A1131" s="461"/>
      <c r="B1131" s="461"/>
      <c r="C1131" s="461"/>
      <c r="D1131" s="461"/>
      <c r="E1131" s="461"/>
      <c r="F1131" s="461"/>
      <c r="G1131" s="461"/>
      <c r="H1131" s="461"/>
      <c r="I1131" s="463"/>
      <c r="J1131" s="463"/>
      <c r="K1131" s="461"/>
      <c r="L1131" s="461"/>
      <c r="M1131" s="461"/>
      <c r="N1131" s="461"/>
      <c r="O1131" s="461"/>
      <c r="P1131" s="461"/>
      <c r="Q1131" s="461"/>
      <c r="R1131" s="461"/>
      <c r="S1131" s="461"/>
      <c r="T1131" s="461"/>
      <c r="U1131" s="461"/>
      <c r="V1131" s="461"/>
      <c r="W1131" s="461"/>
      <c r="X1131" s="461"/>
      <c r="Y1131" s="461"/>
    </row>
    <row r="1132" spans="1:25" ht="20.25" x14ac:dyDescent="0.4">
      <c r="A1132" s="461"/>
      <c r="B1132" s="461"/>
      <c r="C1132" s="461"/>
      <c r="D1132" s="461"/>
      <c r="E1132" s="461"/>
      <c r="F1132" s="461"/>
      <c r="G1132" s="461"/>
      <c r="H1132" s="461"/>
      <c r="I1132" s="463"/>
      <c r="J1132" s="463"/>
      <c r="K1132" s="461"/>
      <c r="L1132" s="461"/>
      <c r="M1132" s="461"/>
      <c r="N1132" s="461"/>
      <c r="O1132" s="461"/>
      <c r="P1132" s="461"/>
      <c r="Q1132" s="461"/>
      <c r="R1132" s="461"/>
      <c r="S1132" s="461"/>
      <c r="T1132" s="461"/>
      <c r="U1132" s="461"/>
      <c r="V1132" s="461"/>
      <c r="W1132" s="461"/>
      <c r="X1132" s="461"/>
      <c r="Y1132" s="461"/>
    </row>
    <row r="1133" spans="1:25" ht="20.25" x14ac:dyDescent="0.4">
      <c r="A1133" s="461"/>
      <c r="B1133" s="461"/>
      <c r="C1133" s="461"/>
      <c r="D1133" s="461"/>
      <c r="E1133" s="461"/>
      <c r="F1133" s="461"/>
      <c r="G1133" s="461"/>
      <c r="H1133" s="461"/>
      <c r="I1133" s="463"/>
      <c r="J1133" s="463"/>
      <c r="K1133" s="461"/>
      <c r="L1133" s="461"/>
      <c r="M1133" s="461"/>
      <c r="N1133" s="461"/>
      <c r="O1133" s="461"/>
      <c r="P1133" s="461"/>
      <c r="Q1133" s="461"/>
      <c r="R1133" s="461"/>
      <c r="S1133" s="461"/>
      <c r="T1133" s="461"/>
      <c r="U1133" s="461"/>
      <c r="V1133" s="461"/>
      <c r="W1133" s="461"/>
      <c r="X1133" s="461"/>
      <c r="Y1133" s="461"/>
    </row>
    <row r="1134" spans="1:25" ht="20.25" x14ac:dyDescent="0.4">
      <c r="A1134" s="461"/>
      <c r="B1134" s="461"/>
      <c r="C1134" s="461"/>
      <c r="D1134" s="461"/>
      <c r="E1134" s="461"/>
      <c r="F1134" s="461"/>
      <c r="G1134" s="461"/>
      <c r="H1134" s="461"/>
      <c r="I1134" s="463"/>
      <c r="J1134" s="463"/>
      <c r="K1134" s="461"/>
      <c r="L1134" s="461"/>
      <c r="M1134" s="461"/>
      <c r="N1134" s="461"/>
      <c r="O1134" s="461"/>
      <c r="P1134" s="461"/>
      <c r="Q1134" s="461"/>
      <c r="R1134" s="461"/>
      <c r="S1134" s="461"/>
      <c r="T1134" s="461"/>
      <c r="U1134" s="461"/>
      <c r="V1134" s="461"/>
      <c r="W1134" s="461"/>
      <c r="X1134" s="461"/>
      <c r="Y1134" s="461"/>
    </row>
    <row r="1135" spans="1:25" ht="20.25" x14ac:dyDescent="0.4">
      <c r="A1135" s="461"/>
      <c r="B1135" s="461"/>
      <c r="C1135" s="461"/>
      <c r="D1135" s="461"/>
      <c r="E1135" s="461"/>
      <c r="F1135" s="461"/>
      <c r="G1135" s="461"/>
      <c r="H1135" s="461"/>
      <c r="I1135" s="463"/>
      <c r="J1135" s="463"/>
      <c r="K1135" s="461"/>
      <c r="L1135" s="461"/>
      <c r="M1135" s="461"/>
      <c r="N1135" s="461"/>
      <c r="O1135" s="461"/>
      <c r="P1135" s="461"/>
      <c r="Q1135" s="461"/>
      <c r="R1135" s="461"/>
      <c r="S1135" s="461"/>
      <c r="T1135" s="461"/>
      <c r="U1135" s="461"/>
      <c r="V1135" s="461"/>
      <c r="W1135" s="461"/>
      <c r="X1135" s="461"/>
      <c r="Y1135" s="461"/>
    </row>
    <row r="1136" spans="1:25" ht="20.25" x14ac:dyDescent="0.4">
      <c r="A1136" s="461"/>
      <c r="B1136" s="461"/>
      <c r="C1136" s="461"/>
      <c r="D1136" s="461"/>
      <c r="E1136" s="461"/>
      <c r="F1136" s="461"/>
      <c r="G1136" s="461"/>
      <c r="H1136" s="461"/>
      <c r="I1136" s="463"/>
      <c r="J1136" s="463"/>
      <c r="K1136" s="461"/>
      <c r="L1136" s="461"/>
      <c r="M1136" s="461"/>
      <c r="N1136" s="461"/>
      <c r="O1136" s="461"/>
      <c r="P1136" s="461"/>
      <c r="Q1136" s="461"/>
      <c r="R1136" s="461"/>
      <c r="S1136" s="461"/>
      <c r="T1136" s="461"/>
      <c r="U1136" s="461"/>
      <c r="V1136" s="461"/>
      <c r="W1136" s="461"/>
      <c r="X1136" s="461"/>
      <c r="Y1136" s="461"/>
    </row>
    <row r="1137" spans="1:25" ht="20.25" x14ac:dyDescent="0.4">
      <c r="A1137" s="461"/>
      <c r="B1137" s="461"/>
      <c r="C1137" s="461"/>
      <c r="D1137" s="461"/>
      <c r="E1137" s="461"/>
      <c r="F1137" s="461"/>
      <c r="G1137" s="461"/>
      <c r="H1137" s="461"/>
      <c r="I1137" s="463"/>
      <c r="J1137" s="463"/>
      <c r="K1137" s="461"/>
      <c r="L1137" s="461"/>
      <c r="M1137" s="461"/>
      <c r="N1137" s="461"/>
      <c r="O1137" s="461"/>
      <c r="P1137" s="461"/>
      <c r="Q1137" s="461"/>
      <c r="R1137" s="461"/>
      <c r="S1137" s="461"/>
      <c r="T1137" s="461"/>
      <c r="U1137" s="461"/>
      <c r="V1137" s="461"/>
      <c r="W1137" s="461"/>
      <c r="X1137" s="461"/>
      <c r="Y1137" s="461"/>
    </row>
    <row r="1138" spans="1:25" ht="20.25" x14ac:dyDescent="0.4">
      <c r="A1138" s="461"/>
      <c r="B1138" s="461"/>
      <c r="C1138" s="461"/>
      <c r="D1138" s="461"/>
      <c r="E1138" s="461"/>
      <c r="F1138" s="461"/>
      <c r="G1138" s="461"/>
      <c r="H1138" s="461"/>
      <c r="I1138" s="463"/>
      <c r="J1138" s="463"/>
      <c r="K1138" s="461"/>
      <c r="L1138" s="461"/>
      <c r="M1138" s="461"/>
      <c r="N1138" s="461"/>
      <c r="O1138" s="461"/>
      <c r="P1138" s="461"/>
      <c r="Q1138" s="461"/>
      <c r="R1138" s="461"/>
      <c r="S1138" s="461"/>
      <c r="T1138" s="461"/>
      <c r="U1138" s="461"/>
      <c r="V1138" s="461"/>
      <c r="W1138" s="461"/>
      <c r="X1138" s="461"/>
      <c r="Y1138" s="461"/>
    </row>
    <row r="1139" spans="1:25" ht="20.25" x14ac:dyDescent="0.4">
      <c r="A1139" s="461"/>
      <c r="B1139" s="461"/>
      <c r="C1139" s="461"/>
      <c r="D1139" s="461"/>
      <c r="E1139" s="461"/>
      <c r="F1139" s="461"/>
      <c r="G1139" s="461"/>
      <c r="H1139" s="461"/>
      <c r="I1139" s="463"/>
      <c r="J1139" s="463"/>
      <c r="K1139" s="461"/>
      <c r="L1139" s="461"/>
      <c r="M1139" s="461"/>
      <c r="N1139" s="461"/>
      <c r="O1139" s="461"/>
      <c r="P1139" s="461"/>
      <c r="Q1139" s="461"/>
      <c r="R1139" s="461"/>
      <c r="S1139" s="461"/>
      <c r="T1139" s="461"/>
      <c r="U1139" s="461"/>
      <c r="V1139" s="461"/>
      <c r="W1139" s="461"/>
      <c r="X1139" s="461"/>
      <c r="Y1139" s="461"/>
    </row>
    <row r="1140" spans="1:25" ht="20.25" x14ac:dyDescent="0.4">
      <c r="A1140" s="461"/>
      <c r="B1140" s="461"/>
      <c r="C1140" s="461"/>
      <c r="D1140" s="461"/>
      <c r="E1140" s="461"/>
      <c r="F1140" s="461"/>
      <c r="G1140" s="461"/>
      <c r="H1140" s="461"/>
      <c r="I1140" s="463"/>
      <c r="J1140" s="463"/>
      <c r="K1140" s="461"/>
      <c r="L1140" s="461"/>
      <c r="M1140" s="461"/>
      <c r="N1140" s="461"/>
      <c r="O1140" s="461"/>
      <c r="P1140" s="461"/>
      <c r="Q1140" s="461"/>
      <c r="R1140" s="461"/>
      <c r="S1140" s="461"/>
      <c r="T1140" s="461"/>
      <c r="U1140" s="461"/>
      <c r="V1140" s="461"/>
      <c r="W1140" s="461"/>
      <c r="X1140" s="461"/>
      <c r="Y1140" s="461"/>
    </row>
    <row r="1141" spans="1:25" ht="20.25" x14ac:dyDescent="0.4">
      <c r="A1141" s="461"/>
      <c r="B1141" s="461"/>
      <c r="C1141" s="461"/>
      <c r="D1141" s="461"/>
      <c r="E1141" s="461"/>
      <c r="F1141" s="461"/>
      <c r="G1141" s="461"/>
      <c r="H1141" s="461"/>
      <c r="I1141" s="463"/>
      <c r="J1141" s="463"/>
      <c r="K1141" s="461"/>
      <c r="L1141" s="461"/>
      <c r="M1141" s="461"/>
      <c r="N1141" s="461"/>
      <c r="O1141" s="461"/>
      <c r="P1141" s="461"/>
      <c r="Q1141" s="461"/>
      <c r="R1141" s="461"/>
      <c r="S1141" s="461"/>
      <c r="T1141" s="461"/>
      <c r="U1141" s="461"/>
      <c r="V1141" s="461"/>
      <c r="W1141" s="461"/>
      <c r="X1141" s="461"/>
      <c r="Y1141" s="461"/>
    </row>
    <row r="1142" spans="1:25" ht="20.25" x14ac:dyDescent="0.4">
      <c r="A1142" s="461"/>
      <c r="B1142" s="461"/>
      <c r="C1142" s="461"/>
      <c r="D1142" s="461"/>
      <c r="E1142" s="461"/>
      <c r="F1142" s="461"/>
      <c r="G1142" s="461"/>
      <c r="H1142" s="461"/>
      <c r="I1142" s="463"/>
      <c r="J1142" s="463"/>
      <c r="K1142" s="461"/>
      <c r="L1142" s="461"/>
      <c r="M1142" s="461"/>
      <c r="N1142" s="461"/>
      <c r="O1142" s="461"/>
      <c r="P1142" s="461"/>
      <c r="Q1142" s="461"/>
      <c r="R1142" s="461"/>
      <c r="S1142" s="461"/>
      <c r="T1142" s="461"/>
      <c r="U1142" s="461"/>
      <c r="V1142" s="461"/>
      <c r="W1142" s="461"/>
      <c r="X1142" s="461"/>
      <c r="Y1142" s="461"/>
    </row>
    <row r="1143" spans="1:25" ht="20.25" x14ac:dyDescent="0.4">
      <c r="A1143" s="461"/>
      <c r="B1143" s="461"/>
      <c r="C1143" s="461"/>
      <c r="D1143" s="461"/>
      <c r="E1143" s="461"/>
      <c r="F1143" s="461"/>
      <c r="G1143" s="461"/>
      <c r="H1143" s="461"/>
      <c r="I1143" s="463"/>
      <c r="J1143" s="463"/>
      <c r="K1143" s="461"/>
      <c r="L1143" s="461"/>
      <c r="M1143" s="461"/>
      <c r="N1143" s="461"/>
      <c r="O1143" s="461"/>
      <c r="P1143" s="461"/>
      <c r="Q1143" s="461"/>
      <c r="R1143" s="461"/>
      <c r="S1143" s="461"/>
      <c r="T1143" s="461"/>
      <c r="U1143" s="461"/>
      <c r="V1143" s="461"/>
      <c r="W1143" s="461"/>
      <c r="X1143" s="461"/>
      <c r="Y1143" s="461"/>
    </row>
    <row r="1144" spans="1:25" ht="20.25" x14ac:dyDescent="0.4">
      <c r="A1144" s="461"/>
      <c r="B1144" s="461"/>
      <c r="C1144" s="461"/>
      <c r="D1144" s="461"/>
      <c r="E1144" s="461"/>
      <c r="F1144" s="461"/>
      <c r="G1144" s="461"/>
      <c r="H1144" s="461"/>
      <c r="I1144" s="463"/>
      <c r="J1144" s="463"/>
      <c r="K1144" s="461"/>
      <c r="L1144" s="461"/>
      <c r="M1144" s="461"/>
      <c r="N1144" s="461"/>
      <c r="O1144" s="461"/>
      <c r="P1144" s="461"/>
      <c r="Q1144" s="461"/>
      <c r="R1144" s="461"/>
      <c r="S1144" s="461"/>
      <c r="T1144" s="461"/>
      <c r="U1144" s="461"/>
      <c r="V1144" s="461"/>
      <c r="W1144" s="461"/>
      <c r="X1144" s="461"/>
      <c r="Y1144" s="461"/>
    </row>
    <row r="1145" spans="1:25" ht="20.25" x14ac:dyDescent="0.4">
      <c r="A1145" s="461"/>
      <c r="B1145" s="461"/>
      <c r="C1145" s="461"/>
      <c r="D1145" s="461"/>
      <c r="E1145" s="461"/>
      <c r="F1145" s="461"/>
      <c r="G1145" s="461"/>
      <c r="H1145" s="461"/>
      <c r="I1145" s="463"/>
      <c r="J1145" s="463"/>
      <c r="K1145" s="461"/>
      <c r="L1145" s="461"/>
      <c r="M1145" s="461"/>
      <c r="N1145" s="461"/>
      <c r="O1145" s="461"/>
      <c r="P1145" s="461"/>
      <c r="Q1145" s="461"/>
      <c r="R1145" s="461"/>
      <c r="S1145" s="461"/>
      <c r="T1145" s="461"/>
      <c r="U1145" s="461"/>
      <c r="V1145" s="461"/>
      <c r="W1145" s="461"/>
      <c r="X1145" s="461"/>
      <c r="Y1145" s="461"/>
    </row>
    <row r="1146" spans="1:25" ht="20.25" x14ac:dyDescent="0.4">
      <c r="A1146" s="461"/>
      <c r="B1146" s="461"/>
      <c r="C1146" s="461"/>
      <c r="D1146" s="461"/>
      <c r="E1146" s="461"/>
      <c r="F1146" s="461"/>
      <c r="G1146" s="461"/>
      <c r="H1146" s="461"/>
      <c r="I1146" s="463"/>
      <c r="J1146" s="463"/>
      <c r="K1146" s="461"/>
      <c r="L1146" s="461"/>
      <c r="M1146" s="461"/>
      <c r="N1146" s="461"/>
      <c r="O1146" s="461"/>
      <c r="P1146" s="461"/>
      <c r="Q1146" s="461"/>
      <c r="R1146" s="461"/>
      <c r="S1146" s="461"/>
      <c r="T1146" s="461"/>
      <c r="U1146" s="461"/>
      <c r="V1146" s="461"/>
      <c r="W1146" s="461"/>
      <c r="X1146" s="461"/>
      <c r="Y1146" s="461"/>
    </row>
    <row r="1147" spans="1:25" ht="20.25" x14ac:dyDescent="0.4">
      <c r="A1147" s="461"/>
      <c r="B1147" s="461"/>
      <c r="C1147" s="461"/>
      <c r="D1147" s="461"/>
      <c r="E1147" s="461"/>
      <c r="F1147" s="461"/>
      <c r="G1147" s="461"/>
      <c r="H1147" s="461"/>
      <c r="I1147" s="463"/>
      <c r="J1147" s="463"/>
      <c r="K1147" s="461"/>
      <c r="L1147" s="461"/>
      <c r="M1147" s="461"/>
      <c r="N1147" s="461"/>
      <c r="O1147" s="461"/>
      <c r="P1147" s="461"/>
      <c r="Q1147" s="461"/>
      <c r="R1147" s="461"/>
      <c r="S1147" s="461"/>
      <c r="T1147" s="461"/>
      <c r="U1147" s="461"/>
      <c r="V1147" s="461"/>
      <c r="W1147" s="461"/>
      <c r="X1147" s="461"/>
      <c r="Y1147" s="461"/>
    </row>
    <row r="1148" spans="1:25" ht="20.25" x14ac:dyDescent="0.4">
      <c r="A1148" s="461"/>
      <c r="B1148" s="461"/>
      <c r="C1148" s="461"/>
      <c r="D1148" s="461"/>
      <c r="E1148" s="461"/>
      <c r="F1148" s="461"/>
      <c r="G1148" s="461"/>
      <c r="H1148" s="461"/>
      <c r="I1148" s="463"/>
      <c r="J1148" s="463"/>
      <c r="K1148" s="461"/>
      <c r="L1148" s="461"/>
      <c r="M1148" s="461"/>
      <c r="N1148" s="461"/>
      <c r="O1148" s="461"/>
      <c r="P1148" s="461"/>
      <c r="Q1148" s="461"/>
      <c r="R1148" s="461"/>
      <c r="S1148" s="461"/>
      <c r="T1148" s="461"/>
      <c r="U1148" s="461"/>
      <c r="V1148" s="461"/>
      <c r="W1148" s="461"/>
      <c r="X1148" s="461"/>
      <c r="Y1148" s="461"/>
    </row>
    <row r="1149" spans="1:25" ht="20.25" x14ac:dyDescent="0.4">
      <c r="A1149" s="461"/>
      <c r="B1149" s="461"/>
      <c r="C1149" s="461"/>
      <c r="D1149" s="461"/>
      <c r="E1149" s="461"/>
      <c r="F1149" s="461"/>
      <c r="G1149" s="461"/>
      <c r="H1149" s="461"/>
      <c r="I1149" s="463"/>
      <c r="J1149" s="463"/>
      <c r="K1149" s="461"/>
      <c r="L1149" s="461"/>
      <c r="M1149" s="461"/>
      <c r="N1149" s="461"/>
      <c r="O1149" s="461"/>
      <c r="P1149" s="461"/>
      <c r="Q1149" s="461"/>
      <c r="R1149" s="461"/>
      <c r="S1149" s="461"/>
      <c r="T1149" s="461"/>
      <c r="U1149" s="461"/>
      <c r="V1149" s="461"/>
      <c r="W1149" s="461"/>
      <c r="X1149" s="461"/>
      <c r="Y1149" s="461"/>
    </row>
    <row r="1150" spans="1:25" ht="20.25" x14ac:dyDescent="0.4">
      <c r="A1150" s="461"/>
      <c r="B1150" s="461"/>
      <c r="C1150" s="461"/>
      <c r="D1150" s="461"/>
      <c r="E1150" s="461"/>
      <c r="F1150" s="461"/>
      <c r="G1150" s="461"/>
      <c r="H1150" s="461"/>
      <c r="I1150" s="463"/>
      <c r="J1150" s="463"/>
      <c r="K1150" s="461"/>
      <c r="L1150" s="461"/>
      <c r="M1150" s="461"/>
      <c r="N1150" s="461"/>
      <c r="O1150" s="461"/>
      <c r="P1150" s="461"/>
      <c r="Q1150" s="461"/>
      <c r="R1150" s="461"/>
      <c r="S1150" s="461"/>
      <c r="T1150" s="461"/>
      <c r="U1150" s="461"/>
      <c r="V1150" s="461"/>
      <c r="W1150" s="461"/>
      <c r="X1150" s="461"/>
      <c r="Y1150" s="461"/>
    </row>
    <row r="1151" spans="1:25" ht="20.25" x14ac:dyDescent="0.4">
      <c r="A1151" s="461"/>
      <c r="B1151" s="461"/>
      <c r="C1151" s="461"/>
      <c r="D1151" s="461"/>
      <c r="E1151" s="461"/>
      <c r="F1151" s="461"/>
      <c r="G1151" s="461"/>
      <c r="H1151" s="461"/>
      <c r="I1151" s="463"/>
      <c r="J1151" s="463"/>
      <c r="K1151" s="461"/>
      <c r="L1151" s="461"/>
      <c r="M1151" s="461"/>
      <c r="N1151" s="461"/>
      <c r="O1151" s="461"/>
      <c r="P1151" s="461"/>
      <c r="Q1151" s="461"/>
      <c r="R1151" s="461"/>
      <c r="S1151" s="461"/>
      <c r="T1151" s="461"/>
      <c r="U1151" s="461"/>
      <c r="V1151" s="461"/>
      <c r="W1151" s="461"/>
      <c r="X1151" s="461"/>
      <c r="Y1151" s="461"/>
    </row>
    <row r="1152" spans="1:25" ht="20.25" x14ac:dyDescent="0.4">
      <c r="A1152" s="461"/>
      <c r="B1152" s="461"/>
      <c r="C1152" s="461"/>
      <c r="D1152" s="461"/>
      <c r="E1152" s="461"/>
      <c r="F1152" s="461"/>
      <c r="G1152" s="461"/>
      <c r="H1152" s="461"/>
      <c r="I1152" s="463"/>
      <c r="J1152" s="463"/>
      <c r="K1152" s="461"/>
      <c r="L1152" s="461"/>
      <c r="M1152" s="461"/>
      <c r="N1152" s="461"/>
      <c r="O1152" s="461"/>
      <c r="P1152" s="461"/>
      <c r="Q1152" s="461"/>
      <c r="R1152" s="461"/>
      <c r="S1152" s="461"/>
      <c r="T1152" s="461"/>
      <c r="U1152" s="461"/>
      <c r="V1152" s="461"/>
      <c r="W1152" s="461"/>
      <c r="X1152" s="461"/>
      <c r="Y1152" s="461"/>
    </row>
    <row r="1153" spans="1:25" ht="20.25" x14ac:dyDescent="0.4">
      <c r="A1153" s="461"/>
      <c r="B1153" s="461"/>
      <c r="C1153" s="461"/>
      <c r="D1153" s="461"/>
      <c r="E1153" s="461"/>
      <c r="F1153" s="461"/>
      <c r="G1153" s="461"/>
      <c r="H1153" s="461"/>
      <c r="I1153" s="463"/>
      <c r="J1153" s="463"/>
      <c r="K1153" s="461"/>
      <c r="L1153" s="461"/>
      <c r="M1153" s="461"/>
      <c r="N1153" s="461"/>
      <c r="O1153" s="461"/>
      <c r="P1153" s="461"/>
      <c r="Q1153" s="461"/>
      <c r="R1153" s="461"/>
      <c r="S1153" s="461"/>
      <c r="T1153" s="461"/>
      <c r="U1153" s="461"/>
      <c r="V1153" s="461"/>
      <c r="W1153" s="461"/>
      <c r="X1153" s="461"/>
      <c r="Y1153" s="461"/>
    </row>
    <row r="1154" spans="1:25" ht="20.25" x14ac:dyDescent="0.4">
      <c r="A1154" s="461"/>
      <c r="B1154" s="461"/>
      <c r="C1154" s="461"/>
      <c r="D1154" s="461"/>
      <c r="E1154" s="461"/>
      <c r="F1154" s="461"/>
      <c r="G1154" s="461"/>
      <c r="H1154" s="461"/>
      <c r="I1154" s="463"/>
      <c r="J1154" s="463"/>
      <c r="K1154" s="461"/>
      <c r="L1154" s="461"/>
      <c r="M1154" s="461"/>
      <c r="N1154" s="461"/>
      <c r="O1154" s="461"/>
      <c r="P1154" s="461"/>
      <c r="Q1154" s="461"/>
      <c r="R1154" s="461"/>
      <c r="S1154" s="461"/>
      <c r="T1154" s="461"/>
      <c r="U1154" s="461"/>
      <c r="V1154" s="461"/>
      <c r="W1154" s="461"/>
      <c r="X1154" s="461"/>
      <c r="Y1154" s="461"/>
    </row>
    <row r="1155" spans="1:25" ht="20.25" x14ac:dyDescent="0.4">
      <c r="A1155" s="461"/>
      <c r="B1155" s="461"/>
      <c r="C1155" s="461"/>
      <c r="D1155" s="461"/>
      <c r="E1155" s="461"/>
      <c r="F1155" s="461"/>
      <c r="G1155" s="461"/>
      <c r="H1155" s="461"/>
      <c r="I1155" s="463"/>
      <c r="J1155" s="463"/>
      <c r="K1155" s="461"/>
      <c r="L1155" s="461"/>
      <c r="M1155" s="461"/>
      <c r="N1155" s="461"/>
      <c r="O1155" s="461"/>
      <c r="P1155" s="461"/>
      <c r="Q1155" s="461"/>
      <c r="R1155" s="461"/>
      <c r="S1155" s="461"/>
      <c r="T1155" s="461"/>
      <c r="U1155" s="461"/>
      <c r="V1155" s="461"/>
      <c r="W1155" s="461"/>
      <c r="X1155" s="461"/>
      <c r="Y1155" s="461"/>
    </row>
    <row r="1156" spans="1:25" ht="20.25" x14ac:dyDescent="0.4">
      <c r="A1156" s="461"/>
      <c r="B1156" s="461"/>
      <c r="C1156" s="461"/>
      <c r="D1156" s="461"/>
      <c r="E1156" s="461"/>
      <c r="F1156" s="461"/>
      <c r="G1156" s="461"/>
      <c r="H1156" s="461"/>
      <c r="I1156" s="463"/>
      <c r="J1156" s="463"/>
      <c r="K1156" s="461"/>
      <c r="L1156" s="461"/>
      <c r="M1156" s="461"/>
      <c r="N1156" s="461"/>
      <c r="O1156" s="461"/>
      <c r="P1156" s="461"/>
      <c r="Q1156" s="461"/>
      <c r="R1156" s="461"/>
      <c r="S1156" s="461"/>
      <c r="T1156" s="461"/>
      <c r="U1156" s="461"/>
      <c r="V1156" s="461"/>
      <c r="W1156" s="461"/>
      <c r="X1156" s="461"/>
      <c r="Y1156" s="461"/>
    </row>
    <row r="1157" spans="1:25" ht="20.25" x14ac:dyDescent="0.4">
      <c r="A1157" s="461"/>
      <c r="B1157" s="461"/>
      <c r="C1157" s="461"/>
      <c r="D1157" s="461"/>
      <c r="E1157" s="461"/>
      <c r="F1157" s="461"/>
      <c r="G1157" s="461"/>
      <c r="H1157" s="461"/>
      <c r="I1157" s="463"/>
      <c r="J1157" s="463"/>
      <c r="K1157" s="461"/>
      <c r="L1157" s="461"/>
      <c r="M1157" s="461"/>
      <c r="N1157" s="461"/>
      <c r="O1157" s="461"/>
      <c r="P1157" s="461"/>
      <c r="Q1157" s="461"/>
      <c r="R1157" s="461"/>
      <c r="S1157" s="461"/>
      <c r="T1157" s="461"/>
      <c r="U1157" s="461"/>
      <c r="V1157" s="461"/>
      <c r="W1157" s="461"/>
      <c r="X1157" s="461"/>
      <c r="Y1157" s="461"/>
    </row>
    <row r="1158" spans="1:25" ht="20.25" x14ac:dyDescent="0.4">
      <c r="A1158" s="461"/>
      <c r="B1158" s="461"/>
      <c r="C1158" s="461"/>
      <c r="D1158" s="461"/>
      <c r="E1158" s="461"/>
      <c r="F1158" s="461"/>
      <c r="G1158" s="461"/>
      <c r="H1158" s="461"/>
      <c r="I1158" s="463"/>
      <c r="J1158" s="463"/>
      <c r="K1158" s="461"/>
      <c r="L1158" s="461"/>
      <c r="M1158" s="461"/>
      <c r="N1158" s="461"/>
      <c r="O1158" s="461"/>
      <c r="P1158" s="461"/>
      <c r="Q1158" s="461"/>
      <c r="R1158" s="461"/>
      <c r="S1158" s="461"/>
      <c r="T1158" s="461"/>
      <c r="U1158" s="461"/>
      <c r="V1158" s="461"/>
      <c r="W1158" s="461"/>
      <c r="X1158" s="461"/>
      <c r="Y1158" s="461"/>
    </row>
    <row r="1159" spans="1:25" ht="20.25" x14ac:dyDescent="0.4">
      <c r="A1159" s="461"/>
      <c r="B1159" s="461"/>
      <c r="C1159" s="461"/>
      <c r="D1159" s="461"/>
      <c r="E1159" s="461"/>
      <c r="F1159" s="461"/>
      <c r="G1159" s="461"/>
      <c r="H1159" s="461"/>
      <c r="I1159" s="463"/>
      <c r="J1159" s="463"/>
      <c r="K1159" s="461"/>
      <c r="L1159" s="461"/>
      <c r="M1159" s="461"/>
      <c r="N1159" s="461"/>
      <c r="O1159" s="461"/>
      <c r="P1159" s="461"/>
      <c r="Q1159" s="461"/>
      <c r="R1159" s="461"/>
      <c r="S1159" s="461"/>
      <c r="T1159" s="461"/>
      <c r="U1159" s="461"/>
      <c r="V1159" s="461"/>
      <c r="W1159" s="461"/>
      <c r="X1159" s="461"/>
      <c r="Y1159" s="461"/>
    </row>
    <row r="1160" spans="1:25" ht="20.25" x14ac:dyDescent="0.4">
      <c r="A1160" s="461"/>
      <c r="B1160" s="461"/>
      <c r="C1160" s="461"/>
      <c r="D1160" s="461"/>
      <c r="E1160" s="461"/>
      <c r="F1160" s="461"/>
      <c r="G1160" s="461"/>
      <c r="H1160" s="461"/>
      <c r="I1160" s="463"/>
      <c r="J1160" s="463"/>
      <c r="K1160" s="461"/>
      <c r="L1160" s="461"/>
      <c r="M1160" s="461"/>
      <c r="N1160" s="461"/>
      <c r="O1160" s="461"/>
      <c r="P1160" s="461"/>
      <c r="Q1160" s="461"/>
      <c r="R1160" s="461"/>
      <c r="S1160" s="461"/>
      <c r="T1160" s="461"/>
      <c r="U1160" s="461"/>
      <c r="V1160" s="461"/>
      <c r="W1160" s="461"/>
      <c r="X1160" s="461"/>
      <c r="Y1160" s="461"/>
    </row>
    <row r="1161" spans="1:25" ht="20.25" x14ac:dyDescent="0.4">
      <c r="A1161" s="461"/>
      <c r="B1161" s="461"/>
      <c r="C1161" s="461"/>
      <c r="D1161" s="461"/>
      <c r="E1161" s="461"/>
      <c r="F1161" s="461"/>
      <c r="G1161" s="461"/>
      <c r="H1161" s="461"/>
      <c r="I1161" s="463"/>
      <c r="J1161" s="463"/>
      <c r="K1161" s="461"/>
      <c r="L1161" s="461"/>
      <c r="M1161" s="461"/>
      <c r="N1161" s="461"/>
      <c r="O1161" s="461"/>
      <c r="P1161" s="461"/>
      <c r="Q1161" s="461"/>
      <c r="R1161" s="461"/>
      <c r="S1161" s="461"/>
      <c r="T1161" s="461"/>
      <c r="U1161" s="461"/>
      <c r="V1161" s="461"/>
      <c r="W1161" s="461"/>
      <c r="X1161" s="461"/>
      <c r="Y1161" s="461"/>
    </row>
    <row r="1162" spans="1:25" ht="20.25" x14ac:dyDescent="0.4">
      <c r="A1162" s="461"/>
      <c r="B1162" s="461"/>
      <c r="C1162" s="461"/>
      <c r="D1162" s="461"/>
      <c r="E1162" s="461"/>
      <c r="F1162" s="461"/>
      <c r="G1162" s="461"/>
      <c r="H1162" s="461"/>
      <c r="I1162" s="463"/>
      <c r="J1162" s="463"/>
      <c r="K1162" s="461"/>
      <c r="L1162" s="461"/>
      <c r="M1162" s="461"/>
      <c r="N1162" s="461"/>
      <c r="O1162" s="461"/>
      <c r="P1162" s="461"/>
      <c r="Q1162" s="461"/>
      <c r="R1162" s="461"/>
      <c r="S1162" s="461"/>
      <c r="T1162" s="461"/>
      <c r="U1162" s="461"/>
      <c r="V1162" s="461"/>
      <c r="W1162" s="461"/>
      <c r="X1162" s="461"/>
      <c r="Y1162" s="461"/>
    </row>
    <row r="1163" spans="1:25" ht="20.25" x14ac:dyDescent="0.4">
      <c r="A1163" s="461"/>
      <c r="B1163" s="461"/>
      <c r="C1163" s="461"/>
      <c r="D1163" s="461"/>
      <c r="E1163" s="461"/>
      <c r="F1163" s="461"/>
      <c r="G1163" s="461"/>
      <c r="H1163" s="461"/>
      <c r="I1163" s="463"/>
      <c r="J1163" s="463"/>
      <c r="K1163" s="461"/>
      <c r="L1163" s="461"/>
      <c r="M1163" s="461"/>
      <c r="N1163" s="461"/>
      <c r="O1163" s="461"/>
      <c r="P1163" s="461"/>
      <c r="Q1163" s="461"/>
      <c r="R1163" s="461"/>
      <c r="S1163" s="461"/>
      <c r="T1163" s="461"/>
      <c r="U1163" s="461"/>
      <c r="V1163" s="461"/>
      <c r="W1163" s="461"/>
      <c r="X1163" s="461"/>
      <c r="Y1163" s="461"/>
    </row>
    <row r="1164" spans="1:25" ht="20.25" x14ac:dyDescent="0.4">
      <c r="A1164" s="461"/>
      <c r="B1164" s="461"/>
      <c r="C1164" s="461"/>
      <c r="D1164" s="461"/>
      <c r="E1164" s="461"/>
      <c r="F1164" s="461"/>
      <c r="G1164" s="461"/>
      <c r="H1164" s="461"/>
      <c r="I1164" s="463"/>
      <c r="J1164" s="463"/>
      <c r="K1164" s="461"/>
      <c r="L1164" s="461"/>
      <c r="M1164" s="461"/>
      <c r="N1164" s="461"/>
      <c r="O1164" s="461"/>
      <c r="P1164" s="461"/>
      <c r="Q1164" s="461"/>
      <c r="R1164" s="461"/>
      <c r="S1164" s="461"/>
      <c r="T1164" s="461"/>
      <c r="U1164" s="461"/>
      <c r="V1164" s="461"/>
      <c r="W1164" s="461"/>
      <c r="X1164" s="461"/>
      <c r="Y1164" s="461"/>
    </row>
    <row r="1165" spans="1:25" ht="20.25" x14ac:dyDescent="0.4">
      <c r="A1165" s="461"/>
      <c r="B1165" s="461"/>
      <c r="C1165" s="461"/>
      <c r="D1165" s="461"/>
      <c r="E1165" s="461"/>
      <c r="F1165" s="461"/>
      <c r="G1165" s="461"/>
      <c r="H1165" s="461"/>
      <c r="I1165" s="463"/>
      <c r="J1165" s="463"/>
      <c r="K1165" s="461"/>
      <c r="L1165" s="461"/>
      <c r="M1165" s="461"/>
      <c r="N1165" s="461"/>
      <c r="O1165" s="461"/>
      <c r="P1165" s="461"/>
      <c r="Q1165" s="461"/>
      <c r="R1165" s="461"/>
      <c r="S1165" s="461"/>
      <c r="T1165" s="461"/>
      <c r="U1165" s="461"/>
      <c r="V1165" s="461"/>
      <c r="W1165" s="461"/>
      <c r="X1165" s="461"/>
      <c r="Y1165" s="461"/>
    </row>
    <row r="1166" spans="1:25" ht="20.25" x14ac:dyDescent="0.4">
      <c r="A1166" s="461"/>
      <c r="B1166" s="461"/>
      <c r="C1166" s="461"/>
      <c r="D1166" s="461"/>
      <c r="E1166" s="461"/>
      <c r="F1166" s="461"/>
      <c r="G1166" s="461"/>
      <c r="H1166" s="461"/>
      <c r="I1166" s="463"/>
      <c r="J1166" s="463"/>
      <c r="K1166" s="461"/>
      <c r="L1166" s="461"/>
      <c r="M1166" s="461"/>
      <c r="N1166" s="461"/>
      <c r="O1166" s="461"/>
      <c r="P1166" s="461"/>
      <c r="Q1166" s="461"/>
      <c r="R1166" s="461"/>
      <c r="S1166" s="461"/>
      <c r="T1166" s="461"/>
      <c r="U1166" s="461"/>
      <c r="V1166" s="461"/>
      <c r="W1166" s="461"/>
      <c r="X1166" s="461"/>
      <c r="Y1166" s="461"/>
    </row>
    <row r="1167" spans="1:25" ht="20.25" x14ac:dyDescent="0.4">
      <c r="A1167" s="461"/>
      <c r="B1167" s="461"/>
      <c r="C1167" s="461"/>
      <c r="D1167" s="461"/>
      <c r="E1167" s="461"/>
      <c r="F1167" s="461"/>
      <c r="G1167" s="461"/>
      <c r="H1167" s="461"/>
      <c r="I1167" s="463"/>
      <c r="J1167" s="463"/>
      <c r="K1167" s="461"/>
      <c r="L1167" s="461"/>
      <c r="M1167" s="461"/>
      <c r="N1167" s="461"/>
      <c r="O1167" s="461"/>
      <c r="P1167" s="461"/>
      <c r="Q1167" s="461"/>
      <c r="R1167" s="461"/>
      <c r="S1167" s="461"/>
      <c r="T1167" s="461"/>
      <c r="U1167" s="461"/>
      <c r="V1167" s="461"/>
      <c r="W1167" s="461"/>
      <c r="X1167" s="461"/>
      <c r="Y1167" s="461"/>
    </row>
    <row r="1168" spans="1:25" ht="20.25" x14ac:dyDescent="0.4">
      <c r="A1168" s="461"/>
      <c r="B1168" s="461"/>
      <c r="C1168" s="461"/>
      <c r="D1168" s="461"/>
      <c r="E1168" s="461"/>
      <c r="F1168" s="461"/>
      <c r="G1168" s="461"/>
      <c r="H1168" s="461"/>
      <c r="I1168" s="463"/>
      <c r="J1168" s="463"/>
      <c r="K1168" s="461"/>
      <c r="L1168" s="461"/>
      <c r="M1168" s="461"/>
      <c r="N1168" s="461"/>
      <c r="O1168" s="461"/>
      <c r="P1168" s="461"/>
      <c r="Q1168" s="461"/>
      <c r="R1168" s="461"/>
      <c r="S1168" s="461"/>
      <c r="T1168" s="461"/>
      <c r="U1168" s="461"/>
      <c r="V1168" s="461"/>
      <c r="W1168" s="461"/>
      <c r="X1168" s="461"/>
      <c r="Y1168" s="461"/>
    </row>
    <row r="1169" spans="1:25" ht="20.25" x14ac:dyDescent="0.4">
      <c r="A1169" s="461"/>
      <c r="B1169" s="461"/>
      <c r="C1169" s="461"/>
      <c r="D1169" s="461"/>
      <c r="E1169" s="461"/>
      <c r="F1169" s="461"/>
      <c r="G1169" s="461"/>
      <c r="H1169" s="461"/>
      <c r="I1169" s="463"/>
      <c r="J1169" s="463"/>
      <c r="K1169" s="461"/>
      <c r="L1169" s="461"/>
      <c r="M1169" s="461"/>
      <c r="N1169" s="461"/>
      <c r="O1169" s="461"/>
      <c r="P1169" s="461"/>
      <c r="Q1169" s="461"/>
      <c r="R1169" s="461"/>
      <c r="S1169" s="461"/>
      <c r="T1169" s="461"/>
      <c r="U1169" s="461"/>
      <c r="V1169" s="461"/>
      <c r="W1169" s="461"/>
      <c r="X1169" s="461"/>
      <c r="Y1169" s="461"/>
    </row>
    <row r="1170" spans="1:25" ht="20.25" x14ac:dyDescent="0.4">
      <c r="A1170" s="461"/>
      <c r="B1170" s="461"/>
      <c r="C1170" s="461"/>
      <c r="D1170" s="461"/>
      <c r="E1170" s="461"/>
      <c r="F1170" s="461"/>
      <c r="G1170" s="461"/>
      <c r="H1170" s="461"/>
      <c r="I1170" s="463"/>
      <c r="J1170" s="463"/>
      <c r="K1170" s="461"/>
      <c r="L1170" s="461"/>
      <c r="M1170" s="461"/>
      <c r="N1170" s="461"/>
      <c r="O1170" s="461"/>
      <c r="P1170" s="461"/>
      <c r="Q1170" s="461"/>
      <c r="R1170" s="461"/>
      <c r="S1170" s="461"/>
      <c r="T1170" s="461"/>
      <c r="U1170" s="461"/>
      <c r="V1170" s="461"/>
      <c r="W1170" s="461"/>
      <c r="X1170" s="461"/>
      <c r="Y1170" s="461"/>
    </row>
    <row r="1171" spans="1:25" ht="20.25" x14ac:dyDescent="0.4">
      <c r="A1171" s="461"/>
      <c r="B1171" s="461"/>
      <c r="C1171" s="461"/>
      <c r="D1171" s="461"/>
      <c r="E1171" s="461"/>
      <c r="F1171" s="461"/>
      <c r="G1171" s="461"/>
      <c r="H1171" s="461"/>
      <c r="I1171" s="463"/>
      <c r="J1171" s="463"/>
      <c r="K1171" s="461"/>
      <c r="L1171" s="461"/>
      <c r="M1171" s="461"/>
      <c r="N1171" s="461"/>
      <c r="O1171" s="461"/>
      <c r="P1171" s="461"/>
      <c r="Q1171" s="461"/>
      <c r="R1171" s="461"/>
      <c r="S1171" s="461"/>
      <c r="T1171" s="461"/>
      <c r="U1171" s="461"/>
      <c r="V1171" s="461"/>
      <c r="W1171" s="461"/>
      <c r="X1171" s="461"/>
      <c r="Y1171" s="461"/>
    </row>
    <row r="1172" spans="1:25" ht="20.25" x14ac:dyDescent="0.4">
      <c r="A1172" s="461"/>
      <c r="B1172" s="461"/>
      <c r="C1172" s="461"/>
      <c r="D1172" s="461"/>
      <c r="E1172" s="461"/>
      <c r="F1172" s="461"/>
      <c r="G1172" s="461"/>
      <c r="H1172" s="461"/>
      <c r="I1172" s="463"/>
      <c r="J1172" s="463"/>
      <c r="K1172" s="461"/>
      <c r="L1172" s="461"/>
      <c r="M1172" s="461"/>
      <c r="N1172" s="461"/>
      <c r="O1172" s="461"/>
      <c r="P1172" s="461"/>
      <c r="Q1172" s="461"/>
      <c r="R1172" s="461"/>
      <c r="S1172" s="461"/>
      <c r="T1172" s="461"/>
      <c r="U1172" s="461"/>
      <c r="V1172" s="461"/>
      <c r="W1172" s="461"/>
      <c r="X1172" s="461"/>
      <c r="Y1172" s="461"/>
    </row>
    <row r="1173" spans="1:25" ht="20.25" x14ac:dyDescent="0.4">
      <c r="A1173" s="461"/>
      <c r="B1173" s="461"/>
      <c r="C1173" s="461"/>
      <c r="D1173" s="461"/>
      <c r="E1173" s="461"/>
      <c r="F1173" s="461"/>
      <c r="G1173" s="461"/>
      <c r="H1173" s="461"/>
      <c r="I1173" s="463"/>
      <c r="J1173" s="463"/>
      <c r="K1173" s="461"/>
      <c r="L1173" s="461"/>
      <c r="M1173" s="461"/>
      <c r="N1173" s="461"/>
      <c r="O1173" s="461"/>
      <c r="P1173" s="461"/>
      <c r="Q1173" s="461"/>
      <c r="R1173" s="461"/>
      <c r="S1173" s="461"/>
      <c r="T1173" s="461"/>
      <c r="U1173" s="461"/>
      <c r="V1173" s="461"/>
      <c r="W1173" s="461"/>
      <c r="X1173" s="461"/>
      <c r="Y1173" s="461"/>
    </row>
    <row r="1174" spans="1:25" ht="20.25" x14ac:dyDescent="0.4">
      <c r="A1174" s="461"/>
      <c r="B1174" s="461"/>
      <c r="C1174" s="461"/>
      <c r="D1174" s="461"/>
      <c r="E1174" s="461"/>
      <c r="F1174" s="461"/>
      <c r="G1174" s="461"/>
      <c r="H1174" s="461"/>
      <c r="I1174" s="463"/>
      <c r="J1174" s="463"/>
      <c r="K1174" s="461"/>
      <c r="L1174" s="461"/>
      <c r="M1174" s="461"/>
      <c r="N1174" s="461"/>
      <c r="O1174" s="461"/>
      <c r="P1174" s="461"/>
      <c r="Q1174" s="461"/>
      <c r="R1174" s="461"/>
      <c r="S1174" s="461"/>
      <c r="T1174" s="461"/>
      <c r="U1174" s="461"/>
      <c r="V1174" s="461"/>
      <c r="W1174" s="461"/>
      <c r="X1174" s="461"/>
      <c r="Y1174" s="461"/>
    </row>
    <row r="1175" spans="1:25" ht="20.25" x14ac:dyDescent="0.4">
      <c r="A1175" s="461"/>
      <c r="B1175" s="461"/>
      <c r="C1175" s="461"/>
      <c r="D1175" s="461"/>
      <c r="E1175" s="461"/>
      <c r="F1175" s="461"/>
      <c r="G1175" s="461"/>
      <c r="H1175" s="461"/>
      <c r="I1175" s="463"/>
      <c r="J1175" s="463"/>
      <c r="K1175" s="461"/>
      <c r="L1175" s="461"/>
      <c r="M1175" s="461"/>
      <c r="N1175" s="461"/>
      <c r="O1175" s="461"/>
      <c r="P1175" s="461"/>
      <c r="Q1175" s="461"/>
      <c r="R1175" s="461"/>
      <c r="S1175" s="461"/>
      <c r="T1175" s="461"/>
      <c r="U1175" s="461"/>
      <c r="V1175" s="461"/>
      <c r="W1175" s="461"/>
      <c r="X1175" s="461"/>
      <c r="Y1175" s="461"/>
    </row>
    <row r="1176" spans="1:25" ht="20.25" x14ac:dyDescent="0.4">
      <c r="A1176" s="461"/>
      <c r="B1176" s="461"/>
      <c r="C1176" s="461"/>
      <c r="D1176" s="461"/>
      <c r="E1176" s="461"/>
      <c r="F1176" s="461"/>
      <c r="G1176" s="461"/>
      <c r="H1176" s="461"/>
      <c r="I1176" s="463"/>
      <c r="J1176" s="463"/>
      <c r="K1176" s="461"/>
      <c r="L1176" s="461"/>
      <c r="M1176" s="461"/>
      <c r="N1176" s="461"/>
      <c r="O1176" s="461"/>
      <c r="P1176" s="461"/>
      <c r="Q1176" s="461"/>
      <c r="R1176" s="461"/>
      <c r="S1176" s="461"/>
      <c r="T1176" s="461"/>
      <c r="U1176" s="461"/>
      <c r="V1176" s="461"/>
      <c r="W1176" s="461"/>
      <c r="X1176" s="461"/>
      <c r="Y1176" s="461"/>
    </row>
    <row r="1177" spans="1:25" ht="20.25" x14ac:dyDescent="0.4">
      <c r="A1177" s="461"/>
      <c r="B1177" s="461"/>
      <c r="C1177" s="461"/>
      <c r="D1177" s="461"/>
      <c r="E1177" s="461"/>
      <c r="F1177" s="461"/>
      <c r="G1177" s="461"/>
      <c r="H1177" s="461"/>
      <c r="I1177" s="463"/>
      <c r="J1177" s="463"/>
      <c r="K1177" s="461"/>
      <c r="L1177" s="461"/>
      <c r="M1177" s="461"/>
      <c r="N1177" s="461"/>
      <c r="O1177" s="461"/>
      <c r="P1177" s="461"/>
      <c r="Q1177" s="461"/>
      <c r="R1177" s="461"/>
      <c r="S1177" s="461"/>
      <c r="T1177" s="461"/>
      <c r="U1177" s="461"/>
      <c r="V1177" s="461"/>
      <c r="W1177" s="461"/>
      <c r="X1177" s="461"/>
      <c r="Y1177" s="461"/>
    </row>
    <row r="1178" spans="1:25" ht="20.25" x14ac:dyDescent="0.4">
      <c r="A1178" s="461"/>
      <c r="B1178" s="461"/>
      <c r="C1178" s="461"/>
      <c r="D1178" s="461"/>
      <c r="E1178" s="461"/>
      <c r="F1178" s="461"/>
      <c r="G1178" s="461"/>
      <c r="H1178" s="461"/>
      <c r="I1178" s="463"/>
      <c r="J1178" s="463"/>
      <c r="K1178" s="461"/>
      <c r="L1178" s="461"/>
      <c r="M1178" s="461"/>
      <c r="N1178" s="461"/>
      <c r="O1178" s="461"/>
      <c r="P1178" s="461"/>
      <c r="Q1178" s="461"/>
      <c r="R1178" s="461"/>
      <c r="S1178" s="461"/>
      <c r="T1178" s="461"/>
      <c r="U1178" s="461"/>
      <c r="V1178" s="461"/>
      <c r="W1178" s="461"/>
      <c r="X1178" s="461"/>
      <c r="Y1178" s="461"/>
    </row>
    <row r="1179" spans="1:25" ht="20.25" x14ac:dyDescent="0.4">
      <c r="A1179" s="461"/>
      <c r="B1179" s="461"/>
      <c r="C1179" s="461"/>
      <c r="D1179" s="461"/>
      <c r="E1179" s="461"/>
      <c r="F1179" s="461"/>
      <c r="G1179" s="461"/>
      <c r="H1179" s="461"/>
      <c r="I1179" s="463"/>
      <c r="J1179" s="463"/>
      <c r="K1179" s="461"/>
      <c r="L1179" s="461"/>
      <c r="M1179" s="461"/>
      <c r="N1179" s="461"/>
      <c r="O1179" s="461"/>
      <c r="P1179" s="461"/>
      <c r="Q1179" s="461"/>
      <c r="R1179" s="461"/>
      <c r="S1179" s="461"/>
      <c r="T1179" s="461"/>
      <c r="U1179" s="461"/>
      <c r="V1179" s="461"/>
      <c r="W1179" s="461"/>
      <c r="X1179" s="461"/>
      <c r="Y1179" s="461"/>
    </row>
    <row r="1180" spans="1:25" ht="20.25" x14ac:dyDescent="0.4">
      <c r="A1180" s="461"/>
      <c r="B1180" s="461"/>
      <c r="C1180" s="461"/>
      <c r="D1180" s="461"/>
      <c r="E1180" s="461"/>
      <c r="F1180" s="461"/>
      <c r="G1180" s="461"/>
      <c r="H1180" s="461"/>
      <c r="I1180" s="463"/>
      <c r="J1180" s="463"/>
      <c r="K1180" s="461"/>
      <c r="L1180" s="461"/>
      <c r="M1180" s="461"/>
      <c r="N1180" s="461"/>
      <c r="O1180" s="461"/>
      <c r="P1180" s="461"/>
      <c r="Q1180" s="461"/>
      <c r="R1180" s="461"/>
      <c r="S1180" s="461"/>
      <c r="T1180" s="461"/>
      <c r="U1180" s="461"/>
      <c r="V1180" s="461"/>
      <c r="W1180" s="461"/>
      <c r="X1180" s="461"/>
      <c r="Y1180" s="461"/>
    </row>
    <row r="1181" spans="1:25" ht="20.25" x14ac:dyDescent="0.4">
      <c r="A1181" s="461"/>
      <c r="B1181" s="461"/>
      <c r="C1181" s="461"/>
      <c r="D1181" s="461"/>
      <c r="E1181" s="461"/>
      <c r="F1181" s="461"/>
      <c r="G1181" s="461"/>
      <c r="H1181" s="461"/>
      <c r="I1181" s="463"/>
      <c r="J1181" s="463"/>
      <c r="K1181" s="461"/>
      <c r="L1181" s="461"/>
      <c r="M1181" s="461"/>
      <c r="N1181" s="461"/>
      <c r="O1181" s="461"/>
      <c r="P1181" s="461"/>
      <c r="Q1181" s="461"/>
      <c r="R1181" s="461"/>
      <c r="S1181" s="461"/>
      <c r="T1181" s="461"/>
      <c r="U1181" s="461"/>
      <c r="V1181" s="461"/>
      <c r="W1181" s="461"/>
      <c r="X1181" s="461"/>
      <c r="Y1181" s="461"/>
    </row>
    <row r="1182" spans="1:25" ht="20.25" x14ac:dyDescent="0.4">
      <c r="A1182" s="461"/>
      <c r="B1182" s="461"/>
      <c r="C1182" s="461"/>
      <c r="D1182" s="461"/>
      <c r="E1182" s="461"/>
      <c r="F1182" s="461"/>
      <c r="G1182" s="461"/>
      <c r="H1182" s="461"/>
      <c r="I1182" s="463"/>
      <c r="J1182" s="463"/>
      <c r="K1182" s="461"/>
      <c r="L1182" s="461"/>
      <c r="M1182" s="461"/>
      <c r="N1182" s="461"/>
      <c r="O1182" s="461"/>
      <c r="P1182" s="461"/>
      <c r="Q1182" s="461"/>
      <c r="R1182" s="461"/>
      <c r="S1182" s="461"/>
      <c r="T1182" s="461"/>
      <c r="U1182" s="461"/>
      <c r="V1182" s="461"/>
      <c r="W1182" s="461"/>
      <c r="X1182" s="461"/>
      <c r="Y1182" s="461"/>
    </row>
    <row r="1183" spans="1:25" ht="20.25" x14ac:dyDescent="0.4">
      <c r="A1183" s="461"/>
      <c r="B1183" s="461"/>
      <c r="C1183" s="461"/>
      <c r="D1183" s="461"/>
      <c r="E1183" s="461"/>
      <c r="F1183" s="461"/>
      <c r="G1183" s="461"/>
      <c r="H1183" s="461"/>
      <c r="I1183" s="463"/>
      <c r="J1183" s="463"/>
      <c r="K1183" s="461"/>
      <c r="L1183" s="461"/>
      <c r="M1183" s="461"/>
      <c r="N1183" s="461"/>
      <c r="O1183" s="461"/>
      <c r="P1183" s="461"/>
      <c r="Q1183" s="461"/>
      <c r="R1183" s="461"/>
      <c r="S1183" s="461"/>
      <c r="T1183" s="461"/>
      <c r="U1183" s="461"/>
      <c r="V1183" s="461"/>
      <c r="W1183" s="461"/>
      <c r="X1183" s="461"/>
      <c r="Y1183" s="461"/>
    </row>
    <row r="1184" spans="1:25" ht="20.25" x14ac:dyDescent="0.4">
      <c r="A1184" s="461"/>
      <c r="B1184" s="461"/>
      <c r="C1184" s="461"/>
      <c r="D1184" s="461"/>
      <c r="E1184" s="461"/>
      <c r="F1184" s="461"/>
      <c r="G1184" s="461"/>
      <c r="H1184" s="461"/>
      <c r="I1184" s="463"/>
      <c r="J1184" s="463"/>
      <c r="K1184" s="461"/>
      <c r="L1184" s="461"/>
      <c r="M1184" s="461"/>
      <c r="N1184" s="461"/>
      <c r="O1184" s="461"/>
      <c r="P1184" s="461"/>
      <c r="Q1184" s="461"/>
      <c r="R1184" s="461"/>
      <c r="S1184" s="461"/>
      <c r="T1184" s="461"/>
      <c r="U1184" s="461"/>
      <c r="V1184" s="461"/>
      <c r="W1184" s="461"/>
      <c r="X1184" s="461"/>
      <c r="Y1184" s="461"/>
    </row>
    <row r="1185" spans="1:25" ht="20.25" x14ac:dyDescent="0.4">
      <c r="A1185" s="461"/>
      <c r="B1185" s="461"/>
      <c r="C1185" s="461"/>
      <c r="D1185" s="461"/>
      <c r="E1185" s="461"/>
      <c r="F1185" s="461"/>
      <c r="G1185" s="461"/>
      <c r="H1185" s="461"/>
      <c r="I1185" s="463"/>
      <c r="J1185" s="463"/>
      <c r="K1185" s="461"/>
      <c r="L1185" s="461"/>
      <c r="M1185" s="461"/>
      <c r="N1185" s="461"/>
      <c r="O1185" s="461"/>
      <c r="P1185" s="461"/>
      <c r="Q1185" s="461"/>
      <c r="R1185" s="461"/>
      <c r="S1185" s="461"/>
      <c r="T1185" s="461"/>
      <c r="U1185" s="461"/>
      <c r="V1185" s="461"/>
      <c r="W1185" s="461"/>
      <c r="X1185" s="461"/>
      <c r="Y1185" s="461"/>
    </row>
    <row r="1186" spans="1:25" ht="20.25" x14ac:dyDescent="0.4">
      <c r="A1186" s="461"/>
      <c r="B1186" s="461"/>
      <c r="C1186" s="461"/>
      <c r="D1186" s="461"/>
      <c r="E1186" s="461"/>
      <c r="F1186" s="461"/>
      <c r="G1186" s="461"/>
      <c r="H1186" s="461"/>
      <c r="I1186" s="463"/>
      <c r="J1186" s="463"/>
      <c r="K1186" s="461"/>
      <c r="L1186" s="461"/>
      <c r="M1186" s="461"/>
      <c r="N1186" s="461"/>
      <c r="O1186" s="461"/>
      <c r="P1186" s="461"/>
      <c r="Q1186" s="461"/>
      <c r="R1186" s="461"/>
      <c r="S1186" s="461"/>
      <c r="T1186" s="461"/>
      <c r="U1186" s="461"/>
      <c r="V1186" s="461"/>
      <c r="W1186" s="461"/>
      <c r="X1186" s="461"/>
      <c r="Y1186" s="461"/>
    </row>
    <row r="1187" spans="1:25" ht="20.25" x14ac:dyDescent="0.4">
      <c r="A1187" s="461"/>
      <c r="B1187" s="461"/>
      <c r="C1187" s="461"/>
      <c r="D1187" s="461"/>
      <c r="E1187" s="461"/>
      <c r="F1187" s="461"/>
      <c r="G1187" s="461"/>
      <c r="H1187" s="461"/>
      <c r="I1187" s="463"/>
      <c r="J1187" s="463"/>
      <c r="K1187" s="461"/>
      <c r="L1187" s="461"/>
      <c r="M1187" s="461"/>
      <c r="N1187" s="461"/>
      <c r="O1187" s="461"/>
      <c r="P1187" s="461"/>
      <c r="Q1187" s="461"/>
      <c r="R1187" s="461"/>
      <c r="S1187" s="461"/>
      <c r="T1187" s="461"/>
      <c r="U1187" s="461"/>
      <c r="V1187" s="461"/>
      <c r="W1187" s="461"/>
      <c r="X1187" s="461"/>
      <c r="Y1187" s="461"/>
    </row>
    <row r="1188" spans="1:25" ht="20.25" x14ac:dyDescent="0.4">
      <c r="A1188" s="461"/>
      <c r="B1188" s="461"/>
      <c r="C1188" s="461"/>
      <c r="D1188" s="461"/>
      <c r="E1188" s="461"/>
      <c r="F1188" s="461"/>
      <c r="G1188" s="461"/>
      <c r="H1188" s="461"/>
      <c r="I1188" s="463"/>
      <c r="J1188" s="463"/>
      <c r="K1188" s="461"/>
      <c r="L1188" s="461"/>
      <c r="M1188" s="461"/>
      <c r="N1188" s="461"/>
      <c r="O1188" s="461"/>
      <c r="P1188" s="461"/>
      <c r="Q1188" s="461"/>
      <c r="R1188" s="461"/>
      <c r="S1188" s="461"/>
      <c r="T1188" s="461"/>
      <c r="U1188" s="461"/>
      <c r="V1188" s="461"/>
      <c r="W1188" s="461"/>
      <c r="X1188" s="461"/>
      <c r="Y1188" s="461"/>
    </row>
    <row r="1189" spans="1:25" ht="20.25" x14ac:dyDescent="0.4">
      <c r="A1189" s="461"/>
      <c r="B1189" s="461"/>
      <c r="C1189" s="461"/>
      <c r="D1189" s="461"/>
      <c r="E1189" s="461"/>
      <c r="F1189" s="461"/>
      <c r="G1189" s="461"/>
      <c r="H1189" s="461"/>
      <c r="I1189" s="463"/>
      <c r="J1189" s="463"/>
      <c r="K1189" s="461"/>
      <c r="L1189" s="461"/>
      <c r="M1189" s="461"/>
      <c r="N1189" s="461"/>
      <c r="O1189" s="461"/>
      <c r="P1189" s="461"/>
      <c r="Q1189" s="461"/>
      <c r="R1189" s="461"/>
      <c r="S1189" s="461"/>
      <c r="T1189" s="461"/>
      <c r="U1189" s="461"/>
      <c r="V1189" s="461"/>
      <c r="W1189" s="461"/>
      <c r="X1189" s="461"/>
      <c r="Y1189" s="461"/>
    </row>
    <row r="1190" spans="1:25" ht="20.25" x14ac:dyDescent="0.4">
      <c r="A1190" s="461"/>
      <c r="B1190" s="461"/>
      <c r="C1190" s="461"/>
      <c r="D1190" s="461"/>
      <c r="E1190" s="461"/>
      <c r="F1190" s="461"/>
      <c r="G1190" s="461"/>
      <c r="H1190" s="461"/>
      <c r="I1190" s="463"/>
      <c r="J1190" s="463"/>
      <c r="K1190" s="461"/>
      <c r="L1190" s="461"/>
      <c r="M1190" s="461"/>
      <c r="N1190" s="461"/>
      <c r="O1190" s="461"/>
      <c r="P1190" s="461"/>
      <c r="Q1190" s="461"/>
      <c r="R1190" s="461"/>
      <c r="S1190" s="461"/>
      <c r="T1190" s="461"/>
      <c r="U1190" s="461"/>
      <c r="V1190" s="461"/>
      <c r="W1190" s="461"/>
      <c r="X1190" s="461"/>
      <c r="Y1190" s="461"/>
    </row>
    <row r="1191" spans="1:25" ht="20.25" x14ac:dyDescent="0.4">
      <c r="A1191" s="461"/>
      <c r="B1191" s="461"/>
      <c r="C1191" s="461"/>
      <c r="D1191" s="461"/>
      <c r="E1191" s="461"/>
      <c r="F1191" s="461"/>
      <c r="G1191" s="461"/>
      <c r="H1191" s="461"/>
      <c r="I1191" s="463"/>
      <c r="J1191" s="463"/>
      <c r="K1191" s="461"/>
      <c r="L1191" s="461"/>
      <c r="M1191" s="461"/>
      <c r="N1191" s="461"/>
      <c r="O1191" s="461"/>
      <c r="P1191" s="461"/>
      <c r="Q1191" s="461"/>
      <c r="R1191" s="461"/>
      <c r="S1191" s="461"/>
      <c r="T1191" s="461"/>
      <c r="U1191" s="461"/>
      <c r="V1191" s="461"/>
      <c r="W1191" s="461"/>
      <c r="X1191" s="461"/>
      <c r="Y1191" s="461"/>
    </row>
    <row r="1192" spans="1:25" ht="20.25" x14ac:dyDescent="0.4">
      <c r="A1192" s="461"/>
      <c r="B1192" s="461"/>
      <c r="C1192" s="461"/>
      <c r="D1192" s="461"/>
      <c r="E1192" s="461"/>
      <c r="F1192" s="461"/>
      <c r="G1192" s="461"/>
      <c r="H1192" s="461"/>
      <c r="I1192" s="463"/>
      <c r="J1192" s="463"/>
      <c r="K1192" s="461"/>
      <c r="L1192" s="461"/>
      <c r="M1192" s="461"/>
      <c r="N1192" s="461"/>
      <c r="O1192" s="461"/>
      <c r="P1192" s="461"/>
      <c r="Q1192" s="461"/>
      <c r="R1192" s="461"/>
      <c r="S1192" s="461"/>
      <c r="T1192" s="461"/>
      <c r="U1192" s="461"/>
      <c r="V1192" s="461"/>
      <c r="W1192" s="461"/>
      <c r="X1192" s="461"/>
      <c r="Y1192" s="461"/>
    </row>
    <row r="1193" spans="1:25" ht="20.25" x14ac:dyDescent="0.4">
      <c r="A1193" s="461"/>
      <c r="B1193" s="461"/>
      <c r="C1193" s="461"/>
      <c r="D1193" s="461"/>
      <c r="E1193" s="461"/>
      <c r="F1193" s="461"/>
      <c r="G1193" s="461"/>
      <c r="H1193" s="461"/>
      <c r="I1193" s="463"/>
      <c r="J1193" s="463"/>
      <c r="K1193" s="461"/>
      <c r="L1193" s="461"/>
      <c r="M1193" s="461"/>
      <c r="N1193" s="461"/>
      <c r="O1193" s="461"/>
      <c r="P1193" s="461"/>
      <c r="Q1193" s="461"/>
      <c r="R1193" s="461"/>
      <c r="S1193" s="461"/>
      <c r="T1193" s="461"/>
      <c r="U1193" s="461"/>
      <c r="V1193" s="461"/>
      <c r="W1193" s="461"/>
      <c r="X1193" s="461"/>
      <c r="Y1193" s="461"/>
    </row>
    <row r="1194" spans="1:25" ht="20.25" x14ac:dyDescent="0.4">
      <c r="A1194" s="461"/>
      <c r="B1194" s="461"/>
      <c r="C1194" s="461"/>
      <c r="D1194" s="461"/>
      <c r="E1194" s="461"/>
      <c r="F1194" s="461"/>
      <c r="G1194" s="461"/>
      <c r="H1194" s="461"/>
      <c r="I1194" s="463"/>
      <c r="J1194" s="463"/>
      <c r="K1194" s="461"/>
      <c r="L1194" s="461"/>
      <c r="M1194" s="461"/>
      <c r="N1194" s="461"/>
      <c r="O1194" s="461"/>
      <c r="P1194" s="461"/>
      <c r="Q1194" s="461"/>
      <c r="R1194" s="461"/>
      <c r="S1194" s="461"/>
      <c r="T1194" s="461"/>
      <c r="U1194" s="461"/>
      <c r="V1194" s="461"/>
      <c r="W1194" s="461"/>
      <c r="X1194" s="461"/>
      <c r="Y1194" s="461"/>
    </row>
    <row r="1195" spans="1:25" ht="20.25" x14ac:dyDescent="0.4">
      <c r="A1195" s="461"/>
      <c r="B1195" s="461"/>
      <c r="C1195" s="461"/>
      <c r="D1195" s="461"/>
      <c r="E1195" s="461"/>
      <c r="F1195" s="461"/>
      <c r="G1195" s="461"/>
      <c r="H1195" s="461"/>
      <c r="I1195" s="463"/>
      <c r="J1195" s="463"/>
      <c r="K1195" s="461"/>
      <c r="L1195" s="461"/>
      <c r="M1195" s="461"/>
      <c r="N1195" s="461"/>
      <c r="O1195" s="461"/>
      <c r="P1195" s="461"/>
      <c r="Q1195" s="461"/>
      <c r="R1195" s="461"/>
      <c r="S1195" s="461"/>
      <c r="T1195" s="461"/>
      <c r="U1195" s="461"/>
      <c r="V1195" s="461"/>
      <c r="W1195" s="461"/>
      <c r="X1195" s="461"/>
      <c r="Y1195" s="461"/>
    </row>
    <row r="1196" spans="1:25" ht="20.25" x14ac:dyDescent="0.4">
      <c r="A1196" s="461"/>
      <c r="B1196" s="461"/>
      <c r="C1196" s="461"/>
      <c r="D1196" s="461"/>
      <c r="E1196" s="461"/>
      <c r="F1196" s="461"/>
      <c r="G1196" s="461"/>
      <c r="H1196" s="461"/>
      <c r="I1196" s="463"/>
      <c r="J1196" s="463"/>
      <c r="K1196" s="461"/>
      <c r="L1196" s="461"/>
      <c r="M1196" s="461"/>
      <c r="N1196" s="461"/>
      <c r="O1196" s="461"/>
      <c r="P1196" s="461"/>
      <c r="Q1196" s="461"/>
      <c r="R1196" s="461"/>
      <c r="S1196" s="461"/>
      <c r="T1196" s="461"/>
      <c r="U1196" s="461"/>
      <c r="V1196" s="461"/>
      <c r="W1196" s="461"/>
      <c r="X1196" s="461"/>
      <c r="Y1196" s="461"/>
    </row>
    <row r="1197" spans="1:25" ht="20.25" x14ac:dyDescent="0.4">
      <c r="A1197" s="461"/>
      <c r="B1197" s="461"/>
      <c r="C1197" s="461"/>
      <c r="D1197" s="461"/>
      <c r="E1197" s="461"/>
      <c r="F1197" s="461"/>
      <c r="G1197" s="461"/>
      <c r="H1197" s="461"/>
      <c r="I1197" s="463"/>
      <c r="J1197" s="463"/>
      <c r="K1197" s="461"/>
      <c r="L1197" s="461"/>
      <c r="M1197" s="461"/>
      <c r="N1197" s="461"/>
      <c r="O1197" s="461"/>
      <c r="P1197" s="461"/>
      <c r="Q1197" s="461"/>
      <c r="R1197" s="461"/>
      <c r="S1197" s="461"/>
      <c r="T1197" s="461"/>
      <c r="U1197" s="461"/>
      <c r="V1197" s="461"/>
      <c r="W1197" s="461"/>
      <c r="X1197" s="461"/>
      <c r="Y1197" s="461"/>
    </row>
    <row r="1198" spans="1:25" ht="20.25" x14ac:dyDescent="0.4">
      <c r="A1198" s="461"/>
      <c r="B1198" s="461"/>
      <c r="C1198" s="461"/>
      <c r="D1198" s="461"/>
      <c r="E1198" s="461"/>
      <c r="F1198" s="461"/>
      <c r="G1198" s="461"/>
      <c r="H1198" s="461"/>
      <c r="I1198" s="463"/>
      <c r="J1198" s="463"/>
      <c r="K1198" s="461"/>
      <c r="L1198" s="461"/>
      <c r="M1198" s="461"/>
      <c r="N1198" s="461"/>
      <c r="O1198" s="461"/>
      <c r="P1198" s="461"/>
      <c r="Q1198" s="461"/>
      <c r="R1198" s="461"/>
      <c r="S1198" s="461"/>
      <c r="T1198" s="461"/>
      <c r="U1198" s="461"/>
      <c r="V1198" s="461"/>
      <c r="W1198" s="461"/>
      <c r="X1198" s="461"/>
      <c r="Y1198" s="461"/>
    </row>
    <row r="1199" spans="1:25" ht="20.25" x14ac:dyDescent="0.4">
      <c r="A1199" s="461"/>
      <c r="B1199" s="461"/>
      <c r="C1199" s="461"/>
      <c r="D1199" s="461"/>
      <c r="E1199" s="461"/>
      <c r="F1199" s="461"/>
      <c r="G1199" s="461"/>
      <c r="H1199" s="461"/>
      <c r="I1199" s="463"/>
      <c r="J1199" s="463"/>
      <c r="K1199" s="461"/>
      <c r="L1199" s="461"/>
      <c r="M1199" s="461"/>
      <c r="N1199" s="461"/>
      <c r="O1199" s="461"/>
      <c r="P1199" s="461"/>
      <c r="Q1199" s="461"/>
      <c r="R1199" s="461"/>
      <c r="S1199" s="461"/>
      <c r="T1199" s="461"/>
      <c r="U1199" s="461"/>
      <c r="V1199" s="461"/>
      <c r="W1199" s="461"/>
      <c r="X1199" s="461"/>
      <c r="Y1199" s="461"/>
    </row>
    <row r="1200" spans="1:25" ht="20.25" x14ac:dyDescent="0.4">
      <c r="A1200" s="461"/>
      <c r="B1200" s="461"/>
      <c r="C1200" s="461"/>
      <c r="D1200" s="461"/>
      <c r="E1200" s="461"/>
      <c r="F1200" s="461"/>
      <c r="G1200" s="461"/>
      <c r="H1200" s="461"/>
      <c r="I1200" s="463"/>
      <c r="J1200" s="463"/>
      <c r="K1200" s="461"/>
      <c r="L1200" s="461"/>
      <c r="M1200" s="461"/>
      <c r="N1200" s="461"/>
      <c r="O1200" s="461"/>
      <c r="P1200" s="461"/>
      <c r="Q1200" s="461"/>
      <c r="R1200" s="461"/>
      <c r="S1200" s="461"/>
      <c r="T1200" s="461"/>
      <c r="U1200" s="461"/>
      <c r="V1200" s="461"/>
      <c r="W1200" s="461"/>
      <c r="X1200" s="461"/>
      <c r="Y1200" s="461"/>
    </row>
    <row r="1201" spans="1:25" ht="20.25" x14ac:dyDescent="0.4">
      <c r="A1201" s="461"/>
      <c r="B1201" s="461"/>
      <c r="C1201" s="461"/>
      <c r="D1201" s="461"/>
      <c r="E1201" s="461"/>
      <c r="F1201" s="461"/>
      <c r="G1201" s="461"/>
      <c r="H1201" s="461"/>
      <c r="I1201" s="463"/>
      <c r="J1201" s="463"/>
      <c r="K1201" s="461"/>
      <c r="L1201" s="461"/>
      <c r="M1201" s="461"/>
      <c r="N1201" s="461"/>
      <c r="O1201" s="461"/>
      <c r="P1201" s="461"/>
      <c r="Q1201" s="461"/>
      <c r="R1201" s="461"/>
      <c r="S1201" s="461"/>
      <c r="T1201" s="461"/>
      <c r="U1201" s="461"/>
      <c r="V1201" s="461"/>
      <c r="W1201" s="461"/>
      <c r="X1201" s="461"/>
      <c r="Y1201" s="461"/>
    </row>
    <row r="1202" spans="1:25" ht="20.25" x14ac:dyDescent="0.4">
      <c r="A1202" s="461"/>
      <c r="B1202" s="461"/>
      <c r="C1202" s="461"/>
      <c r="D1202" s="461"/>
      <c r="E1202" s="461"/>
      <c r="F1202" s="461"/>
      <c r="G1202" s="461"/>
      <c r="H1202" s="461"/>
      <c r="I1202" s="463"/>
      <c r="J1202" s="463"/>
      <c r="K1202" s="461"/>
      <c r="L1202" s="461"/>
      <c r="M1202" s="461"/>
      <c r="N1202" s="461"/>
      <c r="O1202" s="461"/>
      <c r="P1202" s="461"/>
      <c r="Q1202" s="461"/>
      <c r="R1202" s="461"/>
      <c r="S1202" s="461"/>
      <c r="T1202" s="461"/>
      <c r="U1202" s="461"/>
      <c r="V1202" s="461"/>
      <c r="W1202" s="461"/>
      <c r="X1202" s="461"/>
      <c r="Y1202" s="461"/>
    </row>
    <row r="1203" spans="1:25" ht="20.25" x14ac:dyDescent="0.4">
      <c r="A1203" s="461"/>
      <c r="B1203" s="461"/>
      <c r="C1203" s="461"/>
      <c r="D1203" s="461"/>
      <c r="E1203" s="461"/>
      <c r="F1203" s="461"/>
      <c r="G1203" s="461"/>
      <c r="H1203" s="461"/>
      <c r="I1203" s="463"/>
      <c r="J1203" s="463"/>
      <c r="K1203" s="461"/>
      <c r="L1203" s="461"/>
      <c r="M1203" s="461"/>
      <c r="N1203" s="461"/>
      <c r="O1203" s="461"/>
      <c r="P1203" s="461"/>
      <c r="Q1203" s="461"/>
      <c r="R1203" s="461"/>
      <c r="S1203" s="461"/>
      <c r="T1203" s="461"/>
      <c r="U1203" s="461"/>
      <c r="V1203" s="461"/>
      <c r="W1203" s="461"/>
      <c r="X1203" s="461"/>
      <c r="Y1203" s="461"/>
    </row>
    <row r="1204" spans="1:25" ht="20.25" x14ac:dyDescent="0.4">
      <c r="A1204" s="461"/>
      <c r="B1204" s="461"/>
      <c r="C1204" s="461"/>
      <c r="D1204" s="461"/>
      <c r="E1204" s="461"/>
      <c r="F1204" s="461"/>
      <c r="G1204" s="461"/>
      <c r="H1204" s="461"/>
      <c r="I1204" s="463"/>
      <c r="J1204" s="463"/>
      <c r="K1204" s="461"/>
      <c r="L1204" s="461"/>
      <c r="M1204" s="461"/>
      <c r="N1204" s="461"/>
      <c r="O1204" s="461"/>
      <c r="P1204" s="461"/>
      <c r="Q1204" s="461"/>
      <c r="R1204" s="461"/>
      <c r="S1204" s="461"/>
      <c r="T1204" s="461"/>
      <c r="U1204" s="461"/>
      <c r="V1204" s="461"/>
      <c r="W1204" s="461"/>
      <c r="X1204" s="461"/>
      <c r="Y1204" s="461"/>
    </row>
    <row r="1205" spans="1:25" ht="20.25" x14ac:dyDescent="0.4">
      <c r="A1205" s="461"/>
      <c r="B1205" s="461"/>
      <c r="C1205" s="461"/>
      <c r="D1205" s="461"/>
      <c r="E1205" s="461"/>
      <c r="F1205" s="461"/>
      <c r="G1205" s="461"/>
      <c r="H1205" s="461"/>
      <c r="I1205" s="463"/>
      <c r="J1205" s="463"/>
      <c r="K1205" s="461"/>
      <c r="L1205" s="461"/>
      <c r="M1205" s="461"/>
      <c r="N1205" s="461"/>
      <c r="O1205" s="461"/>
      <c r="P1205" s="461"/>
      <c r="Q1205" s="461"/>
      <c r="R1205" s="461"/>
      <c r="S1205" s="461"/>
      <c r="T1205" s="461"/>
      <c r="U1205" s="461"/>
      <c r="V1205" s="461"/>
      <c r="W1205" s="461"/>
      <c r="X1205" s="461"/>
      <c r="Y1205" s="461"/>
    </row>
    <row r="1206" spans="1:25" ht="20.25" x14ac:dyDescent="0.4">
      <c r="A1206" s="461"/>
      <c r="B1206" s="461"/>
      <c r="C1206" s="461"/>
      <c r="D1206" s="461"/>
      <c r="E1206" s="461"/>
      <c r="F1206" s="461"/>
      <c r="G1206" s="461"/>
      <c r="H1206" s="461"/>
      <c r="I1206" s="463"/>
      <c r="J1206" s="463"/>
      <c r="K1206" s="461"/>
      <c r="L1206" s="461"/>
      <c r="M1206" s="461"/>
      <c r="N1206" s="461"/>
      <c r="O1206" s="461"/>
      <c r="P1206" s="461"/>
      <c r="Q1206" s="461"/>
      <c r="R1206" s="461"/>
      <c r="S1206" s="461"/>
      <c r="T1206" s="461"/>
      <c r="U1206" s="461"/>
      <c r="V1206" s="461"/>
      <c r="W1206" s="461"/>
      <c r="X1206" s="461"/>
      <c r="Y1206" s="461"/>
    </row>
    <row r="1207" spans="1:25" ht="20.25" x14ac:dyDescent="0.4">
      <c r="A1207" s="461"/>
      <c r="B1207" s="461"/>
      <c r="C1207" s="461"/>
      <c r="D1207" s="461"/>
      <c r="E1207" s="461"/>
      <c r="F1207" s="461"/>
      <c r="G1207" s="461"/>
      <c r="H1207" s="461"/>
      <c r="I1207" s="463"/>
      <c r="J1207" s="463"/>
      <c r="K1207" s="461"/>
      <c r="L1207" s="461"/>
      <c r="M1207" s="461"/>
      <c r="N1207" s="461"/>
      <c r="O1207" s="461"/>
      <c r="P1207" s="461"/>
      <c r="Q1207" s="461"/>
      <c r="R1207" s="461"/>
      <c r="S1207" s="461"/>
      <c r="T1207" s="461"/>
      <c r="U1207" s="461"/>
      <c r="V1207" s="461"/>
      <c r="W1207" s="461"/>
      <c r="X1207" s="461"/>
      <c r="Y1207" s="461"/>
    </row>
    <row r="1208" spans="1:25" ht="20.25" x14ac:dyDescent="0.4">
      <c r="A1208" s="461"/>
      <c r="B1208" s="461"/>
      <c r="C1208" s="461"/>
      <c r="D1208" s="461"/>
      <c r="E1208" s="461"/>
      <c r="F1208" s="461"/>
      <c r="G1208" s="461"/>
      <c r="H1208" s="461"/>
      <c r="I1208" s="463"/>
      <c r="J1208" s="463"/>
      <c r="K1208" s="461"/>
      <c r="L1208" s="461"/>
      <c r="M1208" s="461"/>
      <c r="N1208" s="461"/>
      <c r="O1208" s="461"/>
      <c r="P1208" s="461"/>
      <c r="Q1208" s="461"/>
      <c r="R1208" s="461"/>
      <c r="S1208" s="461"/>
      <c r="T1208" s="461"/>
      <c r="U1208" s="461"/>
      <c r="V1208" s="461"/>
      <c r="W1208" s="461"/>
      <c r="X1208" s="461"/>
      <c r="Y1208" s="461"/>
    </row>
    <row r="1209" spans="1:25" ht="20.25" x14ac:dyDescent="0.4">
      <c r="A1209" s="461"/>
      <c r="B1209" s="461"/>
      <c r="C1209" s="461"/>
      <c r="D1209" s="461"/>
      <c r="E1209" s="461"/>
      <c r="F1209" s="461"/>
      <c r="G1209" s="461"/>
      <c r="H1209" s="461"/>
      <c r="I1209" s="463"/>
      <c r="J1209" s="463"/>
      <c r="K1209" s="461"/>
      <c r="L1209" s="461"/>
      <c r="M1209" s="461"/>
      <c r="N1209" s="461"/>
      <c r="O1209" s="461"/>
      <c r="P1209" s="461"/>
      <c r="Q1209" s="461"/>
      <c r="R1209" s="461"/>
      <c r="S1209" s="461"/>
      <c r="T1209" s="461"/>
      <c r="U1209" s="461"/>
      <c r="V1209" s="461"/>
      <c r="W1209" s="461"/>
      <c r="X1209" s="461"/>
      <c r="Y1209" s="461"/>
    </row>
    <row r="1210" spans="1:25" ht="20.25" x14ac:dyDescent="0.4">
      <c r="A1210" s="461"/>
      <c r="B1210" s="461"/>
      <c r="C1210" s="461"/>
      <c r="D1210" s="461"/>
      <c r="E1210" s="461"/>
      <c r="F1210" s="461"/>
      <c r="G1210" s="461"/>
      <c r="H1210" s="461"/>
      <c r="I1210" s="463"/>
      <c r="J1210" s="463"/>
      <c r="K1210" s="461"/>
      <c r="L1210" s="461"/>
      <c r="M1210" s="461"/>
      <c r="N1210" s="461"/>
      <c r="O1210" s="461"/>
      <c r="P1210" s="461"/>
      <c r="Q1210" s="461"/>
      <c r="R1210" s="461"/>
      <c r="S1210" s="461"/>
      <c r="T1210" s="461"/>
      <c r="U1210" s="461"/>
      <c r="V1210" s="461"/>
      <c r="W1210" s="461"/>
      <c r="X1210" s="461"/>
      <c r="Y1210" s="461"/>
    </row>
    <row r="1211" spans="1:25" ht="20.25" x14ac:dyDescent="0.4">
      <c r="A1211" s="461"/>
      <c r="B1211" s="461"/>
      <c r="C1211" s="461"/>
      <c r="D1211" s="461"/>
      <c r="E1211" s="461"/>
      <c r="F1211" s="461"/>
      <c r="G1211" s="461"/>
      <c r="H1211" s="461"/>
      <c r="I1211" s="463"/>
      <c r="J1211" s="463"/>
      <c r="K1211" s="461"/>
      <c r="L1211" s="461"/>
      <c r="M1211" s="461"/>
      <c r="N1211" s="461"/>
      <c r="O1211" s="461"/>
      <c r="P1211" s="461"/>
      <c r="Q1211" s="461"/>
      <c r="R1211" s="461"/>
      <c r="S1211" s="461"/>
      <c r="T1211" s="461"/>
      <c r="U1211" s="461"/>
      <c r="V1211" s="461"/>
      <c r="W1211" s="461"/>
      <c r="X1211" s="461"/>
      <c r="Y1211" s="461"/>
    </row>
    <row r="1212" spans="1:25" ht="20.25" x14ac:dyDescent="0.4">
      <c r="A1212" s="461"/>
      <c r="B1212" s="461"/>
      <c r="C1212" s="461"/>
      <c r="D1212" s="461"/>
      <c r="E1212" s="461"/>
      <c r="F1212" s="461"/>
      <c r="G1212" s="461"/>
      <c r="H1212" s="461"/>
      <c r="I1212" s="463"/>
      <c r="J1212" s="463"/>
      <c r="K1212" s="461"/>
      <c r="L1212" s="461"/>
      <c r="M1212" s="461"/>
      <c r="N1212" s="461"/>
      <c r="O1212" s="461"/>
      <c r="P1212" s="461"/>
      <c r="Q1212" s="461"/>
      <c r="R1212" s="461"/>
      <c r="S1212" s="461"/>
      <c r="T1212" s="461"/>
      <c r="U1212" s="461"/>
      <c r="V1212" s="461"/>
      <c r="W1212" s="461"/>
      <c r="X1212" s="461"/>
      <c r="Y1212" s="461"/>
    </row>
    <row r="1213" spans="1:25" ht="20.25" x14ac:dyDescent="0.4">
      <c r="A1213" s="461"/>
      <c r="B1213" s="461"/>
      <c r="C1213" s="461"/>
      <c r="D1213" s="461"/>
      <c r="E1213" s="461"/>
      <c r="F1213" s="461"/>
      <c r="G1213" s="461"/>
      <c r="H1213" s="461"/>
      <c r="I1213" s="463"/>
      <c r="J1213" s="463"/>
      <c r="K1213" s="461"/>
      <c r="L1213" s="461"/>
      <c r="M1213" s="461"/>
      <c r="N1213" s="461"/>
      <c r="O1213" s="461"/>
      <c r="P1213" s="461"/>
      <c r="Q1213" s="461"/>
      <c r="R1213" s="461"/>
      <c r="S1213" s="461"/>
      <c r="T1213" s="461"/>
      <c r="U1213" s="461"/>
      <c r="V1213" s="461"/>
      <c r="W1213" s="461"/>
      <c r="X1213" s="461"/>
      <c r="Y1213" s="461"/>
    </row>
    <row r="1214" spans="1:25" ht="20.25" x14ac:dyDescent="0.4">
      <c r="A1214" s="461"/>
      <c r="B1214" s="461"/>
      <c r="C1214" s="461"/>
      <c r="D1214" s="461"/>
      <c r="E1214" s="461"/>
      <c r="F1214" s="461"/>
      <c r="G1214" s="461"/>
      <c r="H1214" s="461"/>
      <c r="I1214" s="463"/>
      <c r="J1214" s="463"/>
      <c r="K1214" s="461"/>
      <c r="L1214" s="461"/>
      <c r="M1214" s="461"/>
      <c r="N1214" s="461"/>
      <c r="O1214" s="461"/>
      <c r="P1214" s="461"/>
      <c r="Q1214" s="461"/>
      <c r="R1214" s="461"/>
      <c r="S1214" s="461"/>
      <c r="T1214" s="461"/>
      <c r="U1214" s="461"/>
      <c r="V1214" s="461"/>
      <c r="W1214" s="461"/>
      <c r="X1214" s="461"/>
      <c r="Y1214" s="461"/>
    </row>
    <row r="1215" spans="1:25" ht="20.25" x14ac:dyDescent="0.4">
      <c r="A1215" s="461"/>
      <c r="B1215" s="461"/>
      <c r="C1215" s="461"/>
      <c r="D1215" s="461"/>
      <c r="E1215" s="461"/>
      <c r="F1215" s="461"/>
      <c r="G1215" s="461"/>
      <c r="H1215" s="461"/>
      <c r="I1215" s="463"/>
      <c r="J1215" s="463"/>
      <c r="K1215" s="461"/>
      <c r="L1215" s="461"/>
      <c r="M1215" s="461"/>
      <c r="N1215" s="461"/>
      <c r="O1215" s="461"/>
      <c r="P1215" s="461"/>
      <c r="Q1215" s="461"/>
      <c r="R1215" s="461"/>
      <c r="S1215" s="461"/>
      <c r="T1215" s="461"/>
      <c r="U1215" s="461"/>
      <c r="V1215" s="461"/>
      <c r="W1215" s="461"/>
      <c r="X1215" s="461"/>
      <c r="Y1215" s="461"/>
    </row>
    <row r="1216" spans="1:25" ht="20.25" x14ac:dyDescent="0.4">
      <c r="A1216" s="461"/>
      <c r="B1216" s="461"/>
      <c r="C1216" s="461"/>
      <c r="D1216" s="461"/>
      <c r="E1216" s="461"/>
      <c r="F1216" s="461"/>
      <c r="G1216" s="461"/>
      <c r="H1216" s="461"/>
      <c r="I1216" s="463"/>
      <c r="J1216" s="463"/>
      <c r="K1216" s="461"/>
      <c r="L1216" s="461"/>
      <c r="M1216" s="461"/>
      <c r="N1216" s="461"/>
      <c r="O1216" s="461"/>
      <c r="P1216" s="461"/>
      <c r="Q1216" s="461"/>
      <c r="R1216" s="461"/>
      <c r="S1216" s="461"/>
      <c r="T1216" s="461"/>
      <c r="U1216" s="461"/>
      <c r="V1216" s="461"/>
      <c r="W1216" s="461"/>
      <c r="X1216" s="461"/>
      <c r="Y1216" s="461"/>
    </row>
    <row r="1217" spans="1:25" ht="20.25" x14ac:dyDescent="0.4">
      <c r="A1217" s="461"/>
      <c r="B1217" s="461"/>
      <c r="C1217" s="461"/>
      <c r="D1217" s="461"/>
      <c r="E1217" s="461"/>
      <c r="F1217" s="461"/>
      <c r="G1217" s="461"/>
      <c r="H1217" s="461"/>
      <c r="I1217" s="463"/>
      <c r="J1217" s="463"/>
      <c r="K1217" s="461"/>
      <c r="L1217" s="461"/>
      <c r="M1217" s="461"/>
      <c r="N1217" s="461"/>
      <c r="O1217" s="461"/>
      <c r="P1217" s="461"/>
      <c r="Q1217" s="461"/>
      <c r="R1217" s="461"/>
      <c r="S1217" s="461"/>
      <c r="T1217" s="461"/>
      <c r="U1217" s="461"/>
      <c r="V1217" s="461"/>
      <c r="W1217" s="461"/>
      <c r="X1217" s="461"/>
      <c r="Y1217" s="461"/>
    </row>
    <row r="1218" spans="1:25" ht="20.25" x14ac:dyDescent="0.4">
      <c r="A1218" s="461"/>
      <c r="B1218" s="461"/>
      <c r="C1218" s="461"/>
      <c r="D1218" s="461"/>
      <c r="E1218" s="461"/>
      <c r="F1218" s="461"/>
      <c r="G1218" s="461"/>
      <c r="H1218" s="461"/>
      <c r="I1218" s="463"/>
      <c r="J1218" s="463"/>
      <c r="K1218" s="461"/>
      <c r="L1218" s="461"/>
      <c r="M1218" s="461"/>
      <c r="N1218" s="461"/>
      <c r="O1218" s="461"/>
      <c r="P1218" s="461"/>
      <c r="Q1218" s="461"/>
      <c r="R1218" s="461"/>
      <c r="S1218" s="461"/>
      <c r="T1218" s="461"/>
      <c r="U1218" s="461"/>
      <c r="V1218" s="461"/>
      <c r="W1218" s="461"/>
      <c r="X1218" s="461"/>
      <c r="Y1218" s="461"/>
    </row>
    <row r="1219" spans="1:25" ht="20.25" x14ac:dyDescent="0.4">
      <c r="A1219" s="461"/>
      <c r="B1219" s="461"/>
      <c r="C1219" s="461"/>
      <c r="D1219" s="461"/>
      <c r="E1219" s="461"/>
      <c r="F1219" s="461"/>
      <c r="G1219" s="461"/>
      <c r="H1219" s="461"/>
      <c r="I1219" s="463"/>
      <c r="J1219" s="463"/>
      <c r="K1219" s="461"/>
      <c r="L1219" s="461"/>
      <c r="M1219" s="461"/>
      <c r="N1219" s="461"/>
      <c r="O1219" s="461"/>
      <c r="P1219" s="461"/>
      <c r="Q1219" s="461"/>
      <c r="R1219" s="461"/>
      <c r="S1219" s="461"/>
      <c r="T1219" s="461"/>
      <c r="U1219" s="461"/>
      <c r="V1219" s="461"/>
      <c r="W1219" s="461"/>
      <c r="X1219" s="461"/>
      <c r="Y1219" s="461"/>
    </row>
    <row r="1220" spans="1:25" ht="20.25" x14ac:dyDescent="0.4">
      <c r="A1220" s="461"/>
      <c r="B1220" s="461"/>
      <c r="C1220" s="461"/>
      <c r="D1220" s="461"/>
      <c r="E1220" s="461"/>
      <c r="F1220" s="461"/>
      <c r="G1220" s="461"/>
      <c r="H1220" s="461"/>
      <c r="I1220" s="463"/>
      <c r="J1220" s="463"/>
      <c r="K1220" s="461"/>
      <c r="L1220" s="461"/>
      <c r="M1220" s="461"/>
      <c r="N1220" s="461"/>
      <c r="O1220" s="461"/>
      <c r="P1220" s="461"/>
      <c r="Q1220" s="461"/>
      <c r="R1220" s="461"/>
      <c r="S1220" s="461"/>
      <c r="T1220" s="461"/>
      <c r="U1220" s="461"/>
      <c r="V1220" s="461"/>
      <c r="W1220" s="461"/>
      <c r="X1220" s="461"/>
      <c r="Y1220" s="461"/>
    </row>
    <row r="1221" spans="1:25" ht="20.25" x14ac:dyDescent="0.4">
      <c r="A1221" s="461"/>
      <c r="B1221" s="461"/>
      <c r="C1221" s="461"/>
      <c r="D1221" s="461"/>
      <c r="E1221" s="461"/>
      <c r="F1221" s="461"/>
      <c r="G1221" s="461"/>
      <c r="H1221" s="461"/>
      <c r="I1221" s="463"/>
      <c r="J1221" s="463"/>
      <c r="K1221" s="461"/>
      <c r="L1221" s="461"/>
      <c r="M1221" s="461"/>
      <c r="N1221" s="461"/>
      <c r="O1221" s="461"/>
      <c r="P1221" s="461"/>
      <c r="Q1221" s="461"/>
      <c r="R1221" s="461"/>
      <c r="S1221" s="461"/>
      <c r="T1221" s="461"/>
      <c r="U1221" s="461"/>
      <c r="V1221" s="461"/>
      <c r="W1221" s="461"/>
      <c r="X1221" s="461"/>
      <c r="Y1221" s="461"/>
    </row>
    <row r="1222" spans="1:25" ht="20.25" x14ac:dyDescent="0.4">
      <c r="A1222" s="461"/>
      <c r="B1222" s="461"/>
      <c r="C1222" s="461"/>
      <c r="D1222" s="461"/>
      <c r="E1222" s="461"/>
      <c r="F1222" s="461"/>
      <c r="G1222" s="461"/>
      <c r="H1222" s="461"/>
      <c r="I1222" s="463"/>
      <c r="J1222" s="463"/>
      <c r="K1222" s="461"/>
      <c r="L1222" s="461"/>
      <c r="M1222" s="461"/>
      <c r="N1222" s="461"/>
      <c r="O1222" s="461"/>
      <c r="P1222" s="461"/>
      <c r="Q1222" s="461"/>
      <c r="R1222" s="461"/>
      <c r="S1222" s="461"/>
      <c r="T1222" s="461"/>
      <c r="U1222" s="461"/>
      <c r="V1222" s="461"/>
      <c r="W1222" s="461"/>
      <c r="X1222" s="461"/>
      <c r="Y1222" s="461"/>
    </row>
    <row r="1223" spans="1:25" ht="20.25" x14ac:dyDescent="0.4">
      <c r="A1223" s="461"/>
      <c r="B1223" s="461"/>
      <c r="C1223" s="461"/>
      <c r="D1223" s="461"/>
      <c r="E1223" s="461"/>
      <c r="F1223" s="461"/>
      <c r="G1223" s="461"/>
      <c r="H1223" s="461"/>
      <c r="I1223" s="463"/>
      <c r="J1223" s="463"/>
      <c r="K1223" s="461"/>
      <c r="L1223" s="461"/>
      <c r="M1223" s="461"/>
      <c r="N1223" s="461"/>
      <c r="O1223" s="461"/>
      <c r="P1223" s="461"/>
      <c r="Q1223" s="461"/>
      <c r="R1223" s="461"/>
      <c r="S1223" s="461"/>
      <c r="T1223" s="461"/>
      <c r="U1223" s="461"/>
      <c r="V1223" s="461"/>
      <c r="W1223" s="461"/>
      <c r="X1223" s="461"/>
      <c r="Y1223" s="461"/>
    </row>
    <row r="1224" spans="1:25" ht="20.25" x14ac:dyDescent="0.4">
      <c r="A1224" s="461"/>
      <c r="B1224" s="461"/>
      <c r="C1224" s="461"/>
      <c r="D1224" s="461"/>
      <c r="E1224" s="461"/>
      <c r="F1224" s="461"/>
      <c r="G1224" s="461"/>
      <c r="H1224" s="461"/>
      <c r="I1224" s="463"/>
      <c r="J1224" s="463"/>
      <c r="K1224" s="461"/>
      <c r="L1224" s="461"/>
      <c r="M1224" s="461"/>
      <c r="N1224" s="461"/>
      <c r="O1224" s="461"/>
      <c r="P1224" s="461"/>
      <c r="Q1224" s="461"/>
      <c r="R1224" s="461"/>
      <c r="S1224" s="461"/>
      <c r="T1224" s="461"/>
      <c r="U1224" s="461"/>
      <c r="V1224" s="461"/>
      <c r="W1224" s="461"/>
      <c r="X1224" s="461"/>
      <c r="Y1224" s="461"/>
    </row>
    <row r="1225" spans="1:25" ht="20.25" x14ac:dyDescent="0.4">
      <c r="A1225" s="461"/>
      <c r="B1225" s="461"/>
      <c r="C1225" s="461"/>
      <c r="D1225" s="461"/>
      <c r="E1225" s="461"/>
      <c r="F1225" s="461"/>
      <c r="G1225" s="461"/>
      <c r="H1225" s="461"/>
      <c r="I1225" s="463"/>
      <c r="J1225" s="463"/>
      <c r="K1225" s="461"/>
      <c r="L1225" s="461"/>
      <c r="M1225" s="461"/>
      <c r="N1225" s="461"/>
      <c r="O1225" s="461"/>
      <c r="P1225" s="461"/>
      <c r="Q1225" s="461"/>
      <c r="R1225" s="461"/>
      <c r="S1225" s="461"/>
      <c r="T1225" s="461"/>
      <c r="U1225" s="461"/>
      <c r="V1225" s="461"/>
      <c r="W1225" s="461"/>
      <c r="X1225" s="461"/>
      <c r="Y1225" s="461"/>
    </row>
    <row r="1226" spans="1:25" ht="20.25" x14ac:dyDescent="0.4">
      <c r="A1226" s="461"/>
      <c r="B1226" s="461"/>
      <c r="C1226" s="461"/>
      <c r="D1226" s="461"/>
      <c r="E1226" s="461"/>
      <c r="F1226" s="461"/>
      <c r="G1226" s="461"/>
      <c r="H1226" s="461"/>
      <c r="I1226" s="463"/>
      <c r="J1226" s="463"/>
      <c r="K1226" s="461"/>
      <c r="L1226" s="461"/>
      <c r="M1226" s="461"/>
      <c r="N1226" s="461"/>
      <c r="O1226" s="461"/>
      <c r="P1226" s="461"/>
      <c r="Q1226" s="461"/>
      <c r="R1226" s="461"/>
      <c r="S1226" s="461"/>
      <c r="T1226" s="461"/>
      <c r="U1226" s="461"/>
      <c r="V1226" s="461"/>
      <c r="W1226" s="461"/>
      <c r="X1226" s="461"/>
      <c r="Y1226" s="461"/>
    </row>
    <row r="1227" spans="1:25" ht="20.25" x14ac:dyDescent="0.4">
      <c r="A1227" s="461"/>
      <c r="B1227" s="461"/>
      <c r="C1227" s="461"/>
      <c r="D1227" s="461"/>
      <c r="E1227" s="461"/>
      <c r="F1227" s="461"/>
      <c r="G1227" s="461"/>
      <c r="H1227" s="461"/>
      <c r="I1227" s="463"/>
      <c r="J1227" s="463"/>
      <c r="K1227" s="461"/>
      <c r="L1227" s="461"/>
      <c r="M1227" s="461"/>
      <c r="N1227" s="461"/>
      <c r="O1227" s="461"/>
      <c r="P1227" s="461"/>
      <c r="Q1227" s="461"/>
      <c r="R1227" s="461"/>
      <c r="S1227" s="461"/>
      <c r="T1227" s="461"/>
      <c r="U1227" s="461"/>
      <c r="V1227" s="461"/>
      <c r="W1227" s="461"/>
      <c r="X1227" s="461"/>
      <c r="Y1227" s="461"/>
    </row>
    <row r="1228" spans="1:25" ht="20.25" x14ac:dyDescent="0.4">
      <c r="A1228" s="461"/>
      <c r="B1228" s="461"/>
      <c r="C1228" s="461"/>
      <c r="D1228" s="461"/>
      <c r="E1228" s="461"/>
      <c r="F1228" s="461"/>
      <c r="G1228" s="461"/>
      <c r="H1228" s="461"/>
      <c r="I1228" s="463"/>
      <c r="J1228" s="463"/>
      <c r="K1228" s="461"/>
      <c r="L1228" s="461"/>
      <c r="M1228" s="461"/>
      <c r="N1228" s="461"/>
      <c r="O1228" s="461"/>
      <c r="P1228" s="461"/>
      <c r="Q1228" s="461"/>
      <c r="R1228" s="461"/>
      <c r="S1228" s="461"/>
      <c r="T1228" s="461"/>
      <c r="U1228" s="461"/>
      <c r="V1228" s="461"/>
      <c r="W1228" s="461"/>
      <c r="X1228" s="461"/>
      <c r="Y1228" s="461"/>
    </row>
    <row r="1229" spans="1:25" ht="20.25" x14ac:dyDescent="0.4">
      <c r="A1229" s="461"/>
      <c r="B1229" s="461"/>
      <c r="C1229" s="461"/>
      <c r="D1229" s="461"/>
      <c r="E1229" s="461"/>
      <c r="F1229" s="461"/>
      <c r="G1229" s="461"/>
      <c r="H1229" s="461"/>
      <c r="I1229" s="463"/>
      <c r="J1229" s="463"/>
      <c r="K1229" s="461"/>
      <c r="L1229" s="461"/>
      <c r="M1229" s="461"/>
      <c r="N1229" s="461"/>
      <c r="O1229" s="461"/>
      <c r="P1229" s="461"/>
      <c r="Q1229" s="461"/>
      <c r="R1229" s="461"/>
      <c r="S1229" s="461"/>
      <c r="T1229" s="461"/>
      <c r="U1229" s="461"/>
      <c r="V1229" s="461"/>
      <c r="W1229" s="461"/>
      <c r="X1229" s="461"/>
      <c r="Y1229" s="461"/>
    </row>
  </sheetData>
  <mergeCells count="38">
    <mergeCell ref="B215:H215"/>
    <mergeCell ref="B227:H227"/>
    <mergeCell ref="B113:H113"/>
    <mergeCell ref="B127:H127"/>
    <mergeCell ref="B139:H139"/>
    <mergeCell ref="B151:H151"/>
    <mergeCell ref="B165:H165"/>
    <mergeCell ref="B177:H177"/>
    <mergeCell ref="B189:H189"/>
    <mergeCell ref="K217:K225"/>
    <mergeCell ref="K229:K239"/>
    <mergeCell ref="K91:K99"/>
    <mergeCell ref="K103:K111"/>
    <mergeCell ref="K115:K125"/>
    <mergeCell ref="K129:K137"/>
    <mergeCell ref="K141:K149"/>
    <mergeCell ref="K153:K163"/>
    <mergeCell ref="K167:K175"/>
    <mergeCell ref="B89:H89"/>
    <mergeCell ref="B101:H101"/>
    <mergeCell ref="K179:K187"/>
    <mergeCell ref="K191:K201"/>
    <mergeCell ref="K205:K213"/>
    <mergeCell ref="B203:H203"/>
    <mergeCell ref="K55:K63"/>
    <mergeCell ref="B65:H65"/>
    <mergeCell ref="K67:K75"/>
    <mergeCell ref="B77:H77"/>
    <mergeCell ref="K79:K87"/>
    <mergeCell ref="B41:H41"/>
    <mergeCell ref="B53:H53"/>
    <mergeCell ref="B3:H3"/>
    <mergeCell ref="K5:K15"/>
    <mergeCell ref="B17:H17"/>
    <mergeCell ref="K19:K27"/>
    <mergeCell ref="B29:H29"/>
    <mergeCell ref="K31:K39"/>
    <mergeCell ref="K43:K51"/>
  </mergeCells>
  <conditionalFormatting sqref="I1:I1229">
    <cfRule type="cellIs" dxfId="10" priority="1" operator="greaterThanOrEqual">
      <formula>150</formula>
    </cfRule>
  </conditionalFormatting>
  <conditionalFormatting sqref="I1:I1229">
    <cfRule type="cellIs" dxfId="9" priority="2" operator="greaterThanOrEqual">
      <formula>100</formula>
    </cfRule>
  </conditionalFormatting>
  <conditionalFormatting sqref="I1:I1229">
    <cfRule type="cellIs" dxfId="8" priority="3" operator="lessThanOrEqual">
      <formula>99</formula>
    </cfRule>
  </conditionalFormatting>
  <conditionalFormatting sqref="J1:J1229">
    <cfRule type="cellIs" dxfId="7" priority="4" operator="lessThanOrEqual">
      <formula>0</formula>
    </cfRule>
  </conditionalFormatting>
  <conditionalFormatting sqref="J1:J1229">
    <cfRule type="cellIs" dxfId="6" priority="5" operator="between">
      <formula>0</formula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91"/>
  <sheetViews>
    <sheetView workbookViewId="0"/>
  </sheetViews>
  <sheetFormatPr defaultColWidth="12.5703125" defaultRowHeight="15.75" customHeight="1" x14ac:dyDescent="0.2"/>
  <cols>
    <col min="1" max="1" width="5.42578125" customWidth="1"/>
    <col min="2" max="2" width="13.7109375" customWidth="1"/>
    <col min="3" max="3" width="9.140625" customWidth="1"/>
    <col min="4" max="4" width="12" customWidth="1"/>
    <col min="5" max="5" width="10.85546875" customWidth="1"/>
    <col min="6" max="6" width="17" customWidth="1"/>
    <col min="7" max="7" width="16.42578125" customWidth="1"/>
    <col min="8" max="8" width="12.42578125" customWidth="1"/>
    <col min="9" max="9" width="17.28515625" customWidth="1"/>
    <col min="10" max="10" width="15.7109375" customWidth="1"/>
    <col min="11" max="11" width="14.140625" customWidth="1"/>
    <col min="12" max="12" width="57.7109375" customWidth="1"/>
  </cols>
  <sheetData>
    <row r="1" spans="1:28" ht="24.7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 spans="1:28" ht="36.75" customHeight="1" x14ac:dyDescent="0.2">
      <c r="A2" s="544"/>
      <c r="B2" s="551" t="s">
        <v>104</v>
      </c>
      <c r="C2" s="551" t="s">
        <v>0</v>
      </c>
      <c r="D2" s="552" t="s">
        <v>106</v>
      </c>
      <c r="E2" s="551" t="s">
        <v>107</v>
      </c>
      <c r="F2" s="551" t="s">
        <v>108</v>
      </c>
      <c r="G2" s="551" t="s">
        <v>109</v>
      </c>
      <c r="H2" s="551" t="s">
        <v>110</v>
      </c>
      <c r="I2" s="551" t="s">
        <v>111</v>
      </c>
      <c r="J2" s="551" t="s">
        <v>112</v>
      </c>
      <c r="K2" s="551" t="s">
        <v>113</v>
      </c>
      <c r="L2" s="551" t="s">
        <v>2</v>
      </c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spans="1:28" ht="22.5" hidden="1" customHeight="1" x14ac:dyDescent="0.2">
      <c r="A3" s="544"/>
      <c r="B3" s="553">
        <v>45687</v>
      </c>
      <c r="C3" s="548" t="s">
        <v>7</v>
      </c>
      <c r="D3" s="554" t="s">
        <v>114</v>
      </c>
      <c r="E3" s="555" t="s">
        <v>115</v>
      </c>
      <c r="F3" s="556">
        <f>30+4.7-2.35+2+(4.28/2)+50+2.1+5-K3</f>
        <v>93.59</v>
      </c>
      <c r="G3" s="557" t="s">
        <v>116</v>
      </c>
      <c r="H3" s="550"/>
      <c r="I3" s="558" t="s">
        <v>117</v>
      </c>
      <c r="J3" s="557" t="s">
        <v>118</v>
      </c>
      <c r="K3" s="559"/>
      <c r="L3" s="548" t="s">
        <v>119</v>
      </c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spans="1:28" ht="22.5" hidden="1" customHeight="1" x14ac:dyDescent="0.2">
      <c r="A4" s="544"/>
      <c r="B4" s="546">
        <v>45864</v>
      </c>
      <c r="C4" s="547" t="s">
        <v>7</v>
      </c>
      <c r="D4" s="554" t="s">
        <v>114</v>
      </c>
      <c r="E4" s="555" t="s">
        <v>120</v>
      </c>
      <c r="F4" s="556">
        <f>85+18-K4</f>
        <v>103</v>
      </c>
      <c r="G4" s="560" t="s">
        <v>116</v>
      </c>
      <c r="H4" s="561"/>
      <c r="I4" s="562" t="s">
        <v>121</v>
      </c>
      <c r="J4" s="560" t="s">
        <v>118</v>
      </c>
      <c r="K4" s="563"/>
      <c r="L4" s="547" t="s">
        <v>122</v>
      </c>
      <c r="M4" s="544"/>
      <c r="N4" s="544"/>
      <c r="O4" s="544"/>
      <c r="P4" s="545"/>
      <c r="Q4" s="545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spans="1:28" ht="22.5" hidden="1" customHeight="1" x14ac:dyDescent="0.2">
      <c r="A5" s="544"/>
      <c r="B5" s="548" t="s">
        <v>123</v>
      </c>
      <c r="C5" s="548" t="s">
        <v>7</v>
      </c>
      <c r="D5" s="554" t="s">
        <v>114</v>
      </c>
      <c r="E5" s="555" t="s">
        <v>124</v>
      </c>
      <c r="F5" s="556">
        <f>280-K5</f>
        <v>280</v>
      </c>
      <c r="G5" s="557" t="s">
        <v>125</v>
      </c>
      <c r="H5" s="549"/>
      <c r="I5" s="558" t="s">
        <v>126</v>
      </c>
      <c r="J5" s="557" t="s">
        <v>118</v>
      </c>
      <c r="K5" s="563"/>
      <c r="L5" s="548" t="s">
        <v>118</v>
      </c>
      <c r="M5" s="544"/>
      <c r="N5" s="544"/>
      <c r="O5" s="545"/>
      <c r="P5" s="545"/>
      <c r="Q5" s="545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 spans="1:28" ht="22.5" hidden="1" customHeight="1" x14ac:dyDescent="0.2">
      <c r="A6" s="544"/>
      <c r="B6" s="548" t="s">
        <v>123</v>
      </c>
      <c r="C6" s="548" t="s">
        <v>7</v>
      </c>
      <c r="D6" s="554" t="s">
        <v>114</v>
      </c>
      <c r="E6" s="555" t="s">
        <v>127</v>
      </c>
      <c r="F6" s="556">
        <f>-K6+16.32</f>
        <v>16.32</v>
      </c>
      <c r="G6" s="557" t="s">
        <v>116</v>
      </c>
      <c r="H6" s="549"/>
      <c r="I6" s="558" t="s">
        <v>126</v>
      </c>
      <c r="J6" s="557" t="s">
        <v>118</v>
      </c>
      <c r="K6" s="563"/>
      <c r="L6" s="548" t="s">
        <v>128</v>
      </c>
      <c r="M6" s="544"/>
      <c r="N6" s="544"/>
      <c r="O6" s="545"/>
      <c r="P6" s="545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 spans="1:28" ht="22.5" hidden="1" customHeight="1" x14ac:dyDescent="0.2">
      <c r="A7" s="544"/>
      <c r="B7" s="550">
        <v>45749</v>
      </c>
      <c r="C7" s="548" t="s">
        <v>3</v>
      </c>
      <c r="D7" s="554" t="s">
        <v>114</v>
      </c>
      <c r="E7" s="555" t="s">
        <v>129</v>
      </c>
      <c r="F7" s="556">
        <f>168.29+15+22.34+100+66.75-K7+31+32</f>
        <v>0</v>
      </c>
      <c r="G7" s="557" t="s">
        <v>116</v>
      </c>
      <c r="H7" s="549"/>
      <c r="I7" s="558" t="s">
        <v>121</v>
      </c>
      <c r="J7" s="557" t="s">
        <v>130</v>
      </c>
      <c r="K7" s="563">
        <f>205.63+100+129.75</f>
        <v>435.38</v>
      </c>
      <c r="L7" s="548" t="s">
        <v>131</v>
      </c>
      <c r="M7" s="544"/>
      <c r="N7" s="544"/>
      <c r="O7" s="545"/>
      <c r="P7" s="545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 spans="1:28" ht="22.5" hidden="1" customHeight="1" x14ac:dyDescent="0.2">
      <c r="A8" s="544"/>
      <c r="B8" s="546">
        <v>45846</v>
      </c>
      <c r="C8" s="547" t="s">
        <v>4</v>
      </c>
      <c r="D8" s="554" t="s">
        <v>114</v>
      </c>
      <c r="E8" s="555" t="s">
        <v>129</v>
      </c>
      <c r="F8" s="556">
        <f>10+57-K8+250+12+25+12+6+50</f>
        <v>0</v>
      </c>
      <c r="G8" s="560" t="s">
        <v>116</v>
      </c>
      <c r="H8" s="561"/>
      <c r="I8" s="562" t="s">
        <v>126</v>
      </c>
      <c r="J8" s="560" t="s">
        <v>130</v>
      </c>
      <c r="K8" s="564">
        <f>10+57+355</f>
        <v>422</v>
      </c>
      <c r="L8" s="547" t="s">
        <v>132</v>
      </c>
      <c r="M8" s="544"/>
      <c r="N8" s="544"/>
      <c r="O8" s="545"/>
      <c r="P8" s="545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 spans="1:28" ht="22.5" customHeight="1" x14ac:dyDescent="0.2">
      <c r="A9" s="544"/>
      <c r="B9" s="546">
        <v>45922</v>
      </c>
      <c r="C9" s="548" t="s">
        <v>5</v>
      </c>
      <c r="D9" s="554" t="s">
        <v>114</v>
      </c>
      <c r="E9" s="555" t="s">
        <v>129</v>
      </c>
      <c r="F9" s="565">
        <f>-K9+50+258.39+50+50+100</f>
        <v>158.38999999999999</v>
      </c>
      <c r="G9" s="560" t="s">
        <v>116</v>
      </c>
      <c r="H9" s="546">
        <v>45996</v>
      </c>
      <c r="I9" s="562" t="s">
        <v>117</v>
      </c>
      <c r="J9" s="560" t="s">
        <v>133</v>
      </c>
      <c r="K9" s="564">
        <f>50+300</f>
        <v>350</v>
      </c>
      <c r="L9" s="566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 spans="1:28" ht="22.5" hidden="1" customHeight="1" x14ac:dyDescent="0.2">
      <c r="A10" s="544"/>
      <c r="B10" s="567">
        <v>45572</v>
      </c>
      <c r="C10" s="548" t="s">
        <v>7</v>
      </c>
      <c r="D10" s="554" t="s">
        <v>114</v>
      </c>
      <c r="E10" s="555" t="s">
        <v>134</v>
      </c>
      <c r="F10" s="556">
        <f>40-K10+18+12</f>
        <v>0</v>
      </c>
      <c r="G10" s="557" t="s">
        <v>116</v>
      </c>
      <c r="H10" s="567">
        <v>45579</v>
      </c>
      <c r="I10" s="558" t="s">
        <v>121</v>
      </c>
      <c r="J10" s="557" t="s">
        <v>130</v>
      </c>
      <c r="K10" s="563">
        <f>40+30</f>
        <v>70</v>
      </c>
      <c r="L10" s="548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 spans="1:28" ht="22.5" hidden="1" customHeight="1" x14ac:dyDescent="0.2">
      <c r="A11" s="544"/>
      <c r="B11" s="550">
        <v>46013</v>
      </c>
      <c r="C11" s="548" t="s">
        <v>105</v>
      </c>
      <c r="D11" s="554" t="s">
        <v>114</v>
      </c>
      <c r="E11" s="555" t="s">
        <v>129</v>
      </c>
      <c r="F11" s="556">
        <f>-K11+7.5</f>
        <v>0</v>
      </c>
      <c r="G11" s="557" t="s">
        <v>116</v>
      </c>
      <c r="H11" s="550"/>
      <c r="I11" s="558" t="s">
        <v>121</v>
      </c>
      <c r="J11" s="557" t="s">
        <v>130</v>
      </c>
      <c r="K11" s="563">
        <v>7.5</v>
      </c>
      <c r="L11" s="549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 spans="1:28" ht="22.5" hidden="1" customHeight="1" x14ac:dyDescent="0.2">
      <c r="A12" s="544"/>
      <c r="B12" s="546">
        <v>45922</v>
      </c>
      <c r="C12" s="547" t="s">
        <v>135</v>
      </c>
      <c r="D12" s="554" t="s">
        <v>114</v>
      </c>
      <c r="E12" s="555" t="s">
        <v>129</v>
      </c>
      <c r="F12" s="565">
        <f>32650+2900+1320+480+2885+857-K12</f>
        <v>0</v>
      </c>
      <c r="G12" s="560" t="s">
        <v>125</v>
      </c>
      <c r="H12" s="546"/>
      <c r="I12" s="562" t="s">
        <v>121</v>
      </c>
      <c r="J12" s="560" t="s">
        <v>130</v>
      </c>
      <c r="K12" s="564">
        <v>41092</v>
      </c>
      <c r="L12" s="547" t="s">
        <v>136</v>
      </c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 spans="1:28" ht="22.5" hidden="1" customHeight="1" x14ac:dyDescent="0.2">
      <c r="A13" s="544"/>
      <c r="B13" s="550">
        <v>45986</v>
      </c>
      <c r="C13" s="548" t="s">
        <v>6</v>
      </c>
      <c r="D13" s="554" t="s">
        <v>114</v>
      </c>
      <c r="E13" s="555" t="s">
        <v>129</v>
      </c>
      <c r="F13" s="556">
        <f>100-K13</f>
        <v>0</v>
      </c>
      <c r="G13" s="557" t="s">
        <v>116</v>
      </c>
      <c r="H13" s="550">
        <v>45996</v>
      </c>
      <c r="I13" s="558" t="s">
        <v>121</v>
      </c>
      <c r="J13" s="557" t="s">
        <v>130</v>
      </c>
      <c r="K13" s="563">
        <v>100</v>
      </c>
      <c r="L13" s="548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 spans="1:28" ht="22.5" hidden="1" customHeight="1" x14ac:dyDescent="0.2">
      <c r="A14" s="544"/>
      <c r="B14" s="550">
        <v>45557</v>
      </c>
      <c r="C14" s="568" t="s">
        <v>7</v>
      </c>
      <c r="D14" s="554" t="s">
        <v>114</v>
      </c>
      <c r="E14" s="555" t="s">
        <v>137</v>
      </c>
      <c r="F14" s="556">
        <f>100+50-K14+50+20+16.99+300</f>
        <v>0</v>
      </c>
      <c r="G14" s="557" t="s">
        <v>116</v>
      </c>
      <c r="H14" s="567">
        <v>45566</v>
      </c>
      <c r="I14" s="558" t="s">
        <v>121</v>
      </c>
      <c r="J14" s="557" t="s">
        <v>130</v>
      </c>
      <c r="K14" s="563">
        <f>102.5+50+50+20+20+300-5.51</f>
        <v>536.99</v>
      </c>
      <c r="L14" s="548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 spans="1:28" ht="22.5" hidden="1" customHeight="1" x14ac:dyDescent="0.2">
      <c r="A15" s="544"/>
      <c r="B15" s="546">
        <v>45819</v>
      </c>
      <c r="C15" s="547" t="s">
        <v>7</v>
      </c>
      <c r="D15" s="554" t="s">
        <v>114</v>
      </c>
      <c r="E15" s="555" t="s">
        <v>138</v>
      </c>
      <c r="F15" s="556">
        <f>100+150-K15</f>
        <v>0</v>
      </c>
      <c r="G15" s="560" t="s">
        <v>116</v>
      </c>
      <c r="H15" s="546">
        <v>45824</v>
      </c>
      <c r="I15" s="562" t="s">
        <v>121</v>
      </c>
      <c r="J15" s="560" t="s">
        <v>130</v>
      </c>
      <c r="K15" s="563">
        <f>100+150</f>
        <v>250</v>
      </c>
      <c r="L15" s="566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 spans="1:28" ht="22.5" hidden="1" customHeight="1" x14ac:dyDescent="0.2">
      <c r="A16" s="544"/>
      <c r="B16" s="550">
        <v>45794</v>
      </c>
      <c r="C16" s="548" t="s">
        <v>7</v>
      </c>
      <c r="D16" s="554" t="s">
        <v>114</v>
      </c>
      <c r="E16" s="555" t="s">
        <v>139</v>
      </c>
      <c r="F16" s="556">
        <f>100-K16</f>
        <v>0</v>
      </c>
      <c r="G16" s="557" t="s">
        <v>116</v>
      </c>
      <c r="H16" s="550">
        <v>45802</v>
      </c>
      <c r="I16" s="558" t="s">
        <v>121</v>
      </c>
      <c r="J16" s="557" t="s">
        <v>130</v>
      </c>
      <c r="K16" s="563">
        <v>100</v>
      </c>
      <c r="L16" s="548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 spans="1:28" x14ac:dyDescent="0.2">
      <c r="A17" s="544"/>
      <c r="B17" s="544"/>
      <c r="C17" s="544"/>
      <c r="D17" s="544"/>
      <c r="E17" s="544"/>
      <c r="F17" s="569"/>
      <c r="G17" s="544"/>
      <c r="H17" s="544"/>
      <c r="I17" s="544"/>
      <c r="J17" s="544"/>
      <c r="K17" s="569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 spans="1:28" x14ac:dyDescent="0.2">
      <c r="A18" s="544"/>
      <c r="B18" s="544"/>
      <c r="C18" s="544"/>
      <c r="D18" s="544"/>
      <c r="E18" s="544"/>
      <c r="F18" s="569"/>
      <c r="G18" s="544"/>
      <c r="H18" s="544"/>
      <c r="I18" s="544"/>
      <c r="J18" s="544"/>
      <c r="K18" s="569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 spans="1:28" x14ac:dyDescent="0.2">
      <c r="A19" s="544"/>
      <c r="B19" s="544"/>
      <c r="C19" s="544"/>
      <c r="D19" s="544"/>
      <c r="E19" s="544"/>
      <c r="F19" s="569"/>
      <c r="G19" s="544"/>
      <c r="H19" s="544"/>
      <c r="I19" s="544"/>
      <c r="J19" s="544"/>
      <c r="K19" s="569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 spans="1:28" x14ac:dyDescent="0.2">
      <c r="A20" s="544"/>
      <c r="B20" s="544"/>
      <c r="C20" s="544"/>
      <c r="D20" s="544"/>
      <c r="E20" s="544"/>
      <c r="F20" s="569"/>
      <c r="G20" s="544"/>
      <c r="H20" s="544"/>
      <c r="I20" s="544"/>
      <c r="J20" s="544"/>
      <c r="K20" s="569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spans="1:28" x14ac:dyDescent="0.2">
      <c r="A21" s="544"/>
      <c r="B21" s="544"/>
      <c r="C21" s="544"/>
      <c r="D21" s="544"/>
      <c r="E21" s="544"/>
      <c r="F21" s="569"/>
      <c r="G21" s="544"/>
      <c r="H21" s="544"/>
      <c r="I21" s="544"/>
      <c r="J21" s="544"/>
      <c r="K21" s="569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spans="1:28" x14ac:dyDescent="0.2">
      <c r="A22" s="544"/>
      <c r="B22" s="544"/>
      <c r="C22" s="544"/>
      <c r="D22" s="544"/>
      <c r="E22" s="544"/>
      <c r="F22" s="569"/>
      <c r="G22" s="544"/>
      <c r="H22" s="544"/>
      <c r="I22" s="544"/>
      <c r="J22" s="544"/>
      <c r="K22" s="569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spans="1:28" x14ac:dyDescent="0.2">
      <c r="A23" s="544"/>
      <c r="B23" s="544"/>
      <c r="C23" s="544"/>
      <c r="D23" s="544"/>
      <c r="E23" s="544"/>
      <c r="F23" s="569"/>
      <c r="G23" s="544"/>
      <c r="H23" s="544"/>
      <c r="I23" s="544"/>
      <c r="J23" s="544"/>
      <c r="K23" s="569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spans="1:28" x14ac:dyDescent="0.2">
      <c r="A24" s="544"/>
      <c r="B24" s="544"/>
      <c r="C24" s="544"/>
      <c r="D24" s="544"/>
      <c r="E24" s="544"/>
      <c r="F24" s="569"/>
      <c r="G24" s="544"/>
      <c r="H24" s="544"/>
      <c r="I24" s="544"/>
      <c r="J24" s="544"/>
      <c r="K24" s="569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spans="1:28" x14ac:dyDescent="0.2">
      <c r="A25" s="544"/>
      <c r="B25" s="544"/>
      <c r="C25" s="544"/>
      <c r="D25" s="544"/>
      <c r="E25" s="544"/>
      <c r="F25" s="569"/>
      <c r="G25" s="544"/>
      <c r="H25" s="544"/>
      <c r="I25" s="544"/>
      <c r="J25" s="544"/>
      <c r="K25" s="569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spans="1:28" x14ac:dyDescent="0.2">
      <c r="A26" s="544"/>
      <c r="B26" s="544"/>
      <c r="C26" s="544"/>
      <c r="D26" s="544"/>
      <c r="E26" s="544"/>
      <c r="F26" s="569"/>
      <c r="G26" s="544"/>
      <c r="H26" s="544"/>
      <c r="I26" s="544"/>
      <c r="J26" s="544"/>
      <c r="K26" s="569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spans="1:28" x14ac:dyDescent="0.2">
      <c r="A27" s="544"/>
      <c r="B27" s="544"/>
      <c r="C27" s="544"/>
      <c r="D27" s="544"/>
      <c r="E27" s="544"/>
      <c r="F27" s="569"/>
      <c r="G27" s="544"/>
      <c r="H27" s="544"/>
      <c r="I27" s="544"/>
      <c r="J27" s="544"/>
      <c r="K27" s="569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spans="1:28" x14ac:dyDescent="0.2">
      <c r="A28" s="544"/>
      <c r="B28" s="544"/>
      <c r="C28" s="544"/>
      <c r="D28" s="544"/>
      <c r="E28" s="544"/>
      <c r="F28" s="569"/>
      <c r="G28" s="544"/>
      <c r="H28" s="544"/>
      <c r="I28" s="544"/>
      <c r="J28" s="544"/>
      <c r="K28" s="569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spans="1:28" x14ac:dyDescent="0.2">
      <c r="A29" s="544"/>
      <c r="B29" s="544"/>
      <c r="C29" s="544"/>
      <c r="D29" s="544"/>
      <c r="E29" s="544"/>
      <c r="F29" s="569"/>
      <c r="G29" s="544"/>
      <c r="H29" s="544"/>
      <c r="I29" s="544"/>
      <c r="J29" s="544"/>
      <c r="K29" s="569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spans="1:28" x14ac:dyDescent="0.2">
      <c r="A30" s="544"/>
      <c r="B30" s="544"/>
      <c r="C30" s="544"/>
      <c r="D30" s="544"/>
      <c r="E30" s="544"/>
      <c r="F30" s="569"/>
      <c r="G30" s="544"/>
      <c r="H30" s="544"/>
      <c r="I30" s="544"/>
      <c r="J30" s="544"/>
      <c r="K30" s="569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spans="1:28" x14ac:dyDescent="0.2">
      <c r="A31" s="544"/>
      <c r="B31" s="544"/>
      <c r="C31" s="544"/>
      <c r="D31" s="544"/>
      <c r="E31" s="544"/>
      <c r="F31" s="569"/>
      <c r="G31" s="544"/>
      <c r="H31" s="544"/>
      <c r="I31" s="544"/>
      <c r="J31" s="544"/>
      <c r="K31" s="569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spans="1:28" x14ac:dyDescent="0.2">
      <c r="A32" s="544"/>
      <c r="B32" s="544"/>
      <c r="C32" s="544"/>
      <c r="D32" s="544"/>
      <c r="E32" s="544"/>
      <c r="F32" s="569"/>
      <c r="G32" s="544"/>
      <c r="H32" s="544"/>
      <c r="I32" s="544"/>
      <c r="J32" s="544"/>
      <c r="K32" s="569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spans="1:28" x14ac:dyDescent="0.2">
      <c r="A33" s="544"/>
      <c r="B33" s="544"/>
      <c r="C33" s="544"/>
      <c r="D33" s="544"/>
      <c r="E33" s="544"/>
      <c r="F33" s="569"/>
      <c r="G33" s="544"/>
      <c r="H33" s="544"/>
      <c r="I33" s="544"/>
      <c r="J33" s="544"/>
      <c r="K33" s="569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spans="1:28" x14ac:dyDescent="0.2">
      <c r="A34" s="544"/>
      <c r="B34" s="544"/>
      <c r="C34" s="544"/>
      <c r="D34" s="544"/>
      <c r="E34" s="544"/>
      <c r="F34" s="569"/>
      <c r="G34" s="544"/>
      <c r="H34" s="544"/>
      <c r="I34" s="544"/>
      <c r="J34" s="544"/>
      <c r="K34" s="569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spans="1:28" x14ac:dyDescent="0.2">
      <c r="A35" s="544"/>
      <c r="B35" s="544"/>
      <c r="C35" s="544"/>
      <c r="D35" s="544"/>
      <c r="E35" s="544"/>
      <c r="F35" s="569"/>
      <c r="G35" s="544"/>
      <c r="H35" s="544"/>
      <c r="I35" s="544"/>
      <c r="J35" s="544"/>
      <c r="K35" s="569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spans="1:28" x14ac:dyDescent="0.2">
      <c r="A36" s="544"/>
      <c r="B36" s="544"/>
      <c r="C36" s="544"/>
      <c r="D36" s="544"/>
      <c r="E36" s="544"/>
      <c r="F36" s="569"/>
      <c r="G36" s="544"/>
      <c r="H36" s="544"/>
      <c r="I36" s="544"/>
      <c r="J36" s="544"/>
      <c r="K36" s="569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spans="1:28" x14ac:dyDescent="0.2">
      <c r="A37" s="544"/>
      <c r="B37" s="544"/>
      <c r="C37" s="544"/>
      <c r="D37" s="544"/>
      <c r="E37" s="544"/>
      <c r="F37" s="569"/>
      <c r="G37" s="544"/>
      <c r="H37" s="544"/>
      <c r="I37" s="544"/>
      <c r="J37" s="544"/>
      <c r="K37" s="569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spans="1:28" x14ac:dyDescent="0.2">
      <c r="A38" s="544"/>
      <c r="B38" s="544"/>
      <c r="C38" s="544"/>
      <c r="D38" s="544"/>
      <c r="E38" s="544"/>
      <c r="F38" s="569"/>
      <c r="G38" s="544"/>
      <c r="H38" s="544"/>
      <c r="I38" s="544"/>
      <c r="J38" s="544"/>
      <c r="K38" s="569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spans="1:28" x14ac:dyDescent="0.2">
      <c r="A39" s="544"/>
      <c r="B39" s="544"/>
      <c r="C39" s="544"/>
      <c r="D39" s="544"/>
      <c r="E39" s="544"/>
      <c r="F39" s="569"/>
      <c r="G39" s="544"/>
      <c r="H39" s="544"/>
      <c r="I39" s="544"/>
      <c r="J39" s="544"/>
      <c r="K39" s="569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spans="1:28" x14ac:dyDescent="0.2">
      <c r="A40" s="544"/>
      <c r="B40" s="544"/>
      <c r="C40" s="544"/>
      <c r="D40" s="544"/>
      <c r="E40" s="544"/>
      <c r="F40" s="569"/>
      <c r="G40" s="544"/>
      <c r="H40" s="544"/>
      <c r="I40" s="544"/>
      <c r="J40" s="544"/>
      <c r="K40" s="569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spans="1:28" x14ac:dyDescent="0.2">
      <c r="A41" s="544"/>
      <c r="B41" s="544"/>
      <c r="C41" s="544"/>
      <c r="D41" s="544"/>
      <c r="E41" s="544"/>
      <c r="F41" s="569"/>
      <c r="G41" s="544"/>
      <c r="H41" s="544"/>
      <c r="I41" s="544"/>
      <c r="J41" s="544"/>
      <c r="K41" s="569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spans="1:28" x14ac:dyDescent="0.2">
      <c r="A42" s="544"/>
      <c r="B42" s="544"/>
      <c r="C42" s="544"/>
      <c r="D42" s="544"/>
      <c r="E42" s="544"/>
      <c r="F42" s="569"/>
      <c r="G42" s="544"/>
      <c r="H42" s="544"/>
      <c r="I42" s="544"/>
      <c r="J42" s="544"/>
      <c r="K42" s="569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spans="1:28" x14ac:dyDescent="0.2">
      <c r="A43" s="544"/>
      <c r="B43" s="544"/>
      <c r="C43" s="544"/>
      <c r="D43" s="544"/>
      <c r="E43" s="544"/>
      <c r="F43" s="569"/>
      <c r="G43" s="544"/>
      <c r="H43" s="544"/>
      <c r="I43" s="544"/>
      <c r="J43" s="544"/>
      <c r="K43" s="569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spans="1:28" x14ac:dyDescent="0.2">
      <c r="A44" s="544"/>
      <c r="B44" s="544"/>
      <c r="C44" s="544"/>
      <c r="D44" s="544"/>
      <c r="E44" s="544"/>
      <c r="F44" s="569"/>
      <c r="G44" s="544"/>
      <c r="H44" s="544"/>
      <c r="I44" s="544"/>
      <c r="J44" s="544"/>
      <c r="K44" s="569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spans="1:28" x14ac:dyDescent="0.2">
      <c r="A45" s="544"/>
      <c r="B45" s="544"/>
      <c r="C45" s="544"/>
      <c r="D45" s="544"/>
      <c r="E45" s="544"/>
      <c r="F45" s="569"/>
      <c r="G45" s="544"/>
      <c r="H45" s="544"/>
      <c r="I45" s="544"/>
      <c r="J45" s="544"/>
      <c r="K45" s="569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spans="1:28" x14ac:dyDescent="0.2">
      <c r="A46" s="544"/>
      <c r="B46" s="544"/>
      <c r="C46" s="544"/>
      <c r="D46" s="544"/>
      <c r="E46" s="544"/>
      <c r="F46" s="569"/>
      <c r="G46" s="544"/>
      <c r="H46" s="544"/>
      <c r="I46" s="544"/>
      <c r="J46" s="544"/>
      <c r="K46" s="569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spans="1:28" x14ac:dyDescent="0.2">
      <c r="A47" s="544"/>
      <c r="B47" s="544"/>
      <c r="C47" s="544"/>
      <c r="D47" s="544"/>
      <c r="E47" s="544"/>
      <c r="F47" s="569"/>
      <c r="G47" s="544"/>
      <c r="H47" s="544"/>
      <c r="I47" s="544"/>
      <c r="J47" s="544"/>
      <c r="K47" s="569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spans="1:28" x14ac:dyDescent="0.2">
      <c r="A48" s="544"/>
      <c r="B48" s="544"/>
      <c r="C48" s="544"/>
      <c r="D48" s="544"/>
      <c r="E48" s="544"/>
      <c r="F48" s="569"/>
      <c r="G48" s="544"/>
      <c r="H48" s="544"/>
      <c r="I48" s="544"/>
      <c r="J48" s="544"/>
      <c r="K48" s="569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spans="1:28" x14ac:dyDescent="0.2">
      <c r="A49" s="544"/>
      <c r="B49" s="544"/>
      <c r="C49" s="544"/>
      <c r="D49" s="544"/>
      <c r="E49" s="544"/>
      <c r="F49" s="569"/>
      <c r="G49" s="544"/>
      <c r="H49" s="544"/>
      <c r="I49" s="544"/>
      <c r="J49" s="544"/>
      <c r="K49" s="569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spans="1:28" x14ac:dyDescent="0.2">
      <c r="A50" s="544"/>
      <c r="B50" s="544"/>
      <c r="C50" s="544"/>
      <c r="D50" s="544"/>
      <c r="E50" s="544"/>
      <c r="F50" s="569"/>
      <c r="G50" s="544"/>
      <c r="H50" s="544"/>
      <c r="I50" s="544"/>
      <c r="J50" s="544"/>
      <c r="K50" s="569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spans="1:28" x14ac:dyDescent="0.2">
      <c r="A51" s="544"/>
      <c r="B51" s="544"/>
      <c r="C51" s="544"/>
      <c r="D51" s="544"/>
      <c r="E51" s="544"/>
      <c r="F51" s="569"/>
      <c r="G51" s="544"/>
      <c r="H51" s="544"/>
      <c r="I51" s="544"/>
      <c r="J51" s="544"/>
      <c r="K51" s="569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spans="1:28" x14ac:dyDescent="0.2">
      <c r="A52" s="544"/>
      <c r="B52" s="544"/>
      <c r="C52" s="544"/>
      <c r="D52" s="544"/>
      <c r="E52" s="544"/>
      <c r="F52" s="569"/>
      <c r="G52" s="544"/>
      <c r="H52" s="544"/>
      <c r="I52" s="544"/>
      <c r="J52" s="544"/>
      <c r="K52" s="569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spans="1:28" x14ac:dyDescent="0.2">
      <c r="A53" s="544"/>
      <c r="B53" s="544"/>
      <c r="C53" s="544"/>
      <c r="D53" s="544"/>
      <c r="E53" s="544"/>
      <c r="F53" s="569"/>
      <c r="G53" s="544"/>
      <c r="H53" s="544"/>
      <c r="I53" s="544"/>
      <c r="J53" s="544"/>
      <c r="K53" s="569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spans="1:28" x14ac:dyDescent="0.2">
      <c r="A54" s="544"/>
      <c r="B54" s="544"/>
      <c r="C54" s="544"/>
      <c r="D54" s="544"/>
      <c r="E54" s="544"/>
      <c r="F54" s="569"/>
      <c r="G54" s="544"/>
      <c r="H54" s="544"/>
      <c r="I54" s="544"/>
      <c r="J54" s="544"/>
      <c r="K54" s="569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spans="1:28" x14ac:dyDescent="0.2">
      <c r="A55" s="544"/>
      <c r="B55" s="544"/>
      <c r="C55" s="544"/>
      <c r="D55" s="544"/>
      <c r="E55" s="544"/>
      <c r="F55" s="569"/>
      <c r="G55" s="544"/>
      <c r="H55" s="544"/>
      <c r="I55" s="544"/>
      <c r="J55" s="544"/>
      <c r="K55" s="569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spans="1:28" x14ac:dyDescent="0.2">
      <c r="A56" s="544"/>
      <c r="B56" s="544"/>
      <c r="C56" s="544"/>
      <c r="D56" s="544"/>
      <c r="E56" s="544"/>
      <c r="F56" s="569"/>
      <c r="G56" s="544"/>
      <c r="H56" s="544"/>
      <c r="I56" s="544"/>
      <c r="J56" s="544"/>
      <c r="K56" s="569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spans="1:28" x14ac:dyDescent="0.2">
      <c r="A57" s="544"/>
      <c r="B57" s="544"/>
      <c r="C57" s="544"/>
      <c r="D57" s="544"/>
      <c r="E57" s="544"/>
      <c r="F57" s="569"/>
      <c r="G57" s="544"/>
      <c r="H57" s="544"/>
      <c r="I57" s="544"/>
      <c r="J57" s="544"/>
      <c r="K57" s="569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spans="1:28" x14ac:dyDescent="0.2">
      <c r="A58" s="544"/>
      <c r="B58" s="544"/>
      <c r="C58" s="544"/>
      <c r="D58" s="544"/>
      <c r="E58" s="544"/>
      <c r="F58" s="569"/>
      <c r="G58" s="544"/>
      <c r="H58" s="544"/>
      <c r="I58" s="544"/>
      <c r="J58" s="544"/>
      <c r="K58" s="569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spans="1:28" x14ac:dyDescent="0.2">
      <c r="A59" s="544"/>
      <c r="B59" s="544"/>
      <c r="C59" s="544"/>
      <c r="D59" s="544"/>
      <c r="E59" s="544"/>
      <c r="F59" s="569"/>
      <c r="G59" s="544"/>
      <c r="H59" s="544"/>
      <c r="I59" s="544"/>
      <c r="J59" s="544"/>
      <c r="K59" s="569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spans="1:28" x14ac:dyDescent="0.2">
      <c r="A60" s="544"/>
      <c r="B60" s="544"/>
      <c r="C60" s="544"/>
      <c r="D60" s="544"/>
      <c r="E60" s="544"/>
      <c r="F60" s="569"/>
      <c r="G60" s="544"/>
      <c r="H60" s="544"/>
      <c r="I60" s="544"/>
      <c r="J60" s="544"/>
      <c r="K60" s="569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spans="1:28" x14ac:dyDescent="0.2">
      <c r="A61" s="544"/>
      <c r="B61" s="544"/>
      <c r="C61" s="544"/>
      <c r="D61" s="544"/>
      <c r="E61" s="544"/>
      <c r="F61" s="569"/>
      <c r="G61" s="544"/>
      <c r="H61" s="544"/>
      <c r="I61" s="544"/>
      <c r="J61" s="544"/>
      <c r="K61" s="569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spans="1:28" x14ac:dyDescent="0.2">
      <c r="A62" s="544"/>
      <c r="B62" s="544"/>
      <c r="C62" s="544"/>
      <c r="D62" s="544"/>
      <c r="E62" s="544"/>
      <c r="F62" s="569"/>
      <c r="G62" s="544"/>
      <c r="H62" s="544"/>
      <c r="I62" s="544"/>
      <c r="J62" s="544"/>
      <c r="K62" s="569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spans="1:28" x14ac:dyDescent="0.2">
      <c r="A63" s="544"/>
      <c r="B63" s="544"/>
      <c r="C63" s="544"/>
      <c r="D63" s="544"/>
      <c r="E63" s="544"/>
      <c r="F63" s="569"/>
      <c r="G63" s="544"/>
      <c r="H63" s="544"/>
      <c r="I63" s="544"/>
      <c r="J63" s="544"/>
      <c r="K63" s="569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spans="1:28" x14ac:dyDescent="0.2">
      <c r="A64" s="544"/>
      <c r="B64" s="544"/>
      <c r="C64" s="544"/>
      <c r="D64" s="544"/>
      <c r="E64" s="544"/>
      <c r="F64" s="569"/>
      <c r="G64" s="544"/>
      <c r="H64" s="544"/>
      <c r="I64" s="544"/>
      <c r="J64" s="544"/>
      <c r="K64" s="569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spans="1:28" x14ac:dyDescent="0.2">
      <c r="A65" s="544"/>
      <c r="B65" s="544"/>
      <c r="C65" s="544"/>
      <c r="D65" s="544"/>
      <c r="E65" s="544"/>
      <c r="F65" s="569"/>
      <c r="G65" s="544"/>
      <c r="H65" s="544"/>
      <c r="I65" s="544"/>
      <c r="J65" s="544"/>
      <c r="K65" s="569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spans="1:28" x14ac:dyDescent="0.2">
      <c r="A66" s="544"/>
      <c r="B66" s="544"/>
      <c r="C66" s="544"/>
      <c r="D66" s="544"/>
      <c r="E66" s="544"/>
      <c r="F66" s="569"/>
      <c r="G66" s="544"/>
      <c r="H66" s="544"/>
      <c r="I66" s="544"/>
      <c r="J66" s="544"/>
      <c r="K66" s="569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spans="1:28" x14ac:dyDescent="0.2">
      <c r="A67" s="544"/>
      <c r="B67" s="544"/>
      <c r="C67" s="544"/>
      <c r="D67" s="544"/>
      <c r="E67" s="544"/>
      <c r="F67" s="569"/>
      <c r="G67" s="544"/>
      <c r="H67" s="544"/>
      <c r="I67" s="544"/>
      <c r="J67" s="544"/>
      <c r="K67" s="569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spans="1:28" x14ac:dyDescent="0.2">
      <c r="A68" s="544"/>
      <c r="B68" s="544"/>
      <c r="C68" s="544"/>
      <c r="D68" s="544"/>
      <c r="E68" s="544"/>
      <c r="F68" s="569"/>
      <c r="G68" s="544"/>
      <c r="H68" s="544"/>
      <c r="I68" s="544"/>
      <c r="J68" s="544"/>
      <c r="K68" s="569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spans="1:28" x14ac:dyDescent="0.2">
      <c r="A69" s="544"/>
      <c r="B69" s="544"/>
      <c r="C69" s="544"/>
      <c r="D69" s="544"/>
      <c r="E69" s="544"/>
      <c r="F69" s="569"/>
      <c r="G69" s="544"/>
      <c r="H69" s="544"/>
      <c r="I69" s="544"/>
      <c r="J69" s="544"/>
      <c r="K69" s="569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spans="1:28" x14ac:dyDescent="0.2">
      <c r="A70" s="544"/>
      <c r="B70" s="544"/>
      <c r="C70" s="544"/>
      <c r="D70" s="544"/>
      <c r="E70" s="544"/>
      <c r="F70" s="569"/>
      <c r="G70" s="544"/>
      <c r="H70" s="544"/>
      <c r="I70" s="544"/>
      <c r="J70" s="544"/>
      <c r="K70" s="569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spans="1:28" x14ac:dyDescent="0.2">
      <c r="A71" s="544"/>
      <c r="B71" s="544"/>
      <c r="C71" s="544"/>
      <c r="D71" s="544"/>
      <c r="E71" s="544"/>
      <c r="F71" s="569"/>
      <c r="G71" s="544"/>
      <c r="H71" s="544"/>
      <c r="I71" s="544"/>
      <c r="J71" s="544"/>
      <c r="K71" s="569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spans="1:28" x14ac:dyDescent="0.2">
      <c r="A72" s="544"/>
      <c r="B72" s="544"/>
      <c r="C72" s="544"/>
      <c r="D72" s="544"/>
      <c r="E72" s="544"/>
      <c r="F72" s="569"/>
      <c r="G72" s="544"/>
      <c r="H72" s="544"/>
      <c r="I72" s="544"/>
      <c r="J72" s="544"/>
      <c r="K72" s="569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spans="1:28" x14ac:dyDescent="0.2">
      <c r="A73" s="544"/>
      <c r="B73" s="544"/>
      <c r="C73" s="544"/>
      <c r="D73" s="544"/>
      <c r="E73" s="544"/>
      <c r="F73" s="569"/>
      <c r="G73" s="544"/>
      <c r="H73" s="544"/>
      <c r="I73" s="544"/>
      <c r="J73" s="544"/>
      <c r="K73" s="569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spans="1:28" x14ac:dyDescent="0.2">
      <c r="A74" s="544"/>
      <c r="B74" s="544"/>
      <c r="C74" s="544"/>
      <c r="D74" s="544"/>
      <c r="E74" s="544"/>
      <c r="F74" s="569"/>
      <c r="G74" s="544"/>
      <c r="H74" s="544"/>
      <c r="I74" s="544"/>
      <c r="J74" s="544"/>
      <c r="K74" s="569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spans="1:28" x14ac:dyDescent="0.2">
      <c r="A75" s="544"/>
      <c r="B75" s="544"/>
      <c r="C75" s="544"/>
      <c r="D75" s="544"/>
      <c r="E75" s="544"/>
      <c r="F75" s="569"/>
      <c r="G75" s="544"/>
      <c r="H75" s="544"/>
      <c r="I75" s="544"/>
      <c r="J75" s="544"/>
      <c r="K75" s="569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spans="1:28" x14ac:dyDescent="0.2">
      <c r="A76" s="544"/>
      <c r="B76" s="544"/>
      <c r="C76" s="544"/>
      <c r="D76" s="544"/>
      <c r="E76" s="544"/>
      <c r="F76" s="569"/>
      <c r="G76" s="544"/>
      <c r="H76" s="544"/>
      <c r="I76" s="544"/>
      <c r="J76" s="544"/>
      <c r="K76" s="569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spans="1:28" x14ac:dyDescent="0.2">
      <c r="A77" s="544"/>
      <c r="B77" s="544"/>
      <c r="C77" s="544"/>
      <c r="D77" s="544"/>
      <c r="E77" s="544"/>
      <c r="F77" s="569"/>
      <c r="G77" s="544"/>
      <c r="H77" s="544"/>
      <c r="I77" s="544"/>
      <c r="J77" s="544"/>
      <c r="K77" s="569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</row>
    <row r="78" spans="1:28" x14ac:dyDescent="0.2">
      <c r="A78" s="544"/>
      <c r="B78" s="544"/>
      <c r="C78" s="544"/>
      <c r="D78" s="544"/>
      <c r="E78" s="544"/>
      <c r="F78" s="569"/>
      <c r="G78" s="544"/>
      <c r="H78" s="544"/>
      <c r="I78" s="544"/>
      <c r="J78" s="544"/>
      <c r="K78" s="569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</row>
    <row r="79" spans="1:28" x14ac:dyDescent="0.2">
      <c r="A79" s="544"/>
      <c r="B79" s="544"/>
      <c r="C79" s="544"/>
      <c r="D79" s="544"/>
      <c r="E79" s="544"/>
      <c r="F79" s="569"/>
      <c r="G79" s="544"/>
      <c r="H79" s="544"/>
      <c r="I79" s="544"/>
      <c r="J79" s="544"/>
      <c r="K79" s="569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</row>
    <row r="80" spans="1:28" x14ac:dyDescent="0.2">
      <c r="A80" s="544"/>
      <c r="B80" s="544"/>
      <c r="C80" s="544"/>
      <c r="D80" s="544"/>
      <c r="E80" s="544"/>
      <c r="F80" s="569"/>
      <c r="G80" s="544"/>
      <c r="H80" s="544"/>
      <c r="I80" s="544"/>
      <c r="J80" s="544"/>
      <c r="K80" s="569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</row>
    <row r="81" spans="1:28" x14ac:dyDescent="0.2">
      <c r="A81" s="544"/>
      <c r="B81" s="544"/>
      <c r="C81" s="544"/>
      <c r="D81" s="544"/>
      <c r="E81" s="544"/>
      <c r="F81" s="569"/>
      <c r="G81" s="544"/>
      <c r="H81" s="544"/>
      <c r="I81" s="544"/>
      <c r="J81" s="544"/>
      <c r="K81" s="569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</row>
    <row r="82" spans="1:28" x14ac:dyDescent="0.2">
      <c r="A82" s="544"/>
      <c r="B82" s="544"/>
      <c r="C82" s="544"/>
      <c r="D82" s="544"/>
      <c r="E82" s="544"/>
      <c r="F82" s="569"/>
      <c r="G82" s="544"/>
      <c r="H82" s="544"/>
      <c r="I82" s="544"/>
      <c r="J82" s="544"/>
      <c r="K82" s="569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</row>
    <row r="83" spans="1:28" x14ac:dyDescent="0.2">
      <c r="A83" s="544"/>
      <c r="B83" s="544"/>
      <c r="C83" s="544"/>
      <c r="D83" s="544"/>
      <c r="E83" s="544"/>
      <c r="F83" s="569"/>
      <c r="G83" s="544"/>
      <c r="H83" s="544"/>
      <c r="I83" s="544"/>
      <c r="J83" s="544"/>
      <c r="K83" s="569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</row>
    <row r="84" spans="1:28" x14ac:dyDescent="0.2">
      <c r="A84" s="544"/>
      <c r="B84" s="544"/>
      <c r="C84" s="544"/>
      <c r="D84" s="544"/>
      <c r="E84" s="544"/>
      <c r="F84" s="569"/>
      <c r="G84" s="544"/>
      <c r="H84" s="544"/>
      <c r="I84" s="544"/>
      <c r="J84" s="544"/>
      <c r="K84" s="569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</row>
    <row r="85" spans="1:28" x14ac:dyDescent="0.2">
      <c r="A85" s="544"/>
      <c r="B85" s="544"/>
      <c r="C85" s="544"/>
      <c r="D85" s="544"/>
      <c r="E85" s="544"/>
      <c r="F85" s="569"/>
      <c r="G85" s="544"/>
      <c r="H85" s="544"/>
      <c r="I85" s="544"/>
      <c r="J85" s="544"/>
      <c r="K85" s="569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</row>
    <row r="86" spans="1:28" x14ac:dyDescent="0.2">
      <c r="A86" s="544"/>
      <c r="B86" s="544"/>
      <c r="C86" s="544"/>
      <c r="D86" s="544"/>
      <c r="E86" s="544"/>
      <c r="F86" s="569"/>
      <c r="G86" s="544"/>
      <c r="H86" s="544"/>
      <c r="I86" s="544"/>
      <c r="J86" s="544"/>
      <c r="K86" s="569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</row>
    <row r="87" spans="1:28" x14ac:dyDescent="0.2">
      <c r="A87" s="544"/>
      <c r="B87" s="544"/>
      <c r="C87" s="544"/>
      <c r="D87" s="544"/>
      <c r="E87" s="544"/>
      <c r="F87" s="569"/>
      <c r="G87" s="544"/>
      <c r="H87" s="544"/>
      <c r="I87" s="544"/>
      <c r="J87" s="544"/>
      <c r="K87" s="569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</row>
    <row r="88" spans="1:28" x14ac:dyDescent="0.2">
      <c r="A88" s="544"/>
      <c r="B88" s="544"/>
      <c r="C88" s="544"/>
      <c r="D88" s="544"/>
      <c r="E88" s="544"/>
      <c r="F88" s="569"/>
      <c r="G88" s="544"/>
      <c r="H88" s="544"/>
      <c r="I88" s="544"/>
      <c r="J88" s="544"/>
      <c r="K88" s="569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</row>
    <row r="89" spans="1:28" x14ac:dyDescent="0.2">
      <c r="A89" s="544"/>
      <c r="B89" s="544"/>
      <c r="C89" s="544"/>
      <c r="D89" s="544"/>
      <c r="E89" s="544"/>
      <c r="F89" s="569"/>
      <c r="G89" s="544"/>
      <c r="H89" s="544"/>
      <c r="I89" s="544"/>
      <c r="J89" s="544"/>
      <c r="K89" s="569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</row>
    <row r="90" spans="1:28" x14ac:dyDescent="0.2">
      <c r="A90" s="544"/>
      <c r="B90" s="544"/>
      <c r="C90" s="544"/>
      <c r="D90" s="544"/>
      <c r="E90" s="544"/>
      <c r="F90" s="569"/>
      <c r="G90" s="544"/>
      <c r="H90" s="544"/>
      <c r="I90" s="544"/>
      <c r="J90" s="544"/>
      <c r="K90" s="569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</row>
    <row r="91" spans="1:28" x14ac:dyDescent="0.2">
      <c r="A91" s="544"/>
      <c r="B91" s="544"/>
      <c r="C91" s="544"/>
      <c r="D91" s="544"/>
      <c r="E91" s="544"/>
      <c r="F91" s="569"/>
      <c r="G91" s="544"/>
      <c r="H91" s="544"/>
      <c r="I91" s="544"/>
      <c r="J91" s="544"/>
      <c r="K91" s="569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</row>
    <row r="92" spans="1:28" x14ac:dyDescent="0.2">
      <c r="A92" s="544"/>
      <c r="B92" s="544"/>
      <c r="C92" s="544"/>
      <c r="D92" s="544"/>
      <c r="E92" s="544"/>
      <c r="F92" s="569"/>
      <c r="G92" s="544"/>
      <c r="H92" s="544"/>
      <c r="I92" s="544"/>
      <c r="J92" s="544"/>
      <c r="K92" s="569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</row>
    <row r="93" spans="1:28" x14ac:dyDescent="0.2">
      <c r="A93" s="544"/>
      <c r="B93" s="544"/>
      <c r="C93" s="544"/>
      <c r="D93" s="544"/>
      <c r="E93" s="544"/>
      <c r="F93" s="569"/>
      <c r="G93" s="544"/>
      <c r="H93" s="544"/>
      <c r="I93" s="544"/>
      <c r="J93" s="544"/>
      <c r="K93" s="569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</row>
    <row r="94" spans="1:28" x14ac:dyDescent="0.2">
      <c r="A94" s="544"/>
      <c r="B94" s="544"/>
      <c r="C94" s="544"/>
      <c r="D94" s="544"/>
      <c r="E94" s="544"/>
      <c r="F94" s="569"/>
      <c r="G94" s="544"/>
      <c r="H94" s="544"/>
      <c r="I94" s="544"/>
      <c r="J94" s="544"/>
      <c r="K94" s="569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</row>
    <row r="95" spans="1:28" x14ac:dyDescent="0.2">
      <c r="A95" s="544"/>
      <c r="B95" s="544"/>
      <c r="C95" s="544"/>
      <c r="D95" s="544"/>
      <c r="E95" s="544"/>
      <c r="F95" s="569"/>
      <c r="G95" s="544"/>
      <c r="H95" s="544"/>
      <c r="I95" s="544"/>
      <c r="J95" s="544"/>
      <c r="K95" s="569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</row>
    <row r="96" spans="1:28" x14ac:dyDescent="0.2">
      <c r="A96" s="544"/>
      <c r="B96" s="544"/>
      <c r="C96" s="544"/>
      <c r="D96" s="544"/>
      <c r="E96" s="544"/>
      <c r="F96" s="569"/>
      <c r="G96" s="544"/>
      <c r="H96" s="544"/>
      <c r="I96" s="544"/>
      <c r="J96" s="544"/>
      <c r="K96" s="569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</row>
    <row r="97" spans="1:28" x14ac:dyDescent="0.2">
      <c r="A97" s="544"/>
      <c r="B97" s="544"/>
      <c r="C97" s="544"/>
      <c r="D97" s="544"/>
      <c r="E97" s="544"/>
      <c r="F97" s="569"/>
      <c r="G97" s="544"/>
      <c r="H97" s="544"/>
      <c r="I97" s="544"/>
      <c r="J97" s="544"/>
      <c r="K97" s="569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</row>
    <row r="98" spans="1:28" x14ac:dyDescent="0.2">
      <c r="A98" s="544"/>
      <c r="B98" s="544"/>
      <c r="C98" s="544"/>
      <c r="D98" s="544"/>
      <c r="E98" s="544"/>
      <c r="F98" s="569"/>
      <c r="G98" s="544"/>
      <c r="H98" s="544"/>
      <c r="I98" s="544"/>
      <c r="J98" s="544"/>
      <c r="K98" s="569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</row>
    <row r="99" spans="1:28" x14ac:dyDescent="0.2">
      <c r="A99" s="544"/>
      <c r="B99" s="544"/>
      <c r="C99" s="544"/>
      <c r="D99" s="544"/>
      <c r="E99" s="544"/>
      <c r="F99" s="569"/>
      <c r="G99" s="544"/>
      <c r="H99" s="544"/>
      <c r="I99" s="544"/>
      <c r="J99" s="544"/>
      <c r="K99" s="569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</row>
    <row r="100" spans="1:28" x14ac:dyDescent="0.2">
      <c r="A100" s="544"/>
      <c r="B100" s="544"/>
      <c r="C100" s="544"/>
      <c r="D100" s="544"/>
      <c r="E100" s="544"/>
      <c r="F100" s="569"/>
      <c r="G100" s="544"/>
      <c r="H100" s="544"/>
      <c r="I100" s="544"/>
      <c r="J100" s="544"/>
      <c r="K100" s="569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</row>
    <row r="101" spans="1:28" x14ac:dyDescent="0.2">
      <c r="A101" s="544"/>
      <c r="B101" s="544"/>
      <c r="C101" s="544"/>
      <c r="D101" s="544"/>
      <c r="E101" s="544"/>
      <c r="F101" s="569"/>
      <c r="G101" s="544"/>
      <c r="H101" s="544"/>
      <c r="I101" s="544"/>
      <c r="J101" s="544"/>
      <c r="K101" s="569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</row>
    <row r="102" spans="1:28" x14ac:dyDescent="0.2">
      <c r="A102" s="544"/>
      <c r="B102" s="544"/>
      <c r="C102" s="544"/>
      <c r="D102" s="544"/>
      <c r="E102" s="544"/>
      <c r="F102" s="569"/>
      <c r="G102" s="544"/>
      <c r="H102" s="544"/>
      <c r="I102" s="544"/>
      <c r="J102" s="544"/>
      <c r="K102" s="569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</row>
    <row r="103" spans="1:28" x14ac:dyDescent="0.2">
      <c r="A103" s="544"/>
      <c r="B103" s="544"/>
      <c r="C103" s="544"/>
      <c r="D103" s="544"/>
      <c r="E103" s="544"/>
      <c r="F103" s="569"/>
      <c r="G103" s="544"/>
      <c r="H103" s="544"/>
      <c r="I103" s="544"/>
      <c r="J103" s="544"/>
      <c r="K103" s="569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</row>
    <row r="104" spans="1:28" x14ac:dyDescent="0.2">
      <c r="A104" s="544"/>
      <c r="B104" s="544"/>
      <c r="C104" s="544"/>
      <c r="D104" s="544"/>
      <c r="E104" s="544"/>
      <c r="F104" s="569"/>
      <c r="G104" s="544"/>
      <c r="H104" s="544"/>
      <c r="I104" s="544"/>
      <c r="J104" s="544"/>
      <c r="K104" s="569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</row>
    <row r="105" spans="1:28" x14ac:dyDescent="0.2">
      <c r="A105" s="544"/>
      <c r="B105" s="544"/>
      <c r="C105" s="544"/>
      <c r="D105" s="544"/>
      <c r="E105" s="544"/>
      <c r="F105" s="569"/>
      <c r="G105" s="544"/>
      <c r="H105" s="544"/>
      <c r="I105" s="544"/>
      <c r="J105" s="544"/>
      <c r="K105" s="569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</row>
    <row r="106" spans="1:28" x14ac:dyDescent="0.2">
      <c r="A106" s="544"/>
      <c r="B106" s="544"/>
      <c r="C106" s="544"/>
      <c r="D106" s="544"/>
      <c r="E106" s="544"/>
      <c r="F106" s="569"/>
      <c r="G106" s="544"/>
      <c r="H106" s="544"/>
      <c r="I106" s="544"/>
      <c r="J106" s="544"/>
      <c r="K106" s="569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</row>
    <row r="107" spans="1:28" x14ac:dyDescent="0.2">
      <c r="A107" s="544"/>
      <c r="B107" s="544"/>
      <c r="C107" s="544"/>
      <c r="D107" s="544"/>
      <c r="E107" s="544"/>
      <c r="F107" s="569"/>
      <c r="G107" s="544"/>
      <c r="H107" s="544"/>
      <c r="I107" s="544"/>
      <c r="J107" s="544"/>
      <c r="K107" s="569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</row>
    <row r="108" spans="1:28" x14ac:dyDescent="0.2">
      <c r="A108" s="544"/>
      <c r="B108" s="544"/>
      <c r="C108" s="544"/>
      <c r="D108" s="544"/>
      <c r="E108" s="544"/>
      <c r="F108" s="569"/>
      <c r="G108" s="544"/>
      <c r="H108" s="544"/>
      <c r="I108" s="544"/>
      <c r="J108" s="544"/>
      <c r="K108" s="569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</row>
    <row r="109" spans="1:28" x14ac:dyDescent="0.2">
      <c r="A109" s="544"/>
      <c r="B109" s="544"/>
      <c r="C109" s="544"/>
      <c r="D109" s="544"/>
      <c r="E109" s="544"/>
      <c r="F109" s="569"/>
      <c r="G109" s="544"/>
      <c r="H109" s="544"/>
      <c r="I109" s="544"/>
      <c r="J109" s="544"/>
      <c r="K109" s="569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</row>
    <row r="110" spans="1:28" x14ac:dyDescent="0.2">
      <c r="A110" s="544"/>
      <c r="B110" s="544"/>
      <c r="C110" s="544"/>
      <c r="D110" s="544"/>
      <c r="E110" s="544"/>
      <c r="F110" s="569"/>
      <c r="G110" s="544"/>
      <c r="H110" s="544"/>
      <c r="I110" s="544"/>
      <c r="J110" s="544"/>
      <c r="K110" s="569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</row>
    <row r="111" spans="1:28" x14ac:dyDescent="0.2">
      <c r="A111" s="544"/>
      <c r="B111" s="544"/>
      <c r="C111" s="544"/>
      <c r="D111" s="544"/>
      <c r="E111" s="544"/>
      <c r="F111" s="569"/>
      <c r="G111" s="544"/>
      <c r="H111" s="544"/>
      <c r="I111" s="544"/>
      <c r="J111" s="544"/>
      <c r="K111" s="569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</row>
    <row r="112" spans="1:28" x14ac:dyDescent="0.2">
      <c r="A112" s="544"/>
      <c r="B112" s="544"/>
      <c r="C112" s="544"/>
      <c r="D112" s="544"/>
      <c r="E112" s="544"/>
      <c r="F112" s="569"/>
      <c r="G112" s="544"/>
      <c r="H112" s="544"/>
      <c r="I112" s="544"/>
      <c r="J112" s="544"/>
      <c r="K112" s="569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</row>
    <row r="113" spans="1:28" x14ac:dyDescent="0.2">
      <c r="A113" s="544"/>
      <c r="B113" s="544"/>
      <c r="C113" s="544"/>
      <c r="D113" s="544"/>
      <c r="E113" s="544"/>
      <c r="F113" s="569"/>
      <c r="G113" s="544"/>
      <c r="H113" s="544"/>
      <c r="I113" s="544"/>
      <c r="J113" s="544"/>
      <c r="K113" s="569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</row>
    <row r="114" spans="1:28" x14ac:dyDescent="0.2">
      <c r="A114" s="544"/>
      <c r="B114" s="544"/>
      <c r="C114" s="544"/>
      <c r="D114" s="544"/>
      <c r="E114" s="544"/>
      <c r="F114" s="569"/>
      <c r="G114" s="544"/>
      <c r="H114" s="544"/>
      <c r="I114" s="544"/>
      <c r="J114" s="544"/>
      <c r="K114" s="569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</row>
    <row r="115" spans="1:28" x14ac:dyDescent="0.2">
      <c r="A115" s="544"/>
      <c r="B115" s="544"/>
      <c r="C115" s="544"/>
      <c r="D115" s="544"/>
      <c r="E115" s="544"/>
      <c r="F115" s="569"/>
      <c r="G115" s="544"/>
      <c r="H115" s="544"/>
      <c r="I115" s="544"/>
      <c r="J115" s="544"/>
      <c r="K115" s="569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</row>
    <row r="116" spans="1:28" x14ac:dyDescent="0.2">
      <c r="A116" s="544"/>
      <c r="B116" s="544"/>
      <c r="C116" s="544"/>
      <c r="D116" s="544"/>
      <c r="E116" s="544"/>
      <c r="F116" s="569"/>
      <c r="G116" s="544"/>
      <c r="H116" s="544"/>
      <c r="I116" s="544"/>
      <c r="J116" s="544"/>
      <c r="K116" s="569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</row>
    <row r="117" spans="1:28" x14ac:dyDescent="0.2">
      <c r="A117" s="544"/>
      <c r="B117" s="544"/>
      <c r="C117" s="544"/>
      <c r="D117" s="544"/>
      <c r="E117" s="544"/>
      <c r="F117" s="569"/>
      <c r="G117" s="544"/>
      <c r="H117" s="544"/>
      <c r="I117" s="544"/>
      <c r="J117" s="544"/>
      <c r="K117" s="569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</row>
    <row r="118" spans="1:28" x14ac:dyDescent="0.2">
      <c r="A118" s="544"/>
      <c r="B118" s="544"/>
      <c r="C118" s="544"/>
      <c r="D118" s="544"/>
      <c r="E118" s="544"/>
      <c r="F118" s="569"/>
      <c r="G118" s="544"/>
      <c r="H118" s="544"/>
      <c r="I118" s="544"/>
      <c r="J118" s="544"/>
      <c r="K118" s="569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</row>
    <row r="119" spans="1:28" x14ac:dyDescent="0.2">
      <c r="A119" s="544"/>
      <c r="B119" s="544"/>
      <c r="C119" s="544"/>
      <c r="D119" s="544"/>
      <c r="E119" s="544"/>
      <c r="F119" s="569"/>
      <c r="G119" s="544"/>
      <c r="H119" s="544"/>
      <c r="I119" s="544"/>
      <c r="J119" s="544"/>
      <c r="K119" s="569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</row>
    <row r="120" spans="1:28" x14ac:dyDescent="0.2">
      <c r="A120" s="544"/>
      <c r="B120" s="544"/>
      <c r="C120" s="544"/>
      <c r="D120" s="544"/>
      <c r="E120" s="544"/>
      <c r="F120" s="569"/>
      <c r="G120" s="544"/>
      <c r="H120" s="544"/>
      <c r="I120" s="544"/>
      <c r="J120" s="544"/>
      <c r="K120" s="569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</row>
    <row r="121" spans="1:28" x14ac:dyDescent="0.2">
      <c r="A121" s="544"/>
      <c r="B121" s="544"/>
      <c r="C121" s="544"/>
      <c r="D121" s="544"/>
      <c r="E121" s="544"/>
      <c r="F121" s="569"/>
      <c r="G121" s="544"/>
      <c r="H121" s="544"/>
      <c r="I121" s="544"/>
      <c r="J121" s="544"/>
      <c r="K121" s="569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</row>
    <row r="122" spans="1:28" x14ac:dyDescent="0.2">
      <c r="A122" s="544"/>
      <c r="B122" s="544"/>
      <c r="C122" s="544"/>
      <c r="D122" s="544"/>
      <c r="E122" s="544"/>
      <c r="F122" s="569"/>
      <c r="G122" s="544"/>
      <c r="H122" s="544"/>
      <c r="I122" s="544"/>
      <c r="J122" s="544"/>
      <c r="K122" s="569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</row>
    <row r="123" spans="1:28" x14ac:dyDescent="0.2">
      <c r="A123" s="544"/>
      <c r="B123" s="544"/>
      <c r="C123" s="544"/>
      <c r="D123" s="544"/>
      <c r="E123" s="544"/>
      <c r="F123" s="569"/>
      <c r="G123" s="544"/>
      <c r="H123" s="544"/>
      <c r="I123" s="544"/>
      <c r="J123" s="544"/>
      <c r="K123" s="569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</row>
    <row r="124" spans="1:28" x14ac:dyDescent="0.2">
      <c r="A124" s="544"/>
      <c r="B124" s="544"/>
      <c r="C124" s="544"/>
      <c r="D124" s="544"/>
      <c r="E124" s="544"/>
      <c r="F124" s="569"/>
      <c r="G124" s="544"/>
      <c r="H124" s="544"/>
      <c r="I124" s="544"/>
      <c r="J124" s="544"/>
      <c r="K124" s="569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</row>
    <row r="125" spans="1:28" x14ac:dyDescent="0.2">
      <c r="A125" s="544"/>
      <c r="B125" s="544"/>
      <c r="C125" s="544"/>
      <c r="D125" s="544"/>
      <c r="E125" s="544"/>
      <c r="F125" s="569"/>
      <c r="G125" s="544"/>
      <c r="H125" s="544"/>
      <c r="I125" s="544"/>
      <c r="J125" s="544"/>
      <c r="K125" s="569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</row>
    <row r="126" spans="1:28" x14ac:dyDescent="0.2">
      <c r="A126" s="544"/>
      <c r="B126" s="544"/>
      <c r="C126" s="544"/>
      <c r="D126" s="544"/>
      <c r="E126" s="544"/>
      <c r="F126" s="569"/>
      <c r="G126" s="544"/>
      <c r="H126" s="544"/>
      <c r="I126" s="544"/>
      <c r="J126" s="544"/>
      <c r="K126" s="569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</row>
    <row r="127" spans="1:28" x14ac:dyDescent="0.2">
      <c r="A127" s="544"/>
      <c r="B127" s="544"/>
      <c r="C127" s="544"/>
      <c r="D127" s="544"/>
      <c r="E127" s="544"/>
      <c r="F127" s="569"/>
      <c r="G127" s="544"/>
      <c r="H127" s="544"/>
      <c r="I127" s="544"/>
      <c r="J127" s="544"/>
      <c r="K127" s="569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</row>
    <row r="128" spans="1:28" x14ac:dyDescent="0.2">
      <c r="A128" s="544"/>
      <c r="B128" s="544"/>
      <c r="C128" s="544"/>
      <c r="D128" s="544"/>
      <c r="E128" s="544"/>
      <c r="F128" s="569"/>
      <c r="G128" s="544"/>
      <c r="H128" s="544"/>
      <c r="I128" s="544"/>
      <c r="J128" s="544"/>
      <c r="K128" s="569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</row>
    <row r="129" spans="1:28" x14ac:dyDescent="0.2">
      <c r="A129" s="544"/>
      <c r="B129" s="544"/>
      <c r="C129" s="544"/>
      <c r="D129" s="544"/>
      <c r="E129" s="544"/>
      <c r="F129" s="569"/>
      <c r="G129" s="544"/>
      <c r="H129" s="544"/>
      <c r="I129" s="544"/>
      <c r="J129" s="544"/>
      <c r="K129" s="569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</row>
    <row r="130" spans="1:28" x14ac:dyDescent="0.2">
      <c r="A130" s="544"/>
      <c r="B130" s="544"/>
      <c r="C130" s="544"/>
      <c r="D130" s="544"/>
      <c r="E130" s="544"/>
      <c r="F130" s="569"/>
      <c r="G130" s="544"/>
      <c r="H130" s="544"/>
      <c r="I130" s="544"/>
      <c r="J130" s="544"/>
      <c r="K130" s="569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</row>
    <row r="131" spans="1:28" x14ac:dyDescent="0.2">
      <c r="A131" s="544"/>
      <c r="B131" s="544"/>
      <c r="C131" s="544"/>
      <c r="D131" s="544"/>
      <c r="E131" s="544"/>
      <c r="F131" s="569"/>
      <c r="G131" s="544"/>
      <c r="H131" s="544"/>
      <c r="I131" s="544"/>
      <c r="J131" s="544"/>
      <c r="K131" s="569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</row>
    <row r="132" spans="1:28" x14ac:dyDescent="0.2">
      <c r="A132" s="544"/>
      <c r="B132" s="544"/>
      <c r="C132" s="544"/>
      <c r="D132" s="544"/>
      <c r="E132" s="544"/>
      <c r="F132" s="569"/>
      <c r="G132" s="544"/>
      <c r="H132" s="544"/>
      <c r="I132" s="544"/>
      <c r="J132" s="544"/>
      <c r="K132" s="569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</row>
    <row r="133" spans="1:28" x14ac:dyDescent="0.2">
      <c r="A133" s="544"/>
      <c r="B133" s="544"/>
      <c r="C133" s="544"/>
      <c r="D133" s="544"/>
      <c r="E133" s="544"/>
      <c r="F133" s="569"/>
      <c r="G133" s="544"/>
      <c r="H133" s="544"/>
      <c r="I133" s="544"/>
      <c r="J133" s="544"/>
      <c r="K133" s="569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</row>
    <row r="134" spans="1:28" x14ac:dyDescent="0.2">
      <c r="A134" s="544"/>
      <c r="B134" s="544"/>
      <c r="C134" s="544"/>
      <c r="D134" s="544"/>
      <c r="E134" s="544"/>
      <c r="F134" s="569"/>
      <c r="G134" s="544"/>
      <c r="H134" s="544"/>
      <c r="I134" s="544"/>
      <c r="J134" s="544"/>
      <c r="K134" s="569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</row>
    <row r="135" spans="1:28" x14ac:dyDescent="0.2">
      <c r="A135" s="544"/>
      <c r="B135" s="544"/>
      <c r="C135" s="544"/>
      <c r="D135" s="544"/>
      <c r="E135" s="544"/>
      <c r="F135" s="569"/>
      <c r="G135" s="544"/>
      <c r="H135" s="544"/>
      <c r="I135" s="544"/>
      <c r="J135" s="544"/>
      <c r="K135" s="569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</row>
    <row r="136" spans="1:28" x14ac:dyDescent="0.2">
      <c r="A136" s="544"/>
      <c r="B136" s="544"/>
      <c r="C136" s="544"/>
      <c r="D136" s="544"/>
      <c r="E136" s="544"/>
      <c r="F136" s="569"/>
      <c r="G136" s="544"/>
      <c r="H136" s="544"/>
      <c r="I136" s="544"/>
      <c r="J136" s="544"/>
      <c r="K136" s="569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</row>
    <row r="137" spans="1:28" x14ac:dyDescent="0.2">
      <c r="A137" s="544"/>
      <c r="B137" s="544"/>
      <c r="C137" s="544"/>
      <c r="D137" s="544"/>
      <c r="E137" s="544"/>
      <c r="F137" s="569"/>
      <c r="G137" s="544"/>
      <c r="H137" s="544"/>
      <c r="I137" s="544"/>
      <c r="J137" s="544"/>
      <c r="K137" s="569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</row>
    <row r="138" spans="1:28" x14ac:dyDescent="0.2">
      <c r="A138" s="544"/>
      <c r="B138" s="544"/>
      <c r="C138" s="544"/>
      <c r="D138" s="544"/>
      <c r="E138" s="544"/>
      <c r="F138" s="569"/>
      <c r="G138" s="544"/>
      <c r="H138" s="544"/>
      <c r="I138" s="544"/>
      <c r="J138" s="544"/>
      <c r="K138" s="569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</row>
    <row r="139" spans="1:28" x14ac:dyDescent="0.2">
      <c r="A139" s="544"/>
      <c r="B139" s="544"/>
      <c r="C139" s="544"/>
      <c r="D139" s="544"/>
      <c r="E139" s="544"/>
      <c r="F139" s="569"/>
      <c r="G139" s="544"/>
      <c r="H139" s="544"/>
      <c r="I139" s="544"/>
      <c r="J139" s="544"/>
      <c r="K139" s="569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</row>
    <row r="140" spans="1:28" x14ac:dyDescent="0.2">
      <c r="A140" s="544"/>
      <c r="B140" s="544"/>
      <c r="C140" s="544"/>
      <c r="D140" s="544"/>
      <c r="E140" s="544"/>
      <c r="F140" s="569"/>
      <c r="G140" s="544"/>
      <c r="H140" s="544"/>
      <c r="I140" s="544"/>
      <c r="J140" s="544"/>
      <c r="K140" s="569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</row>
    <row r="141" spans="1:28" x14ac:dyDescent="0.2">
      <c r="A141" s="544"/>
      <c r="B141" s="544"/>
      <c r="C141" s="544"/>
      <c r="D141" s="544"/>
      <c r="E141" s="544"/>
      <c r="F141" s="569"/>
      <c r="G141" s="544"/>
      <c r="H141" s="544"/>
      <c r="I141" s="544"/>
      <c r="J141" s="544"/>
      <c r="K141" s="569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</row>
    <row r="142" spans="1:28" x14ac:dyDescent="0.2">
      <c r="A142" s="544"/>
      <c r="B142" s="544"/>
      <c r="C142" s="544"/>
      <c r="D142" s="544"/>
      <c r="E142" s="544"/>
      <c r="F142" s="569"/>
      <c r="G142" s="544"/>
      <c r="H142" s="544"/>
      <c r="I142" s="544"/>
      <c r="J142" s="544"/>
      <c r="K142" s="569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</row>
    <row r="143" spans="1:28" x14ac:dyDescent="0.2">
      <c r="A143" s="544"/>
      <c r="B143" s="544"/>
      <c r="C143" s="544"/>
      <c r="D143" s="544"/>
      <c r="E143" s="544"/>
      <c r="F143" s="569"/>
      <c r="G143" s="544"/>
      <c r="H143" s="544"/>
      <c r="I143" s="544"/>
      <c r="J143" s="544"/>
      <c r="K143" s="569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</row>
    <row r="144" spans="1:28" x14ac:dyDescent="0.2">
      <c r="A144" s="544"/>
      <c r="B144" s="544"/>
      <c r="C144" s="544"/>
      <c r="D144" s="544"/>
      <c r="E144" s="544"/>
      <c r="F144" s="569"/>
      <c r="G144" s="544"/>
      <c r="H144" s="544"/>
      <c r="I144" s="544"/>
      <c r="J144" s="544"/>
      <c r="K144" s="569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</row>
    <row r="145" spans="1:28" x14ac:dyDescent="0.2">
      <c r="A145" s="544"/>
      <c r="B145" s="544"/>
      <c r="C145" s="544"/>
      <c r="D145" s="544"/>
      <c r="E145" s="544"/>
      <c r="F145" s="569"/>
      <c r="G145" s="544"/>
      <c r="H145" s="544"/>
      <c r="I145" s="544"/>
      <c r="J145" s="544"/>
      <c r="K145" s="569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</row>
    <row r="146" spans="1:28" x14ac:dyDescent="0.2">
      <c r="A146" s="544"/>
      <c r="B146" s="544"/>
      <c r="C146" s="544"/>
      <c r="D146" s="544"/>
      <c r="E146" s="544"/>
      <c r="F146" s="569"/>
      <c r="G146" s="544"/>
      <c r="H146" s="544"/>
      <c r="I146" s="544"/>
      <c r="J146" s="544"/>
      <c r="K146" s="569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</row>
    <row r="147" spans="1:28" x14ac:dyDescent="0.2">
      <c r="A147" s="544"/>
      <c r="B147" s="544"/>
      <c r="C147" s="544"/>
      <c r="D147" s="544"/>
      <c r="E147" s="544"/>
      <c r="F147" s="569"/>
      <c r="G147" s="544"/>
      <c r="H147" s="544"/>
      <c r="I147" s="544"/>
      <c r="J147" s="544"/>
      <c r="K147" s="569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</row>
    <row r="148" spans="1:28" x14ac:dyDescent="0.2">
      <c r="A148" s="544"/>
      <c r="B148" s="544"/>
      <c r="C148" s="544"/>
      <c r="D148" s="544"/>
      <c r="E148" s="544"/>
      <c r="F148" s="569"/>
      <c r="G148" s="544"/>
      <c r="H148" s="544"/>
      <c r="I148" s="544"/>
      <c r="J148" s="544"/>
      <c r="K148" s="569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</row>
    <row r="149" spans="1:28" x14ac:dyDescent="0.2">
      <c r="A149" s="544"/>
      <c r="B149" s="544"/>
      <c r="C149" s="544"/>
      <c r="D149" s="544"/>
      <c r="E149" s="544"/>
      <c r="F149" s="569"/>
      <c r="G149" s="544"/>
      <c r="H149" s="544"/>
      <c r="I149" s="544"/>
      <c r="J149" s="544"/>
      <c r="K149" s="569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</row>
    <row r="150" spans="1:28" x14ac:dyDescent="0.2">
      <c r="A150" s="544"/>
      <c r="B150" s="544"/>
      <c r="C150" s="544"/>
      <c r="D150" s="544"/>
      <c r="E150" s="544"/>
      <c r="F150" s="569"/>
      <c r="G150" s="544"/>
      <c r="H150" s="544"/>
      <c r="I150" s="544"/>
      <c r="J150" s="544"/>
      <c r="K150" s="569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</row>
    <row r="151" spans="1:28" x14ac:dyDescent="0.2">
      <c r="A151" s="544"/>
      <c r="B151" s="544"/>
      <c r="C151" s="544"/>
      <c r="D151" s="544"/>
      <c r="E151" s="544"/>
      <c r="F151" s="569"/>
      <c r="G151" s="544"/>
      <c r="H151" s="544"/>
      <c r="I151" s="544"/>
      <c r="J151" s="544"/>
      <c r="K151" s="569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</row>
    <row r="152" spans="1:28" x14ac:dyDescent="0.2">
      <c r="A152" s="544"/>
      <c r="B152" s="544"/>
      <c r="C152" s="544"/>
      <c r="D152" s="544"/>
      <c r="E152" s="544"/>
      <c r="F152" s="569"/>
      <c r="G152" s="544"/>
      <c r="H152" s="544"/>
      <c r="I152" s="544"/>
      <c r="J152" s="544"/>
      <c r="K152" s="569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</row>
    <row r="153" spans="1:28" x14ac:dyDescent="0.2">
      <c r="A153" s="544"/>
      <c r="B153" s="544"/>
      <c r="C153" s="544"/>
      <c r="D153" s="544"/>
      <c r="E153" s="544"/>
      <c r="F153" s="569"/>
      <c r="G153" s="544"/>
      <c r="H153" s="544"/>
      <c r="I153" s="544"/>
      <c r="J153" s="544"/>
      <c r="K153" s="569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</row>
    <row r="154" spans="1:28" x14ac:dyDescent="0.2">
      <c r="A154" s="544"/>
      <c r="B154" s="544"/>
      <c r="C154" s="544"/>
      <c r="D154" s="544"/>
      <c r="E154" s="544"/>
      <c r="F154" s="569"/>
      <c r="G154" s="544"/>
      <c r="H154" s="544"/>
      <c r="I154" s="544"/>
      <c r="J154" s="544"/>
      <c r="K154" s="569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</row>
    <row r="155" spans="1:28" x14ac:dyDescent="0.2">
      <c r="A155" s="544"/>
      <c r="B155" s="544"/>
      <c r="C155" s="544"/>
      <c r="D155" s="544"/>
      <c r="E155" s="544"/>
      <c r="F155" s="569"/>
      <c r="G155" s="544"/>
      <c r="H155" s="544"/>
      <c r="I155" s="544"/>
      <c r="J155" s="544"/>
      <c r="K155" s="569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</row>
    <row r="156" spans="1:28" x14ac:dyDescent="0.2">
      <c r="A156" s="544"/>
      <c r="B156" s="544"/>
      <c r="C156" s="544"/>
      <c r="D156" s="544"/>
      <c r="E156" s="544"/>
      <c r="F156" s="569"/>
      <c r="G156" s="544"/>
      <c r="H156" s="544"/>
      <c r="I156" s="544"/>
      <c r="J156" s="544"/>
      <c r="K156" s="569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</row>
    <row r="157" spans="1:28" x14ac:dyDescent="0.2">
      <c r="A157" s="544"/>
      <c r="B157" s="544"/>
      <c r="C157" s="544"/>
      <c r="D157" s="544"/>
      <c r="E157" s="544"/>
      <c r="F157" s="569"/>
      <c r="G157" s="544"/>
      <c r="H157" s="544"/>
      <c r="I157" s="544"/>
      <c r="J157" s="544"/>
      <c r="K157" s="569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</row>
    <row r="158" spans="1:28" x14ac:dyDescent="0.2">
      <c r="A158" s="544"/>
      <c r="B158" s="544"/>
      <c r="C158" s="544"/>
      <c r="D158" s="544"/>
      <c r="E158" s="544"/>
      <c r="F158" s="569"/>
      <c r="G158" s="544"/>
      <c r="H158" s="544"/>
      <c r="I158" s="544"/>
      <c r="J158" s="544"/>
      <c r="K158" s="569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</row>
    <row r="159" spans="1:28" x14ac:dyDescent="0.2">
      <c r="A159" s="544"/>
      <c r="B159" s="544"/>
      <c r="C159" s="544"/>
      <c r="D159" s="544"/>
      <c r="E159" s="544"/>
      <c r="F159" s="569"/>
      <c r="G159" s="544"/>
      <c r="H159" s="544"/>
      <c r="I159" s="544"/>
      <c r="J159" s="544"/>
      <c r="K159" s="569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</row>
    <row r="160" spans="1:28" x14ac:dyDescent="0.2">
      <c r="A160" s="544"/>
      <c r="B160" s="544"/>
      <c r="C160" s="544"/>
      <c r="D160" s="544"/>
      <c r="E160" s="544"/>
      <c r="F160" s="569"/>
      <c r="G160" s="544"/>
      <c r="H160" s="544"/>
      <c r="I160" s="544"/>
      <c r="J160" s="544"/>
      <c r="K160" s="569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</row>
    <row r="161" spans="1:28" x14ac:dyDescent="0.2">
      <c r="A161" s="544"/>
      <c r="B161" s="544"/>
      <c r="C161" s="544"/>
      <c r="D161" s="544"/>
      <c r="E161" s="544"/>
      <c r="F161" s="569"/>
      <c r="G161" s="544"/>
      <c r="H161" s="544"/>
      <c r="I161" s="544"/>
      <c r="J161" s="544"/>
      <c r="K161" s="569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</row>
    <row r="162" spans="1:28" x14ac:dyDescent="0.2">
      <c r="A162" s="544"/>
      <c r="B162" s="544"/>
      <c r="C162" s="544"/>
      <c r="D162" s="544"/>
      <c r="E162" s="544"/>
      <c r="F162" s="569"/>
      <c r="G162" s="544"/>
      <c r="H162" s="544"/>
      <c r="I162" s="544"/>
      <c r="J162" s="544"/>
      <c r="K162" s="569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</row>
    <row r="163" spans="1:28" x14ac:dyDescent="0.2">
      <c r="A163" s="544"/>
      <c r="B163" s="544"/>
      <c r="C163" s="544"/>
      <c r="D163" s="544"/>
      <c r="E163" s="544"/>
      <c r="F163" s="569"/>
      <c r="G163" s="544"/>
      <c r="H163" s="544"/>
      <c r="I163" s="544"/>
      <c r="J163" s="544"/>
      <c r="K163" s="569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</row>
    <row r="164" spans="1:28" x14ac:dyDescent="0.2">
      <c r="A164" s="544"/>
      <c r="B164" s="544"/>
      <c r="C164" s="544"/>
      <c r="D164" s="544"/>
      <c r="E164" s="544"/>
      <c r="F164" s="569"/>
      <c r="G164" s="544"/>
      <c r="H164" s="544"/>
      <c r="I164" s="544"/>
      <c r="J164" s="544"/>
      <c r="K164" s="569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</row>
    <row r="165" spans="1:28" x14ac:dyDescent="0.2">
      <c r="A165" s="544"/>
      <c r="B165" s="544"/>
      <c r="C165" s="544"/>
      <c r="D165" s="544"/>
      <c r="E165" s="544"/>
      <c r="F165" s="569"/>
      <c r="G165" s="544"/>
      <c r="H165" s="544"/>
      <c r="I165" s="544"/>
      <c r="J165" s="544"/>
      <c r="K165" s="569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</row>
    <row r="166" spans="1:28" x14ac:dyDescent="0.2">
      <c r="A166" s="544"/>
      <c r="B166" s="544"/>
      <c r="C166" s="544"/>
      <c r="D166" s="544"/>
      <c r="E166" s="544"/>
      <c r="F166" s="569"/>
      <c r="G166" s="544"/>
      <c r="H166" s="544"/>
      <c r="I166" s="544"/>
      <c r="J166" s="544"/>
      <c r="K166" s="569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</row>
    <row r="167" spans="1:28" x14ac:dyDescent="0.2">
      <c r="A167" s="544"/>
      <c r="B167" s="544"/>
      <c r="C167" s="544"/>
      <c r="D167" s="544"/>
      <c r="E167" s="544"/>
      <c r="F167" s="569"/>
      <c r="G167" s="544"/>
      <c r="H167" s="544"/>
      <c r="I167" s="544"/>
      <c r="J167" s="544"/>
      <c r="K167" s="569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</row>
    <row r="168" spans="1:28" x14ac:dyDescent="0.2">
      <c r="A168" s="544"/>
      <c r="B168" s="544"/>
      <c r="C168" s="544"/>
      <c r="D168" s="544"/>
      <c r="E168" s="544"/>
      <c r="F168" s="569"/>
      <c r="G168" s="544"/>
      <c r="H168" s="544"/>
      <c r="I168" s="544"/>
      <c r="J168" s="544"/>
      <c r="K168" s="569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</row>
    <row r="169" spans="1:28" x14ac:dyDescent="0.2">
      <c r="A169" s="544"/>
      <c r="B169" s="544"/>
      <c r="C169" s="544"/>
      <c r="D169" s="544"/>
      <c r="E169" s="544"/>
      <c r="F169" s="569"/>
      <c r="G169" s="544"/>
      <c r="H169" s="544"/>
      <c r="I169" s="544"/>
      <c r="J169" s="544"/>
      <c r="K169" s="569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</row>
    <row r="170" spans="1:28" x14ac:dyDescent="0.2">
      <c r="A170" s="544"/>
      <c r="B170" s="544"/>
      <c r="C170" s="544"/>
      <c r="D170" s="544"/>
      <c r="E170" s="544"/>
      <c r="F170" s="569"/>
      <c r="G170" s="544"/>
      <c r="H170" s="544"/>
      <c r="I170" s="544"/>
      <c r="J170" s="544"/>
      <c r="K170" s="569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</row>
    <row r="171" spans="1:28" x14ac:dyDescent="0.2">
      <c r="A171" s="544"/>
      <c r="B171" s="544"/>
      <c r="C171" s="544"/>
      <c r="D171" s="544"/>
      <c r="E171" s="544"/>
      <c r="F171" s="569"/>
      <c r="G171" s="544"/>
      <c r="H171" s="544"/>
      <c r="I171" s="544"/>
      <c r="J171" s="544"/>
      <c r="K171" s="569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</row>
    <row r="172" spans="1:28" x14ac:dyDescent="0.2">
      <c r="A172" s="544"/>
      <c r="B172" s="544"/>
      <c r="C172" s="544"/>
      <c r="D172" s="544"/>
      <c r="E172" s="544"/>
      <c r="F172" s="569"/>
      <c r="G172" s="544"/>
      <c r="H172" s="544"/>
      <c r="I172" s="544"/>
      <c r="J172" s="544"/>
      <c r="K172" s="569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</row>
    <row r="173" spans="1:28" x14ac:dyDescent="0.2">
      <c r="A173" s="544"/>
      <c r="B173" s="544"/>
      <c r="C173" s="544"/>
      <c r="D173" s="544"/>
      <c r="E173" s="544"/>
      <c r="F173" s="569"/>
      <c r="G173" s="544"/>
      <c r="H173" s="544"/>
      <c r="I173" s="544"/>
      <c r="J173" s="544"/>
      <c r="K173" s="569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</row>
    <row r="174" spans="1:28" x14ac:dyDescent="0.2">
      <c r="A174" s="544"/>
      <c r="B174" s="544"/>
      <c r="C174" s="544"/>
      <c r="D174" s="544"/>
      <c r="E174" s="544"/>
      <c r="F174" s="569"/>
      <c r="G174" s="544"/>
      <c r="H174" s="544"/>
      <c r="I174" s="544"/>
      <c r="J174" s="544"/>
      <c r="K174" s="569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</row>
    <row r="175" spans="1:28" x14ac:dyDescent="0.2">
      <c r="A175" s="544"/>
      <c r="B175" s="544"/>
      <c r="C175" s="544"/>
      <c r="D175" s="544"/>
      <c r="E175" s="544"/>
      <c r="F175" s="569"/>
      <c r="G175" s="544"/>
      <c r="H175" s="544"/>
      <c r="I175" s="544"/>
      <c r="J175" s="544"/>
      <c r="K175" s="569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</row>
    <row r="176" spans="1:28" x14ac:dyDescent="0.2">
      <c r="A176" s="544"/>
      <c r="B176" s="544"/>
      <c r="C176" s="544"/>
      <c r="D176" s="544"/>
      <c r="E176" s="544"/>
      <c r="F176" s="569"/>
      <c r="G176" s="544"/>
      <c r="H176" s="544"/>
      <c r="I176" s="544"/>
      <c r="J176" s="544"/>
      <c r="K176" s="569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</row>
    <row r="177" spans="1:28" x14ac:dyDescent="0.2">
      <c r="A177" s="544"/>
      <c r="B177" s="544"/>
      <c r="C177" s="544"/>
      <c r="D177" s="544"/>
      <c r="E177" s="544"/>
      <c r="F177" s="569"/>
      <c r="G177" s="544"/>
      <c r="H177" s="544"/>
      <c r="I177" s="544"/>
      <c r="J177" s="544"/>
      <c r="K177" s="569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</row>
    <row r="178" spans="1:28" x14ac:dyDescent="0.2">
      <c r="A178" s="544"/>
      <c r="B178" s="544"/>
      <c r="C178" s="544"/>
      <c r="D178" s="544"/>
      <c r="E178" s="544"/>
      <c r="F178" s="569"/>
      <c r="G178" s="544"/>
      <c r="H178" s="544"/>
      <c r="I178" s="544"/>
      <c r="J178" s="544"/>
      <c r="K178" s="569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</row>
    <row r="179" spans="1:28" x14ac:dyDescent="0.2">
      <c r="A179" s="544"/>
      <c r="B179" s="544"/>
      <c r="C179" s="544"/>
      <c r="D179" s="544"/>
      <c r="E179" s="544"/>
      <c r="F179" s="569"/>
      <c r="G179" s="544"/>
      <c r="H179" s="544"/>
      <c r="I179" s="544"/>
      <c r="J179" s="544"/>
      <c r="K179" s="569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</row>
    <row r="180" spans="1:28" x14ac:dyDescent="0.2">
      <c r="A180" s="544"/>
      <c r="B180" s="544"/>
      <c r="C180" s="544"/>
      <c r="D180" s="544"/>
      <c r="E180" s="544"/>
      <c r="F180" s="569"/>
      <c r="G180" s="544"/>
      <c r="H180" s="544"/>
      <c r="I180" s="544"/>
      <c r="J180" s="544"/>
      <c r="K180" s="569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</row>
    <row r="181" spans="1:28" x14ac:dyDescent="0.2">
      <c r="A181" s="544"/>
      <c r="B181" s="544"/>
      <c r="C181" s="544"/>
      <c r="D181" s="544"/>
      <c r="E181" s="544"/>
      <c r="F181" s="569"/>
      <c r="G181" s="544"/>
      <c r="H181" s="544"/>
      <c r="I181" s="544"/>
      <c r="J181" s="544"/>
      <c r="K181" s="569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</row>
    <row r="182" spans="1:28" x14ac:dyDescent="0.2">
      <c r="A182" s="544"/>
      <c r="B182" s="544"/>
      <c r="C182" s="544"/>
      <c r="D182" s="544"/>
      <c r="E182" s="544"/>
      <c r="F182" s="569"/>
      <c r="G182" s="544"/>
      <c r="H182" s="544"/>
      <c r="I182" s="544"/>
      <c r="J182" s="544"/>
      <c r="K182" s="569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</row>
    <row r="183" spans="1:28" x14ac:dyDescent="0.2">
      <c r="A183" s="544"/>
      <c r="B183" s="544"/>
      <c r="C183" s="544"/>
      <c r="D183" s="544"/>
      <c r="E183" s="544"/>
      <c r="F183" s="569"/>
      <c r="G183" s="544"/>
      <c r="H183" s="544"/>
      <c r="I183" s="544"/>
      <c r="J183" s="544"/>
      <c r="K183" s="569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</row>
    <row r="184" spans="1:28" x14ac:dyDescent="0.2">
      <c r="A184" s="544"/>
      <c r="B184" s="544"/>
      <c r="C184" s="544"/>
      <c r="D184" s="544"/>
      <c r="E184" s="544"/>
      <c r="F184" s="569"/>
      <c r="G184" s="544"/>
      <c r="H184" s="544"/>
      <c r="I184" s="544"/>
      <c r="J184" s="544"/>
      <c r="K184" s="569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</row>
    <row r="185" spans="1:28" x14ac:dyDescent="0.2">
      <c r="A185" s="544"/>
      <c r="B185" s="544"/>
      <c r="C185" s="544"/>
      <c r="D185" s="544"/>
      <c r="E185" s="544"/>
      <c r="F185" s="569"/>
      <c r="G185" s="544"/>
      <c r="H185" s="544"/>
      <c r="I185" s="544"/>
      <c r="J185" s="544"/>
      <c r="K185" s="569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</row>
    <row r="186" spans="1:28" x14ac:dyDescent="0.2">
      <c r="A186" s="544"/>
      <c r="B186" s="544"/>
      <c r="C186" s="544"/>
      <c r="D186" s="544"/>
      <c r="E186" s="544"/>
      <c r="F186" s="569"/>
      <c r="G186" s="544"/>
      <c r="H186" s="544"/>
      <c r="I186" s="544"/>
      <c r="J186" s="544"/>
      <c r="K186" s="569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</row>
    <row r="187" spans="1:28" x14ac:dyDescent="0.2">
      <c r="A187" s="544"/>
      <c r="B187" s="544"/>
      <c r="C187" s="544"/>
      <c r="D187" s="544"/>
      <c r="E187" s="544"/>
      <c r="F187" s="569"/>
      <c r="G187" s="544"/>
      <c r="H187" s="544"/>
      <c r="I187" s="544"/>
      <c r="J187" s="544"/>
      <c r="K187" s="569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</row>
    <row r="188" spans="1:28" x14ac:dyDescent="0.2">
      <c r="A188" s="544"/>
      <c r="B188" s="544"/>
      <c r="C188" s="544"/>
      <c r="D188" s="544"/>
      <c r="E188" s="544"/>
      <c r="F188" s="569"/>
      <c r="G188" s="544"/>
      <c r="H188" s="544"/>
      <c r="I188" s="544"/>
      <c r="J188" s="544"/>
      <c r="K188" s="569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</row>
    <row r="189" spans="1:28" x14ac:dyDescent="0.2">
      <c r="A189" s="544"/>
      <c r="B189" s="544"/>
      <c r="C189" s="544"/>
      <c r="D189" s="544"/>
      <c r="E189" s="544"/>
      <c r="F189" s="569"/>
      <c r="G189" s="544"/>
      <c r="H189" s="544"/>
      <c r="I189" s="544"/>
      <c r="J189" s="544"/>
      <c r="K189" s="569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</row>
    <row r="190" spans="1:28" x14ac:dyDescent="0.2">
      <c r="A190" s="544"/>
      <c r="B190" s="544"/>
      <c r="C190" s="544"/>
      <c r="D190" s="544"/>
      <c r="E190" s="544"/>
      <c r="F190" s="569"/>
      <c r="G190" s="544"/>
      <c r="H190" s="544"/>
      <c r="I190" s="544"/>
      <c r="J190" s="544"/>
      <c r="K190" s="569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</row>
    <row r="191" spans="1:28" x14ac:dyDescent="0.2">
      <c r="A191" s="544"/>
      <c r="B191" s="544"/>
      <c r="C191" s="544"/>
      <c r="D191" s="544"/>
      <c r="E191" s="544"/>
      <c r="F191" s="569"/>
      <c r="G191" s="544"/>
      <c r="H191" s="544"/>
      <c r="I191" s="544"/>
      <c r="J191" s="544"/>
      <c r="K191" s="569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</row>
    <row r="192" spans="1:28" x14ac:dyDescent="0.2">
      <c r="A192" s="544"/>
      <c r="B192" s="544"/>
      <c r="C192" s="544"/>
      <c r="D192" s="544"/>
      <c r="E192" s="544"/>
      <c r="F192" s="569"/>
      <c r="G192" s="544"/>
      <c r="H192" s="544"/>
      <c r="I192" s="544"/>
      <c r="J192" s="544"/>
      <c r="K192" s="569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</row>
    <row r="193" spans="1:28" x14ac:dyDescent="0.2">
      <c r="A193" s="544"/>
      <c r="B193" s="544"/>
      <c r="C193" s="544"/>
      <c r="D193" s="544"/>
      <c r="E193" s="544"/>
      <c r="F193" s="569"/>
      <c r="G193" s="544"/>
      <c r="H193" s="544"/>
      <c r="I193" s="544"/>
      <c r="J193" s="544"/>
      <c r="K193" s="569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</row>
    <row r="194" spans="1:28" x14ac:dyDescent="0.2">
      <c r="A194" s="544"/>
      <c r="B194" s="544"/>
      <c r="C194" s="544"/>
      <c r="D194" s="544"/>
      <c r="E194" s="544"/>
      <c r="F194" s="569"/>
      <c r="G194" s="544"/>
      <c r="H194" s="544"/>
      <c r="I194" s="544"/>
      <c r="J194" s="544"/>
      <c r="K194" s="569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44"/>
      <c r="AB194" s="544"/>
    </row>
    <row r="195" spans="1:28" x14ac:dyDescent="0.2">
      <c r="A195" s="544"/>
      <c r="B195" s="544"/>
      <c r="C195" s="544"/>
      <c r="D195" s="544"/>
      <c r="E195" s="544"/>
      <c r="F195" s="569"/>
      <c r="G195" s="544"/>
      <c r="H195" s="544"/>
      <c r="I195" s="544"/>
      <c r="J195" s="544"/>
      <c r="K195" s="569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  <c r="AA195" s="544"/>
      <c r="AB195" s="544"/>
    </row>
    <row r="196" spans="1:28" x14ac:dyDescent="0.2">
      <c r="A196" s="544"/>
      <c r="B196" s="544"/>
      <c r="C196" s="544"/>
      <c r="D196" s="544"/>
      <c r="E196" s="544"/>
      <c r="F196" s="569"/>
      <c r="G196" s="544"/>
      <c r="H196" s="544"/>
      <c r="I196" s="544"/>
      <c r="J196" s="544"/>
      <c r="K196" s="569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  <c r="AA196" s="544"/>
      <c r="AB196" s="544"/>
    </row>
    <row r="197" spans="1:28" x14ac:dyDescent="0.2">
      <c r="A197" s="544"/>
      <c r="B197" s="544"/>
      <c r="C197" s="544"/>
      <c r="D197" s="544"/>
      <c r="E197" s="544"/>
      <c r="F197" s="569"/>
      <c r="G197" s="544"/>
      <c r="H197" s="544"/>
      <c r="I197" s="544"/>
      <c r="J197" s="544"/>
      <c r="K197" s="569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  <c r="AA197" s="544"/>
      <c r="AB197" s="544"/>
    </row>
    <row r="198" spans="1:28" x14ac:dyDescent="0.2">
      <c r="A198" s="544"/>
      <c r="B198" s="544"/>
      <c r="C198" s="544"/>
      <c r="D198" s="544"/>
      <c r="E198" s="544"/>
      <c r="F198" s="569"/>
      <c r="G198" s="544"/>
      <c r="H198" s="544"/>
      <c r="I198" s="544"/>
      <c r="J198" s="544"/>
      <c r="K198" s="569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  <c r="AA198" s="544"/>
      <c r="AB198" s="544"/>
    </row>
    <row r="199" spans="1:28" x14ac:dyDescent="0.2">
      <c r="A199" s="544"/>
      <c r="B199" s="544"/>
      <c r="C199" s="544"/>
      <c r="D199" s="544"/>
      <c r="E199" s="544"/>
      <c r="F199" s="569"/>
      <c r="G199" s="544"/>
      <c r="H199" s="544"/>
      <c r="I199" s="544"/>
      <c r="J199" s="544"/>
      <c r="K199" s="569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  <c r="AA199" s="544"/>
      <c r="AB199" s="544"/>
    </row>
    <row r="200" spans="1:28" x14ac:dyDescent="0.2">
      <c r="A200" s="544"/>
      <c r="B200" s="544"/>
      <c r="C200" s="544"/>
      <c r="D200" s="544"/>
      <c r="E200" s="544"/>
      <c r="F200" s="569"/>
      <c r="G200" s="544"/>
      <c r="H200" s="544"/>
      <c r="I200" s="544"/>
      <c r="J200" s="544"/>
      <c r="K200" s="569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  <c r="AA200" s="544"/>
      <c r="AB200" s="544"/>
    </row>
    <row r="201" spans="1:28" x14ac:dyDescent="0.2">
      <c r="A201" s="544"/>
      <c r="B201" s="544"/>
      <c r="C201" s="544"/>
      <c r="D201" s="544"/>
      <c r="E201" s="544"/>
      <c r="F201" s="569"/>
      <c r="G201" s="544"/>
      <c r="H201" s="544"/>
      <c r="I201" s="544"/>
      <c r="J201" s="544"/>
      <c r="K201" s="569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  <c r="AA201" s="544"/>
      <c r="AB201" s="544"/>
    </row>
    <row r="202" spans="1:28" x14ac:dyDescent="0.2">
      <c r="A202" s="544"/>
      <c r="B202" s="544"/>
      <c r="C202" s="544"/>
      <c r="D202" s="544"/>
      <c r="E202" s="544"/>
      <c r="F202" s="569"/>
      <c r="G202" s="544"/>
      <c r="H202" s="544"/>
      <c r="I202" s="544"/>
      <c r="J202" s="544"/>
      <c r="K202" s="569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  <c r="AA202" s="544"/>
      <c r="AB202" s="544"/>
    </row>
    <row r="203" spans="1:28" x14ac:dyDescent="0.2">
      <c r="A203" s="544"/>
      <c r="B203" s="544"/>
      <c r="C203" s="544"/>
      <c r="D203" s="544"/>
      <c r="E203" s="544"/>
      <c r="F203" s="569"/>
      <c r="G203" s="544"/>
      <c r="H203" s="544"/>
      <c r="I203" s="544"/>
      <c r="J203" s="544"/>
      <c r="K203" s="569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  <c r="AA203" s="544"/>
      <c r="AB203" s="544"/>
    </row>
    <row r="204" spans="1:28" x14ac:dyDescent="0.2">
      <c r="A204" s="544"/>
      <c r="B204" s="544"/>
      <c r="C204" s="544"/>
      <c r="D204" s="544"/>
      <c r="E204" s="544"/>
      <c r="F204" s="569"/>
      <c r="G204" s="544"/>
      <c r="H204" s="544"/>
      <c r="I204" s="544"/>
      <c r="J204" s="544"/>
      <c r="K204" s="569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  <c r="AA204" s="544"/>
      <c r="AB204" s="544"/>
    </row>
    <row r="205" spans="1:28" x14ac:dyDescent="0.2">
      <c r="A205" s="544"/>
      <c r="B205" s="544"/>
      <c r="C205" s="544"/>
      <c r="D205" s="544"/>
      <c r="E205" s="544"/>
      <c r="F205" s="569"/>
      <c r="G205" s="544"/>
      <c r="H205" s="544"/>
      <c r="I205" s="544"/>
      <c r="J205" s="544"/>
      <c r="K205" s="569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44"/>
      <c r="AB205" s="544"/>
    </row>
    <row r="206" spans="1:28" x14ac:dyDescent="0.2">
      <c r="A206" s="544"/>
      <c r="B206" s="544"/>
      <c r="C206" s="544"/>
      <c r="D206" s="544"/>
      <c r="E206" s="544"/>
      <c r="F206" s="569"/>
      <c r="G206" s="544"/>
      <c r="H206" s="544"/>
      <c r="I206" s="544"/>
      <c r="J206" s="544"/>
      <c r="K206" s="569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  <c r="AA206" s="544"/>
      <c r="AB206" s="544"/>
    </row>
    <row r="207" spans="1:28" x14ac:dyDescent="0.2">
      <c r="A207" s="544"/>
      <c r="B207" s="544"/>
      <c r="C207" s="544"/>
      <c r="D207" s="544"/>
      <c r="E207" s="544"/>
      <c r="F207" s="569"/>
      <c r="G207" s="544"/>
      <c r="H207" s="544"/>
      <c r="I207" s="544"/>
      <c r="J207" s="544"/>
      <c r="K207" s="569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  <c r="AA207" s="544"/>
      <c r="AB207" s="544"/>
    </row>
    <row r="208" spans="1:28" x14ac:dyDescent="0.2">
      <c r="A208" s="544"/>
      <c r="B208" s="544"/>
      <c r="C208" s="544"/>
      <c r="D208" s="544"/>
      <c r="E208" s="544"/>
      <c r="F208" s="569"/>
      <c r="G208" s="544"/>
      <c r="H208" s="544"/>
      <c r="I208" s="544"/>
      <c r="J208" s="544"/>
      <c r="K208" s="569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  <c r="AA208" s="544"/>
      <c r="AB208" s="544"/>
    </row>
    <row r="209" spans="1:28" x14ac:dyDescent="0.2">
      <c r="A209" s="544"/>
      <c r="B209" s="544"/>
      <c r="C209" s="544"/>
      <c r="D209" s="544"/>
      <c r="E209" s="544"/>
      <c r="F209" s="569"/>
      <c r="G209" s="544"/>
      <c r="H209" s="544"/>
      <c r="I209" s="544"/>
      <c r="J209" s="544"/>
      <c r="K209" s="569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  <c r="AA209" s="544"/>
      <c r="AB209" s="544"/>
    </row>
    <row r="210" spans="1:28" x14ac:dyDescent="0.2">
      <c r="A210" s="544"/>
      <c r="B210" s="544"/>
      <c r="C210" s="544"/>
      <c r="D210" s="544"/>
      <c r="E210" s="544"/>
      <c r="F210" s="569"/>
      <c r="G210" s="544"/>
      <c r="H210" s="544"/>
      <c r="I210" s="544"/>
      <c r="J210" s="544"/>
      <c r="K210" s="569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  <c r="AA210" s="544"/>
      <c r="AB210" s="544"/>
    </row>
    <row r="211" spans="1:28" x14ac:dyDescent="0.2">
      <c r="A211" s="544"/>
      <c r="B211" s="544"/>
      <c r="C211" s="544"/>
      <c r="D211" s="544"/>
      <c r="E211" s="544"/>
      <c r="F211" s="569"/>
      <c r="G211" s="544"/>
      <c r="H211" s="544"/>
      <c r="I211" s="544"/>
      <c r="J211" s="544"/>
      <c r="K211" s="569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  <c r="AA211" s="544"/>
      <c r="AB211" s="544"/>
    </row>
    <row r="212" spans="1:28" x14ac:dyDescent="0.2">
      <c r="A212" s="544"/>
      <c r="B212" s="544"/>
      <c r="C212" s="544"/>
      <c r="D212" s="544"/>
      <c r="E212" s="544"/>
      <c r="F212" s="569"/>
      <c r="G212" s="544"/>
      <c r="H212" s="544"/>
      <c r="I212" s="544"/>
      <c r="J212" s="544"/>
      <c r="K212" s="569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  <c r="AA212" s="544"/>
      <c r="AB212" s="544"/>
    </row>
    <row r="213" spans="1:28" x14ac:dyDescent="0.2">
      <c r="A213" s="544"/>
      <c r="B213" s="544"/>
      <c r="C213" s="544"/>
      <c r="D213" s="544"/>
      <c r="E213" s="544"/>
      <c r="F213" s="569"/>
      <c r="G213" s="544"/>
      <c r="H213" s="544"/>
      <c r="I213" s="544"/>
      <c r="J213" s="544"/>
      <c r="K213" s="569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  <c r="AA213" s="544"/>
      <c r="AB213" s="544"/>
    </row>
    <row r="214" spans="1:28" x14ac:dyDescent="0.2">
      <c r="A214" s="544"/>
      <c r="B214" s="544"/>
      <c r="C214" s="544"/>
      <c r="D214" s="544"/>
      <c r="E214" s="544"/>
      <c r="F214" s="569"/>
      <c r="G214" s="544"/>
      <c r="H214" s="544"/>
      <c r="I214" s="544"/>
      <c r="J214" s="544"/>
      <c r="K214" s="569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  <c r="AA214" s="544"/>
      <c r="AB214" s="544"/>
    </row>
    <row r="215" spans="1:28" x14ac:dyDescent="0.2">
      <c r="A215" s="544"/>
      <c r="B215" s="544"/>
      <c r="C215" s="544"/>
      <c r="D215" s="544"/>
      <c r="E215" s="544"/>
      <c r="F215" s="569"/>
      <c r="G215" s="544"/>
      <c r="H215" s="544"/>
      <c r="I215" s="544"/>
      <c r="J215" s="544"/>
      <c r="K215" s="569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  <c r="AA215" s="544"/>
      <c r="AB215" s="544"/>
    </row>
    <row r="216" spans="1:28" x14ac:dyDescent="0.2">
      <c r="A216" s="544"/>
      <c r="B216" s="544"/>
      <c r="C216" s="544"/>
      <c r="D216" s="544"/>
      <c r="E216" s="544"/>
      <c r="F216" s="569"/>
      <c r="G216" s="544"/>
      <c r="H216" s="544"/>
      <c r="I216" s="544"/>
      <c r="J216" s="544"/>
      <c r="K216" s="569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  <c r="AA216" s="544"/>
      <c r="AB216" s="544"/>
    </row>
    <row r="217" spans="1:28" x14ac:dyDescent="0.2">
      <c r="A217" s="544"/>
      <c r="B217" s="544"/>
      <c r="C217" s="544"/>
      <c r="D217" s="544"/>
      <c r="E217" s="544"/>
      <c r="F217" s="569"/>
      <c r="G217" s="544"/>
      <c r="H217" s="544"/>
      <c r="I217" s="544"/>
      <c r="J217" s="544"/>
      <c r="K217" s="569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44"/>
      <c r="AB217" s="544"/>
    </row>
    <row r="218" spans="1:28" x14ac:dyDescent="0.2">
      <c r="A218" s="544"/>
      <c r="B218" s="544"/>
      <c r="C218" s="544"/>
      <c r="D218" s="544"/>
      <c r="E218" s="544"/>
      <c r="F218" s="569"/>
      <c r="G218" s="544"/>
      <c r="H218" s="544"/>
      <c r="I218" s="544"/>
      <c r="J218" s="544"/>
      <c r="K218" s="569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  <c r="AA218" s="544"/>
      <c r="AB218" s="544"/>
    </row>
    <row r="219" spans="1:28" x14ac:dyDescent="0.2">
      <c r="A219" s="544"/>
      <c r="B219" s="544"/>
      <c r="C219" s="544"/>
      <c r="D219" s="544"/>
      <c r="E219" s="544"/>
      <c r="F219" s="569"/>
      <c r="G219" s="544"/>
      <c r="H219" s="544"/>
      <c r="I219" s="544"/>
      <c r="J219" s="544"/>
      <c r="K219" s="569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  <c r="AA219" s="544"/>
      <c r="AB219" s="544"/>
    </row>
    <row r="220" spans="1:28" x14ac:dyDescent="0.2">
      <c r="A220" s="544"/>
      <c r="B220" s="544"/>
      <c r="C220" s="544"/>
      <c r="D220" s="544"/>
      <c r="E220" s="544"/>
      <c r="F220" s="569"/>
      <c r="G220" s="544"/>
      <c r="H220" s="544"/>
      <c r="I220" s="544"/>
      <c r="J220" s="544"/>
      <c r="K220" s="569"/>
      <c r="L220" s="544"/>
      <c r="M220" s="544"/>
      <c r="N220" s="544"/>
      <c r="O220" s="544"/>
      <c r="P220" s="544"/>
      <c r="Q220" s="544"/>
      <c r="R220" s="544"/>
      <c r="S220" s="544"/>
      <c r="T220" s="544"/>
      <c r="U220" s="544"/>
      <c r="V220" s="544"/>
      <c r="W220" s="544"/>
      <c r="X220" s="544"/>
      <c r="Y220" s="544"/>
      <c r="Z220" s="544"/>
      <c r="AA220" s="544"/>
      <c r="AB220" s="544"/>
    </row>
    <row r="221" spans="1:28" x14ac:dyDescent="0.2">
      <c r="A221" s="544"/>
      <c r="B221" s="544"/>
      <c r="C221" s="544"/>
      <c r="D221" s="544"/>
      <c r="E221" s="544"/>
      <c r="F221" s="569"/>
      <c r="G221" s="544"/>
      <c r="H221" s="544"/>
      <c r="I221" s="544"/>
      <c r="J221" s="544"/>
      <c r="K221" s="569"/>
      <c r="L221" s="544"/>
      <c r="M221" s="544"/>
      <c r="N221" s="544"/>
      <c r="O221" s="544"/>
      <c r="P221" s="544"/>
      <c r="Q221" s="544"/>
      <c r="R221" s="544"/>
      <c r="S221" s="544"/>
      <c r="T221" s="544"/>
      <c r="U221" s="544"/>
      <c r="V221" s="544"/>
      <c r="W221" s="544"/>
      <c r="X221" s="544"/>
      <c r="Y221" s="544"/>
      <c r="Z221" s="544"/>
      <c r="AA221" s="544"/>
      <c r="AB221" s="544"/>
    </row>
    <row r="222" spans="1:28" x14ac:dyDescent="0.2">
      <c r="A222" s="544"/>
      <c r="B222" s="544"/>
      <c r="C222" s="544"/>
      <c r="D222" s="544"/>
      <c r="E222" s="544"/>
      <c r="F222" s="569"/>
      <c r="G222" s="544"/>
      <c r="H222" s="544"/>
      <c r="I222" s="544"/>
      <c r="J222" s="544"/>
      <c r="K222" s="569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44"/>
      <c r="AB222" s="544"/>
    </row>
    <row r="223" spans="1:28" x14ac:dyDescent="0.2">
      <c r="A223" s="544"/>
      <c r="B223" s="544"/>
      <c r="C223" s="544"/>
      <c r="D223" s="544"/>
      <c r="E223" s="544"/>
      <c r="F223" s="569"/>
      <c r="G223" s="544"/>
      <c r="H223" s="544"/>
      <c r="I223" s="544"/>
      <c r="J223" s="544"/>
      <c r="K223" s="569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44"/>
      <c r="AB223" s="544"/>
    </row>
    <row r="224" spans="1:28" x14ac:dyDescent="0.2">
      <c r="A224" s="544"/>
      <c r="B224" s="544"/>
      <c r="C224" s="544"/>
      <c r="D224" s="544"/>
      <c r="E224" s="544"/>
      <c r="F224" s="569"/>
      <c r="G224" s="544"/>
      <c r="H224" s="544"/>
      <c r="I224" s="544"/>
      <c r="J224" s="544"/>
      <c r="K224" s="569"/>
      <c r="L224" s="544"/>
      <c r="M224" s="544"/>
      <c r="N224" s="544"/>
      <c r="O224" s="544"/>
      <c r="P224" s="544"/>
      <c r="Q224" s="544"/>
      <c r="R224" s="544"/>
      <c r="S224" s="544"/>
      <c r="T224" s="544"/>
      <c r="U224" s="544"/>
      <c r="V224" s="544"/>
      <c r="W224" s="544"/>
      <c r="X224" s="544"/>
      <c r="Y224" s="544"/>
      <c r="Z224" s="544"/>
      <c r="AA224" s="544"/>
      <c r="AB224" s="544"/>
    </row>
    <row r="225" spans="1:28" x14ac:dyDescent="0.2">
      <c r="A225" s="544"/>
      <c r="B225" s="544"/>
      <c r="C225" s="544"/>
      <c r="D225" s="544"/>
      <c r="E225" s="544"/>
      <c r="F225" s="569"/>
      <c r="G225" s="544"/>
      <c r="H225" s="544"/>
      <c r="I225" s="544"/>
      <c r="J225" s="544"/>
      <c r="K225" s="569"/>
      <c r="L225" s="544"/>
      <c r="M225" s="544"/>
      <c r="N225" s="544"/>
      <c r="O225" s="544"/>
      <c r="P225" s="544"/>
      <c r="Q225" s="544"/>
      <c r="R225" s="544"/>
      <c r="S225" s="544"/>
      <c r="T225" s="544"/>
      <c r="U225" s="544"/>
      <c r="V225" s="544"/>
      <c r="W225" s="544"/>
      <c r="X225" s="544"/>
      <c r="Y225" s="544"/>
      <c r="Z225" s="544"/>
      <c r="AA225" s="544"/>
      <c r="AB225" s="544"/>
    </row>
    <row r="226" spans="1:28" x14ac:dyDescent="0.2">
      <c r="A226" s="544"/>
      <c r="B226" s="544"/>
      <c r="C226" s="544"/>
      <c r="D226" s="544"/>
      <c r="E226" s="544"/>
      <c r="F226" s="569"/>
      <c r="G226" s="544"/>
      <c r="H226" s="544"/>
      <c r="I226" s="544"/>
      <c r="J226" s="544"/>
      <c r="K226" s="569"/>
      <c r="L226" s="544"/>
      <c r="M226" s="544"/>
      <c r="N226" s="544"/>
      <c r="O226" s="544"/>
      <c r="P226" s="544"/>
      <c r="Q226" s="544"/>
      <c r="R226" s="544"/>
      <c r="S226" s="544"/>
      <c r="T226" s="544"/>
      <c r="U226" s="544"/>
      <c r="V226" s="544"/>
      <c r="W226" s="544"/>
      <c r="X226" s="544"/>
      <c r="Y226" s="544"/>
      <c r="Z226" s="544"/>
      <c r="AA226" s="544"/>
      <c r="AB226" s="544"/>
    </row>
    <row r="227" spans="1:28" x14ac:dyDescent="0.2">
      <c r="A227" s="544"/>
      <c r="B227" s="544"/>
      <c r="C227" s="544"/>
      <c r="D227" s="544"/>
      <c r="E227" s="544"/>
      <c r="F227" s="569"/>
      <c r="G227" s="544"/>
      <c r="H227" s="544"/>
      <c r="I227" s="544"/>
      <c r="J227" s="544"/>
      <c r="K227" s="569"/>
      <c r="L227" s="544"/>
      <c r="M227" s="544"/>
      <c r="N227" s="544"/>
      <c r="O227" s="544"/>
      <c r="P227" s="544"/>
      <c r="Q227" s="544"/>
      <c r="R227" s="544"/>
      <c r="S227" s="544"/>
      <c r="T227" s="544"/>
      <c r="U227" s="544"/>
      <c r="V227" s="544"/>
      <c r="W227" s="544"/>
      <c r="X227" s="544"/>
      <c r="Y227" s="544"/>
      <c r="Z227" s="544"/>
      <c r="AA227" s="544"/>
      <c r="AB227" s="544"/>
    </row>
    <row r="228" spans="1:28" x14ac:dyDescent="0.2">
      <c r="A228" s="544"/>
      <c r="B228" s="544"/>
      <c r="C228" s="544"/>
      <c r="D228" s="544"/>
      <c r="E228" s="544"/>
      <c r="F228" s="569"/>
      <c r="G228" s="544"/>
      <c r="H228" s="544"/>
      <c r="I228" s="544"/>
      <c r="J228" s="544"/>
      <c r="K228" s="569"/>
      <c r="L228" s="544"/>
      <c r="M228" s="544"/>
      <c r="N228" s="544"/>
      <c r="O228" s="544"/>
      <c r="P228" s="544"/>
      <c r="Q228" s="544"/>
      <c r="R228" s="544"/>
      <c r="S228" s="544"/>
      <c r="T228" s="544"/>
      <c r="U228" s="544"/>
      <c r="V228" s="544"/>
      <c r="W228" s="544"/>
      <c r="X228" s="544"/>
      <c r="Y228" s="544"/>
      <c r="Z228" s="544"/>
      <c r="AA228" s="544"/>
      <c r="AB228" s="544"/>
    </row>
    <row r="229" spans="1:28" x14ac:dyDescent="0.2">
      <c r="A229" s="544"/>
      <c r="B229" s="544"/>
      <c r="C229" s="544"/>
      <c r="D229" s="544"/>
      <c r="E229" s="544"/>
      <c r="F229" s="569"/>
      <c r="G229" s="544"/>
      <c r="H229" s="544"/>
      <c r="I229" s="544"/>
      <c r="J229" s="544"/>
      <c r="K229" s="569"/>
      <c r="L229" s="544"/>
      <c r="M229" s="544"/>
      <c r="N229" s="544"/>
      <c r="O229" s="544"/>
      <c r="P229" s="544"/>
      <c r="Q229" s="544"/>
      <c r="R229" s="544"/>
      <c r="S229" s="544"/>
      <c r="T229" s="544"/>
      <c r="U229" s="544"/>
      <c r="V229" s="544"/>
      <c r="W229" s="544"/>
      <c r="X229" s="544"/>
      <c r="Y229" s="544"/>
      <c r="Z229" s="544"/>
      <c r="AA229" s="544"/>
      <c r="AB229" s="544"/>
    </row>
    <row r="230" spans="1:28" x14ac:dyDescent="0.2">
      <c r="A230" s="544"/>
      <c r="B230" s="544"/>
      <c r="C230" s="544"/>
      <c r="D230" s="544"/>
      <c r="E230" s="544"/>
      <c r="F230" s="569"/>
      <c r="G230" s="544"/>
      <c r="H230" s="544"/>
      <c r="I230" s="544"/>
      <c r="J230" s="544"/>
      <c r="K230" s="569"/>
      <c r="L230" s="544"/>
      <c r="M230" s="544"/>
      <c r="N230" s="544"/>
      <c r="O230" s="544"/>
      <c r="P230" s="544"/>
      <c r="Q230" s="544"/>
      <c r="R230" s="544"/>
      <c r="S230" s="544"/>
      <c r="T230" s="544"/>
      <c r="U230" s="544"/>
      <c r="V230" s="544"/>
      <c r="W230" s="544"/>
      <c r="X230" s="544"/>
      <c r="Y230" s="544"/>
      <c r="Z230" s="544"/>
      <c r="AA230" s="544"/>
      <c r="AB230" s="544"/>
    </row>
    <row r="231" spans="1:28" x14ac:dyDescent="0.2">
      <c r="A231" s="544"/>
      <c r="B231" s="544"/>
      <c r="C231" s="544"/>
      <c r="D231" s="544"/>
      <c r="E231" s="544"/>
      <c r="F231" s="569"/>
      <c r="G231" s="544"/>
      <c r="H231" s="544"/>
      <c r="I231" s="544"/>
      <c r="J231" s="544"/>
      <c r="K231" s="569"/>
      <c r="L231" s="544"/>
      <c r="M231" s="544"/>
      <c r="N231" s="544"/>
      <c r="O231" s="544"/>
      <c r="P231" s="544"/>
      <c r="Q231" s="544"/>
      <c r="R231" s="544"/>
      <c r="S231" s="544"/>
      <c r="T231" s="544"/>
      <c r="U231" s="544"/>
      <c r="V231" s="544"/>
      <c r="W231" s="544"/>
      <c r="X231" s="544"/>
      <c r="Y231" s="544"/>
      <c r="Z231" s="544"/>
      <c r="AA231" s="544"/>
      <c r="AB231" s="544"/>
    </row>
    <row r="232" spans="1:28" x14ac:dyDescent="0.2">
      <c r="A232" s="544"/>
      <c r="B232" s="544"/>
      <c r="C232" s="544"/>
      <c r="D232" s="544"/>
      <c r="E232" s="544"/>
      <c r="F232" s="569"/>
      <c r="G232" s="544"/>
      <c r="H232" s="544"/>
      <c r="I232" s="544"/>
      <c r="J232" s="544"/>
      <c r="K232" s="569"/>
      <c r="L232" s="544"/>
      <c r="M232" s="544"/>
      <c r="N232" s="544"/>
      <c r="O232" s="544"/>
      <c r="P232" s="544"/>
      <c r="Q232" s="544"/>
      <c r="R232" s="544"/>
      <c r="S232" s="544"/>
      <c r="T232" s="544"/>
      <c r="U232" s="544"/>
      <c r="V232" s="544"/>
      <c r="W232" s="544"/>
      <c r="X232" s="544"/>
      <c r="Y232" s="544"/>
      <c r="Z232" s="544"/>
      <c r="AA232" s="544"/>
      <c r="AB232" s="544"/>
    </row>
    <row r="233" spans="1:28" x14ac:dyDescent="0.2">
      <c r="A233" s="544"/>
      <c r="B233" s="544"/>
      <c r="C233" s="544"/>
      <c r="D233" s="544"/>
      <c r="E233" s="544"/>
      <c r="F233" s="569"/>
      <c r="G233" s="544"/>
      <c r="H233" s="544"/>
      <c r="I233" s="544"/>
      <c r="J233" s="544"/>
      <c r="K233" s="569"/>
      <c r="L233" s="544"/>
      <c r="M233" s="544"/>
      <c r="N233" s="544"/>
      <c r="O233" s="544"/>
      <c r="P233" s="544"/>
      <c r="Q233" s="544"/>
      <c r="R233" s="544"/>
      <c r="S233" s="544"/>
      <c r="T233" s="544"/>
      <c r="U233" s="544"/>
      <c r="V233" s="544"/>
      <c r="W233" s="544"/>
      <c r="X233" s="544"/>
      <c r="Y233" s="544"/>
      <c r="Z233" s="544"/>
      <c r="AA233" s="544"/>
      <c r="AB233" s="544"/>
    </row>
    <row r="234" spans="1:28" x14ac:dyDescent="0.2">
      <c r="A234" s="544"/>
      <c r="B234" s="544"/>
      <c r="C234" s="544"/>
      <c r="D234" s="544"/>
      <c r="E234" s="544"/>
      <c r="F234" s="569"/>
      <c r="G234" s="544"/>
      <c r="H234" s="544"/>
      <c r="I234" s="544"/>
      <c r="J234" s="544"/>
      <c r="K234" s="569"/>
      <c r="L234" s="544"/>
      <c r="M234" s="544"/>
      <c r="N234" s="544"/>
      <c r="O234" s="544"/>
      <c r="P234" s="544"/>
      <c r="Q234" s="544"/>
      <c r="R234" s="544"/>
      <c r="S234" s="544"/>
      <c r="T234" s="544"/>
      <c r="U234" s="544"/>
      <c r="V234" s="544"/>
      <c r="W234" s="544"/>
      <c r="X234" s="544"/>
      <c r="Y234" s="544"/>
      <c r="Z234" s="544"/>
      <c r="AA234" s="544"/>
      <c r="AB234" s="544"/>
    </row>
    <row r="235" spans="1:28" x14ac:dyDescent="0.2">
      <c r="A235" s="544"/>
      <c r="B235" s="544"/>
      <c r="C235" s="544"/>
      <c r="D235" s="544"/>
      <c r="E235" s="544"/>
      <c r="F235" s="569"/>
      <c r="G235" s="544"/>
      <c r="H235" s="544"/>
      <c r="I235" s="544"/>
      <c r="J235" s="544"/>
      <c r="K235" s="569"/>
      <c r="L235" s="544"/>
      <c r="M235" s="544"/>
      <c r="N235" s="544"/>
      <c r="O235" s="544"/>
      <c r="P235" s="544"/>
      <c r="Q235" s="544"/>
      <c r="R235" s="544"/>
      <c r="S235" s="544"/>
      <c r="T235" s="544"/>
      <c r="U235" s="544"/>
      <c r="V235" s="544"/>
      <c r="W235" s="544"/>
      <c r="X235" s="544"/>
      <c r="Y235" s="544"/>
      <c r="Z235" s="544"/>
      <c r="AA235" s="544"/>
      <c r="AB235" s="544"/>
    </row>
    <row r="236" spans="1:28" x14ac:dyDescent="0.2">
      <c r="A236" s="544"/>
      <c r="B236" s="544"/>
      <c r="C236" s="544"/>
      <c r="D236" s="544"/>
      <c r="E236" s="544"/>
      <c r="F236" s="569"/>
      <c r="G236" s="544"/>
      <c r="H236" s="544"/>
      <c r="I236" s="544"/>
      <c r="J236" s="544"/>
      <c r="K236" s="569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44"/>
      <c r="AB236" s="544"/>
    </row>
    <row r="237" spans="1:28" x14ac:dyDescent="0.2">
      <c r="A237" s="544"/>
      <c r="B237" s="544"/>
      <c r="C237" s="544"/>
      <c r="D237" s="544"/>
      <c r="E237" s="544"/>
      <c r="F237" s="569"/>
      <c r="G237" s="544"/>
      <c r="H237" s="544"/>
      <c r="I237" s="544"/>
      <c r="J237" s="544"/>
      <c r="K237" s="569"/>
      <c r="L237" s="544"/>
      <c r="M237" s="544"/>
      <c r="N237" s="544"/>
      <c r="O237" s="544"/>
      <c r="P237" s="544"/>
      <c r="Q237" s="544"/>
      <c r="R237" s="544"/>
      <c r="S237" s="544"/>
      <c r="T237" s="544"/>
      <c r="U237" s="544"/>
      <c r="V237" s="544"/>
      <c r="W237" s="544"/>
      <c r="X237" s="544"/>
      <c r="Y237" s="544"/>
      <c r="Z237" s="544"/>
      <c r="AA237" s="544"/>
      <c r="AB237" s="544"/>
    </row>
    <row r="238" spans="1:28" x14ac:dyDescent="0.2">
      <c r="A238" s="544"/>
      <c r="B238" s="544"/>
      <c r="C238" s="544"/>
      <c r="D238" s="544"/>
      <c r="E238" s="544"/>
      <c r="F238" s="569"/>
      <c r="G238" s="544"/>
      <c r="H238" s="544"/>
      <c r="I238" s="544"/>
      <c r="J238" s="544"/>
      <c r="K238" s="569"/>
      <c r="L238" s="544"/>
      <c r="M238" s="544"/>
      <c r="N238" s="544"/>
      <c r="O238" s="544"/>
      <c r="P238" s="544"/>
      <c r="Q238" s="544"/>
      <c r="R238" s="544"/>
      <c r="S238" s="544"/>
      <c r="T238" s="544"/>
      <c r="U238" s="544"/>
      <c r="V238" s="544"/>
      <c r="W238" s="544"/>
      <c r="X238" s="544"/>
      <c r="Y238" s="544"/>
      <c r="Z238" s="544"/>
      <c r="AA238" s="544"/>
      <c r="AB238" s="544"/>
    </row>
    <row r="239" spans="1:28" x14ac:dyDescent="0.2">
      <c r="A239" s="544"/>
      <c r="B239" s="544"/>
      <c r="C239" s="544"/>
      <c r="D239" s="544"/>
      <c r="E239" s="544"/>
      <c r="F239" s="569"/>
      <c r="G239" s="544"/>
      <c r="H239" s="544"/>
      <c r="I239" s="544"/>
      <c r="J239" s="544"/>
      <c r="K239" s="569"/>
      <c r="L239" s="544"/>
      <c r="M239" s="544"/>
      <c r="N239" s="544"/>
      <c r="O239" s="544"/>
      <c r="P239" s="544"/>
      <c r="Q239" s="544"/>
      <c r="R239" s="544"/>
      <c r="S239" s="544"/>
      <c r="T239" s="544"/>
      <c r="U239" s="544"/>
      <c r="V239" s="544"/>
      <c r="W239" s="544"/>
      <c r="X239" s="544"/>
      <c r="Y239" s="544"/>
      <c r="Z239" s="544"/>
      <c r="AA239" s="544"/>
      <c r="AB239" s="544"/>
    </row>
    <row r="240" spans="1:28" x14ac:dyDescent="0.2">
      <c r="A240" s="544"/>
      <c r="B240" s="544"/>
      <c r="C240" s="544"/>
      <c r="D240" s="544"/>
      <c r="E240" s="544"/>
      <c r="F240" s="569"/>
      <c r="G240" s="544"/>
      <c r="H240" s="544"/>
      <c r="I240" s="544"/>
      <c r="J240" s="544"/>
      <c r="K240" s="569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44"/>
      <c r="AB240" s="544"/>
    </row>
    <row r="241" spans="1:28" x14ac:dyDescent="0.2">
      <c r="A241" s="544"/>
      <c r="B241" s="544"/>
      <c r="C241" s="544"/>
      <c r="D241" s="544"/>
      <c r="E241" s="544"/>
      <c r="F241" s="569"/>
      <c r="G241" s="544"/>
      <c r="H241" s="544"/>
      <c r="I241" s="544"/>
      <c r="J241" s="544"/>
      <c r="K241" s="569"/>
      <c r="L241" s="544"/>
      <c r="M241" s="544"/>
      <c r="N241" s="544"/>
      <c r="O241" s="544"/>
      <c r="P241" s="544"/>
      <c r="Q241" s="544"/>
      <c r="R241" s="544"/>
      <c r="S241" s="544"/>
      <c r="T241" s="544"/>
      <c r="U241" s="544"/>
      <c r="V241" s="544"/>
      <c r="W241" s="544"/>
      <c r="X241" s="544"/>
      <c r="Y241" s="544"/>
      <c r="Z241" s="544"/>
      <c r="AA241" s="544"/>
      <c r="AB241" s="544"/>
    </row>
    <row r="242" spans="1:28" x14ac:dyDescent="0.2">
      <c r="A242" s="544"/>
      <c r="B242" s="544"/>
      <c r="C242" s="544"/>
      <c r="D242" s="544"/>
      <c r="E242" s="544"/>
      <c r="F242" s="569"/>
      <c r="G242" s="544"/>
      <c r="H242" s="544"/>
      <c r="I242" s="544"/>
      <c r="J242" s="544"/>
      <c r="K242" s="569"/>
      <c r="L242" s="544"/>
      <c r="M242" s="544"/>
      <c r="N242" s="544"/>
      <c r="O242" s="544"/>
      <c r="P242" s="544"/>
      <c r="Q242" s="544"/>
      <c r="R242" s="544"/>
      <c r="S242" s="544"/>
      <c r="T242" s="544"/>
      <c r="U242" s="544"/>
      <c r="V242" s="544"/>
      <c r="W242" s="544"/>
      <c r="X242" s="544"/>
      <c r="Y242" s="544"/>
      <c r="Z242" s="544"/>
      <c r="AA242" s="544"/>
      <c r="AB242" s="544"/>
    </row>
    <row r="243" spans="1:28" x14ac:dyDescent="0.2">
      <c r="A243" s="544"/>
      <c r="B243" s="544"/>
      <c r="C243" s="544"/>
      <c r="D243" s="544"/>
      <c r="E243" s="544"/>
      <c r="F243" s="569"/>
      <c r="G243" s="544"/>
      <c r="H243" s="544"/>
      <c r="I243" s="544"/>
      <c r="J243" s="544"/>
      <c r="K243" s="569"/>
      <c r="L243" s="544"/>
      <c r="M243" s="544"/>
      <c r="N243" s="544"/>
      <c r="O243" s="544"/>
      <c r="P243" s="544"/>
      <c r="Q243" s="544"/>
      <c r="R243" s="544"/>
      <c r="S243" s="544"/>
      <c r="T243" s="544"/>
      <c r="U243" s="544"/>
      <c r="V243" s="544"/>
      <c r="W243" s="544"/>
      <c r="X243" s="544"/>
      <c r="Y243" s="544"/>
      <c r="Z243" s="544"/>
      <c r="AA243" s="544"/>
      <c r="AB243" s="544"/>
    </row>
    <row r="244" spans="1:28" x14ac:dyDescent="0.2">
      <c r="A244" s="544"/>
      <c r="B244" s="544"/>
      <c r="C244" s="544"/>
      <c r="D244" s="544"/>
      <c r="E244" s="544"/>
      <c r="F244" s="569"/>
      <c r="G244" s="544"/>
      <c r="H244" s="544"/>
      <c r="I244" s="544"/>
      <c r="J244" s="544"/>
      <c r="K244" s="569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44"/>
      <c r="AB244" s="544"/>
    </row>
    <row r="245" spans="1:28" x14ac:dyDescent="0.2">
      <c r="A245" s="544"/>
      <c r="B245" s="544"/>
      <c r="C245" s="544"/>
      <c r="D245" s="544"/>
      <c r="E245" s="544"/>
      <c r="F245" s="569"/>
      <c r="G245" s="544"/>
      <c r="H245" s="544"/>
      <c r="I245" s="544"/>
      <c r="J245" s="544"/>
      <c r="K245" s="569"/>
      <c r="L245" s="544"/>
      <c r="M245" s="544"/>
      <c r="N245" s="544"/>
      <c r="O245" s="544"/>
      <c r="P245" s="544"/>
      <c r="Q245" s="544"/>
      <c r="R245" s="544"/>
      <c r="S245" s="544"/>
      <c r="T245" s="544"/>
      <c r="U245" s="544"/>
      <c r="V245" s="544"/>
      <c r="W245" s="544"/>
      <c r="X245" s="544"/>
      <c r="Y245" s="544"/>
      <c r="Z245" s="544"/>
      <c r="AA245" s="544"/>
      <c r="AB245" s="544"/>
    </row>
    <row r="246" spans="1:28" x14ac:dyDescent="0.2">
      <c r="A246" s="544"/>
      <c r="B246" s="544"/>
      <c r="C246" s="544"/>
      <c r="D246" s="544"/>
      <c r="E246" s="544"/>
      <c r="F246" s="569"/>
      <c r="G246" s="544"/>
      <c r="H246" s="544"/>
      <c r="I246" s="544"/>
      <c r="J246" s="544"/>
      <c r="K246" s="569"/>
      <c r="L246" s="544"/>
      <c r="M246" s="544"/>
      <c r="N246" s="544"/>
      <c r="O246" s="544"/>
      <c r="P246" s="544"/>
      <c r="Q246" s="544"/>
      <c r="R246" s="544"/>
      <c r="S246" s="544"/>
      <c r="T246" s="544"/>
      <c r="U246" s="544"/>
      <c r="V246" s="544"/>
      <c r="W246" s="544"/>
      <c r="X246" s="544"/>
      <c r="Y246" s="544"/>
      <c r="Z246" s="544"/>
      <c r="AA246" s="544"/>
      <c r="AB246" s="544"/>
    </row>
    <row r="247" spans="1:28" x14ac:dyDescent="0.2">
      <c r="A247" s="544"/>
      <c r="B247" s="544"/>
      <c r="C247" s="544"/>
      <c r="D247" s="544"/>
      <c r="E247" s="544"/>
      <c r="F247" s="569"/>
      <c r="G247" s="544"/>
      <c r="H247" s="544"/>
      <c r="I247" s="544"/>
      <c r="J247" s="544"/>
      <c r="K247" s="569"/>
      <c r="L247" s="544"/>
      <c r="M247" s="544"/>
      <c r="N247" s="544"/>
      <c r="O247" s="544"/>
      <c r="P247" s="544"/>
      <c r="Q247" s="544"/>
      <c r="R247" s="544"/>
      <c r="S247" s="544"/>
      <c r="T247" s="544"/>
      <c r="U247" s="544"/>
      <c r="V247" s="544"/>
      <c r="W247" s="544"/>
      <c r="X247" s="544"/>
      <c r="Y247" s="544"/>
      <c r="Z247" s="544"/>
      <c r="AA247" s="544"/>
      <c r="AB247" s="544"/>
    </row>
    <row r="248" spans="1:28" x14ac:dyDescent="0.2">
      <c r="A248" s="544"/>
      <c r="B248" s="544"/>
      <c r="C248" s="544"/>
      <c r="D248" s="544"/>
      <c r="E248" s="544"/>
      <c r="F248" s="569"/>
      <c r="G248" s="544"/>
      <c r="H248" s="544"/>
      <c r="I248" s="544"/>
      <c r="J248" s="544"/>
      <c r="K248" s="569"/>
      <c r="L248" s="544"/>
      <c r="M248" s="544"/>
      <c r="N248" s="544"/>
      <c r="O248" s="544"/>
      <c r="P248" s="544"/>
      <c r="Q248" s="544"/>
      <c r="R248" s="544"/>
      <c r="S248" s="544"/>
      <c r="T248" s="544"/>
      <c r="U248" s="544"/>
      <c r="V248" s="544"/>
      <c r="W248" s="544"/>
      <c r="X248" s="544"/>
      <c r="Y248" s="544"/>
      <c r="Z248" s="544"/>
      <c r="AA248" s="544"/>
      <c r="AB248" s="544"/>
    </row>
    <row r="249" spans="1:28" x14ac:dyDescent="0.2">
      <c r="A249" s="544"/>
      <c r="B249" s="544"/>
      <c r="C249" s="544"/>
      <c r="D249" s="544"/>
      <c r="E249" s="544"/>
      <c r="F249" s="569"/>
      <c r="G249" s="544"/>
      <c r="H249" s="544"/>
      <c r="I249" s="544"/>
      <c r="J249" s="544"/>
      <c r="K249" s="569"/>
      <c r="L249" s="544"/>
      <c r="M249" s="544"/>
      <c r="N249" s="544"/>
      <c r="O249" s="544"/>
      <c r="P249" s="544"/>
      <c r="Q249" s="544"/>
      <c r="R249" s="544"/>
      <c r="S249" s="544"/>
      <c r="T249" s="544"/>
      <c r="U249" s="544"/>
      <c r="V249" s="544"/>
      <c r="W249" s="544"/>
      <c r="X249" s="544"/>
      <c r="Y249" s="544"/>
      <c r="Z249" s="544"/>
      <c r="AA249" s="544"/>
      <c r="AB249" s="544"/>
    </row>
    <row r="250" spans="1:28" x14ac:dyDescent="0.2">
      <c r="A250" s="544"/>
      <c r="B250" s="544"/>
      <c r="C250" s="544"/>
      <c r="D250" s="544"/>
      <c r="E250" s="544"/>
      <c r="F250" s="569"/>
      <c r="G250" s="544"/>
      <c r="H250" s="544"/>
      <c r="I250" s="544"/>
      <c r="J250" s="544"/>
      <c r="K250" s="569"/>
      <c r="L250" s="544"/>
      <c r="M250" s="544"/>
      <c r="N250" s="544"/>
      <c r="O250" s="544"/>
      <c r="P250" s="544"/>
      <c r="Q250" s="544"/>
      <c r="R250" s="544"/>
      <c r="S250" s="544"/>
      <c r="T250" s="544"/>
      <c r="U250" s="544"/>
      <c r="V250" s="544"/>
      <c r="W250" s="544"/>
      <c r="X250" s="544"/>
      <c r="Y250" s="544"/>
      <c r="Z250" s="544"/>
      <c r="AA250" s="544"/>
      <c r="AB250" s="544"/>
    </row>
    <row r="251" spans="1:28" x14ac:dyDescent="0.2">
      <c r="A251" s="544"/>
      <c r="B251" s="544"/>
      <c r="C251" s="544"/>
      <c r="D251" s="544"/>
      <c r="E251" s="544"/>
      <c r="F251" s="569"/>
      <c r="G251" s="544"/>
      <c r="H251" s="544"/>
      <c r="I251" s="544"/>
      <c r="J251" s="544"/>
      <c r="K251" s="569"/>
      <c r="L251" s="544"/>
      <c r="M251" s="544"/>
      <c r="N251" s="544"/>
      <c r="O251" s="544"/>
      <c r="P251" s="544"/>
      <c r="Q251" s="544"/>
      <c r="R251" s="544"/>
      <c r="S251" s="544"/>
      <c r="T251" s="544"/>
      <c r="U251" s="544"/>
      <c r="V251" s="544"/>
      <c r="W251" s="544"/>
      <c r="X251" s="544"/>
      <c r="Y251" s="544"/>
      <c r="Z251" s="544"/>
      <c r="AA251" s="544"/>
      <c r="AB251" s="544"/>
    </row>
    <row r="252" spans="1:28" x14ac:dyDescent="0.2">
      <c r="A252" s="544"/>
      <c r="B252" s="544"/>
      <c r="C252" s="544"/>
      <c r="D252" s="544"/>
      <c r="E252" s="544"/>
      <c r="F252" s="569"/>
      <c r="G252" s="544"/>
      <c r="H252" s="544"/>
      <c r="I252" s="544"/>
      <c r="J252" s="544"/>
      <c r="K252" s="569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44"/>
      <c r="AB252" s="544"/>
    </row>
    <row r="253" spans="1:28" x14ac:dyDescent="0.2">
      <c r="A253" s="544"/>
      <c r="B253" s="544"/>
      <c r="C253" s="544"/>
      <c r="D253" s="544"/>
      <c r="E253" s="544"/>
      <c r="F253" s="569"/>
      <c r="G253" s="544"/>
      <c r="H253" s="544"/>
      <c r="I253" s="544"/>
      <c r="J253" s="544"/>
      <c r="K253" s="569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44"/>
      <c r="AB253" s="544"/>
    </row>
    <row r="254" spans="1:28" x14ac:dyDescent="0.2">
      <c r="A254" s="544"/>
      <c r="B254" s="544"/>
      <c r="C254" s="544"/>
      <c r="D254" s="544"/>
      <c r="E254" s="544"/>
      <c r="F254" s="569"/>
      <c r="G254" s="544"/>
      <c r="H254" s="544"/>
      <c r="I254" s="544"/>
      <c r="J254" s="544"/>
      <c r="K254" s="569"/>
      <c r="L254" s="544"/>
      <c r="M254" s="544"/>
      <c r="N254" s="544"/>
      <c r="O254" s="544"/>
      <c r="P254" s="544"/>
      <c r="Q254" s="544"/>
      <c r="R254" s="544"/>
      <c r="S254" s="544"/>
      <c r="T254" s="544"/>
      <c r="U254" s="544"/>
      <c r="V254" s="544"/>
      <c r="W254" s="544"/>
      <c r="X254" s="544"/>
      <c r="Y254" s="544"/>
      <c r="Z254" s="544"/>
      <c r="AA254" s="544"/>
      <c r="AB254" s="544"/>
    </row>
    <row r="255" spans="1:28" x14ac:dyDescent="0.2">
      <c r="A255" s="544"/>
      <c r="B255" s="544"/>
      <c r="C255" s="544"/>
      <c r="D255" s="544"/>
      <c r="E255" s="544"/>
      <c r="F255" s="569"/>
      <c r="G255" s="544"/>
      <c r="H255" s="544"/>
      <c r="I255" s="544"/>
      <c r="J255" s="544"/>
      <c r="K255" s="569"/>
      <c r="L255" s="544"/>
      <c r="M255" s="544"/>
      <c r="N255" s="544"/>
      <c r="O255" s="544"/>
      <c r="P255" s="544"/>
      <c r="Q255" s="544"/>
      <c r="R255" s="544"/>
      <c r="S255" s="544"/>
      <c r="T255" s="544"/>
      <c r="U255" s="544"/>
      <c r="V255" s="544"/>
      <c r="W255" s="544"/>
      <c r="X255" s="544"/>
      <c r="Y255" s="544"/>
      <c r="Z255" s="544"/>
      <c r="AA255" s="544"/>
      <c r="AB255" s="544"/>
    </row>
    <row r="256" spans="1:28" x14ac:dyDescent="0.2">
      <c r="A256" s="544"/>
      <c r="B256" s="544"/>
      <c r="C256" s="544"/>
      <c r="D256" s="544"/>
      <c r="E256" s="544"/>
      <c r="F256" s="569"/>
      <c r="G256" s="544"/>
      <c r="H256" s="544"/>
      <c r="I256" s="544"/>
      <c r="J256" s="544"/>
      <c r="K256" s="569"/>
      <c r="L256" s="544"/>
      <c r="M256" s="544"/>
      <c r="N256" s="544"/>
      <c r="O256" s="544"/>
      <c r="P256" s="544"/>
      <c r="Q256" s="544"/>
      <c r="R256" s="544"/>
      <c r="S256" s="544"/>
      <c r="T256" s="544"/>
      <c r="U256" s="544"/>
      <c r="V256" s="544"/>
      <c r="W256" s="544"/>
      <c r="X256" s="544"/>
      <c r="Y256" s="544"/>
      <c r="Z256" s="544"/>
      <c r="AA256" s="544"/>
      <c r="AB256" s="544"/>
    </row>
    <row r="257" spans="1:28" x14ac:dyDescent="0.2">
      <c r="A257" s="544"/>
      <c r="B257" s="544"/>
      <c r="C257" s="544"/>
      <c r="D257" s="544"/>
      <c r="E257" s="544"/>
      <c r="F257" s="569"/>
      <c r="G257" s="544"/>
      <c r="H257" s="544"/>
      <c r="I257" s="544"/>
      <c r="J257" s="544"/>
      <c r="K257" s="569"/>
      <c r="L257" s="544"/>
      <c r="M257" s="544"/>
      <c r="N257" s="544"/>
      <c r="O257" s="544"/>
      <c r="P257" s="544"/>
      <c r="Q257" s="544"/>
      <c r="R257" s="544"/>
      <c r="S257" s="544"/>
      <c r="T257" s="544"/>
      <c r="U257" s="544"/>
      <c r="V257" s="544"/>
      <c r="W257" s="544"/>
      <c r="X257" s="544"/>
      <c r="Y257" s="544"/>
      <c r="Z257" s="544"/>
      <c r="AA257" s="544"/>
      <c r="AB257" s="544"/>
    </row>
    <row r="258" spans="1:28" x14ac:dyDescent="0.2">
      <c r="A258" s="544"/>
      <c r="B258" s="544"/>
      <c r="C258" s="544"/>
      <c r="D258" s="544"/>
      <c r="E258" s="544"/>
      <c r="F258" s="569"/>
      <c r="G258" s="544"/>
      <c r="H258" s="544"/>
      <c r="I258" s="544"/>
      <c r="J258" s="544"/>
      <c r="K258" s="569"/>
      <c r="L258" s="544"/>
      <c r="M258" s="544"/>
      <c r="N258" s="544"/>
      <c r="O258" s="544"/>
      <c r="P258" s="544"/>
      <c r="Q258" s="544"/>
      <c r="R258" s="544"/>
      <c r="S258" s="544"/>
      <c r="T258" s="544"/>
      <c r="U258" s="544"/>
      <c r="V258" s="544"/>
      <c r="W258" s="544"/>
      <c r="X258" s="544"/>
      <c r="Y258" s="544"/>
      <c r="Z258" s="544"/>
      <c r="AA258" s="544"/>
      <c r="AB258" s="544"/>
    </row>
    <row r="259" spans="1:28" x14ac:dyDescent="0.2">
      <c r="A259" s="544"/>
      <c r="B259" s="544"/>
      <c r="C259" s="544"/>
      <c r="D259" s="544"/>
      <c r="E259" s="544"/>
      <c r="F259" s="569"/>
      <c r="G259" s="544"/>
      <c r="H259" s="544"/>
      <c r="I259" s="544"/>
      <c r="J259" s="544"/>
      <c r="K259" s="569"/>
      <c r="L259" s="544"/>
      <c r="M259" s="544"/>
      <c r="N259" s="544"/>
      <c r="O259" s="544"/>
      <c r="P259" s="544"/>
      <c r="Q259" s="544"/>
      <c r="R259" s="544"/>
      <c r="S259" s="544"/>
      <c r="T259" s="544"/>
      <c r="U259" s="544"/>
      <c r="V259" s="544"/>
      <c r="W259" s="544"/>
      <c r="X259" s="544"/>
      <c r="Y259" s="544"/>
      <c r="Z259" s="544"/>
      <c r="AA259" s="544"/>
      <c r="AB259" s="544"/>
    </row>
    <row r="260" spans="1:28" x14ac:dyDescent="0.2">
      <c r="A260" s="544"/>
      <c r="B260" s="544"/>
      <c r="C260" s="544"/>
      <c r="D260" s="544"/>
      <c r="E260" s="544"/>
      <c r="F260" s="569"/>
      <c r="G260" s="544"/>
      <c r="H260" s="544"/>
      <c r="I260" s="544"/>
      <c r="J260" s="544"/>
      <c r="K260" s="569"/>
      <c r="L260" s="544"/>
      <c r="M260" s="544"/>
      <c r="N260" s="544"/>
      <c r="O260" s="544"/>
      <c r="P260" s="544"/>
      <c r="Q260" s="544"/>
      <c r="R260" s="544"/>
      <c r="S260" s="544"/>
      <c r="T260" s="544"/>
      <c r="U260" s="544"/>
      <c r="V260" s="544"/>
      <c r="W260" s="544"/>
      <c r="X260" s="544"/>
      <c r="Y260" s="544"/>
      <c r="Z260" s="544"/>
      <c r="AA260" s="544"/>
      <c r="AB260" s="544"/>
    </row>
    <row r="261" spans="1:28" x14ac:dyDescent="0.2">
      <c r="A261" s="544"/>
      <c r="B261" s="544"/>
      <c r="C261" s="544"/>
      <c r="D261" s="544"/>
      <c r="E261" s="544"/>
      <c r="F261" s="569"/>
      <c r="G261" s="544"/>
      <c r="H261" s="544"/>
      <c r="I261" s="544"/>
      <c r="J261" s="544"/>
      <c r="K261" s="569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44"/>
      <c r="AB261" s="544"/>
    </row>
    <row r="262" spans="1:28" x14ac:dyDescent="0.2">
      <c r="A262" s="544"/>
      <c r="B262" s="544"/>
      <c r="C262" s="544"/>
      <c r="D262" s="544"/>
      <c r="E262" s="544"/>
      <c r="F262" s="569"/>
      <c r="G262" s="544"/>
      <c r="H262" s="544"/>
      <c r="I262" s="544"/>
      <c r="J262" s="544"/>
      <c r="K262" s="569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44"/>
      <c r="AB262" s="544"/>
    </row>
    <row r="263" spans="1:28" x14ac:dyDescent="0.2">
      <c r="A263" s="544"/>
      <c r="B263" s="544"/>
      <c r="C263" s="544"/>
      <c r="D263" s="544"/>
      <c r="E263" s="544"/>
      <c r="F263" s="569"/>
      <c r="G263" s="544"/>
      <c r="H263" s="544"/>
      <c r="I263" s="544"/>
      <c r="J263" s="544"/>
      <c r="K263" s="569"/>
      <c r="L263" s="544"/>
      <c r="M263" s="544"/>
      <c r="N263" s="544"/>
      <c r="O263" s="544"/>
      <c r="P263" s="544"/>
      <c r="Q263" s="544"/>
      <c r="R263" s="544"/>
      <c r="S263" s="544"/>
      <c r="T263" s="544"/>
      <c r="U263" s="544"/>
      <c r="V263" s="544"/>
      <c r="W263" s="544"/>
      <c r="X263" s="544"/>
      <c r="Y263" s="544"/>
      <c r="Z263" s="544"/>
      <c r="AA263" s="544"/>
      <c r="AB263" s="544"/>
    </row>
    <row r="264" spans="1:28" x14ac:dyDescent="0.2">
      <c r="A264" s="544"/>
      <c r="B264" s="544"/>
      <c r="C264" s="544"/>
      <c r="D264" s="544"/>
      <c r="E264" s="544"/>
      <c r="F264" s="569"/>
      <c r="G264" s="544"/>
      <c r="H264" s="544"/>
      <c r="I264" s="544"/>
      <c r="J264" s="544"/>
      <c r="K264" s="569"/>
      <c r="L264" s="544"/>
      <c r="M264" s="544"/>
      <c r="N264" s="544"/>
      <c r="O264" s="544"/>
      <c r="P264" s="544"/>
      <c r="Q264" s="544"/>
      <c r="R264" s="544"/>
      <c r="S264" s="544"/>
      <c r="T264" s="544"/>
      <c r="U264" s="544"/>
      <c r="V264" s="544"/>
      <c r="W264" s="544"/>
      <c r="X264" s="544"/>
      <c r="Y264" s="544"/>
      <c r="Z264" s="544"/>
      <c r="AA264" s="544"/>
      <c r="AB264" s="544"/>
    </row>
    <row r="265" spans="1:28" x14ac:dyDescent="0.2">
      <c r="A265" s="544"/>
      <c r="B265" s="544"/>
      <c r="C265" s="544"/>
      <c r="D265" s="544"/>
      <c r="E265" s="544"/>
      <c r="F265" s="569"/>
      <c r="G265" s="544"/>
      <c r="H265" s="544"/>
      <c r="I265" s="544"/>
      <c r="J265" s="544"/>
      <c r="K265" s="569"/>
      <c r="L265" s="544"/>
      <c r="M265" s="544"/>
      <c r="N265" s="544"/>
      <c r="O265" s="544"/>
      <c r="P265" s="544"/>
      <c r="Q265" s="544"/>
      <c r="R265" s="544"/>
      <c r="S265" s="544"/>
      <c r="T265" s="544"/>
      <c r="U265" s="544"/>
      <c r="V265" s="544"/>
      <c r="W265" s="544"/>
      <c r="X265" s="544"/>
      <c r="Y265" s="544"/>
      <c r="Z265" s="544"/>
      <c r="AA265" s="544"/>
      <c r="AB265" s="544"/>
    </row>
    <row r="266" spans="1:28" x14ac:dyDescent="0.2">
      <c r="A266" s="544"/>
      <c r="B266" s="544"/>
      <c r="C266" s="544"/>
      <c r="D266" s="544"/>
      <c r="E266" s="544"/>
      <c r="F266" s="569"/>
      <c r="G266" s="544"/>
      <c r="H266" s="544"/>
      <c r="I266" s="544"/>
      <c r="J266" s="544"/>
      <c r="K266" s="569"/>
      <c r="L266" s="544"/>
      <c r="M266" s="544"/>
      <c r="N266" s="544"/>
      <c r="O266" s="544"/>
      <c r="P266" s="544"/>
      <c r="Q266" s="544"/>
      <c r="R266" s="544"/>
      <c r="S266" s="544"/>
      <c r="T266" s="544"/>
      <c r="U266" s="544"/>
      <c r="V266" s="544"/>
      <c r="W266" s="544"/>
      <c r="X266" s="544"/>
      <c r="Y266" s="544"/>
      <c r="Z266" s="544"/>
      <c r="AA266" s="544"/>
      <c r="AB266" s="544"/>
    </row>
    <row r="267" spans="1:28" x14ac:dyDescent="0.2">
      <c r="A267" s="544"/>
      <c r="B267" s="544"/>
      <c r="C267" s="544"/>
      <c r="D267" s="544"/>
      <c r="E267" s="544"/>
      <c r="F267" s="569"/>
      <c r="G267" s="544"/>
      <c r="H267" s="544"/>
      <c r="I267" s="544"/>
      <c r="J267" s="544"/>
      <c r="K267" s="569"/>
      <c r="L267" s="544"/>
      <c r="M267" s="544"/>
      <c r="N267" s="544"/>
      <c r="O267" s="544"/>
      <c r="P267" s="544"/>
      <c r="Q267" s="544"/>
      <c r="R267" s="544"/>
      <c r="S267" s="544"/>
      <c r="T267" s="544"/>
      <c r="U267" s="544"/>
      <c r="V267" s="544"/>
      <c r="W267" s="544"/>
      <c r="X267" s="544"/>
      <c r="Y267" s="544"/>
      <c r="Z267" s="544"/>
      <c r="AA267" s="544"/>
      <c r="AB267" s="544"/>
    </row>
    <row r="268" spans="1:28" x14ac:dyDescent="0.2">
      <c r="A268" s="544"/>
      <c r="B268" s="544"/>
      <c r="C268" s="544"/>
      <c r="D268" s="544"/>
      <c r="E268" s="544"/>
      <c r="F268" s="569"/>
      <c r="G268" s="544"/>
      <c r="H268" s="544"/>
      <c r="I268" s="544"/>
      <c r="J268" s="544"/>
      <c r="K268" s="569"/>
      <c r="L268" s="544"/>
      <c r="M268" s="544"/>
      <c r="N268" s="544"/>
      <c r="O268" s="544"/>
      <c r="P268" s="544"/>
      <c r="Q268" s="544"/>
      <c r="R268" s="544"/>
      <c r="S268" s="544"/>
      <c r="T268" s="544"/>
      <c r="U268" s="544"/>
      <c r="V268" s="544"/>
      <c r="W268" s="544"/>
      <c r="X268" s="544"/>
      <c r="Y268" s="544"/>
      <c r="Z268" s="544"/>
      <c r="AA268" s="544"/>
      <c r="AB268" s="544"/>
    </row>
    <row r="269" spans="1:28" x14ac:dyDescent="0.2">
      <c r="A269" s="544"/>
      <c r="B269" s="544"/>
      <c r="C269" s="544"/>
      <c r="D269" s="544"/>
      <c r="E269" s="544"/>
      <c r="F269" s="569"/>
      <c r="G269" s="544"/>
      <c r="H269" s="544"/>
      <c r="I269" s="544"/>
      <c r="J269" s="544"/>
      <c r="K269" s="569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44"/>
      <c r="AB269" s="544"/>
    </row>
    <row r="270" spans="1:28" x14ac:dyDescent="0.2">
      <c r="A270" s="544"/>
      <c r="B270" s="544"/>
      <c r="C270" s="544"/>
      <c r="D270" s="544"/>
      <c r="E270" s="544"/>
      <c r="F270" s="569"/>
      <c r="G270" s="544"/>
      <c r="H270" s="544"/>
      <c r="I270" s="544"/>
      <c r="J270" s="544"/>
      <c r="K270" s="569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44"/>
      <c r="AB270" s="544"/>
    </row>
    <row r="271" spans="1:28" x14ac:dyDescent="0.2">
      <c r="A271" s="544"/>
      <c r="B271" s="544"/>
      <c r="C271" s="544"/>
      <c r="D271" s="544"/>
      <c r="E271" s="544"/>
      <c r="F271" s="569"/>
      <c r="G271" s="544"/>
      <c r="H271" s="544"/>
      <c r="I271" s="544"/>
      <c r="J271" s="544"/>
      <c r="K271" s="569"/>
      <c r="L271" s="544"/>
      <c r="M271" s="544"/>
      <c r="N271" s="544"/>
      <c r="O271" s="544"/>
      <c r="P271" s="544"/>
      <c r="Q271" s="544"/>
      <c r="R271" s="544"/>
      <c r="S271" s="544"/>
      <c r="T271" s="544"/>
      <c r="U271" s="544"/>
      <c r="V271" s="544"/>
      <c r="W271" s="544"/>
      <c r="X271" s="544"/>
      <c r="Y271" s="544"/>
      <c r="Z271" s="544"/>
      <c r="AA271" s="544"/>
      <c r="AB271" s="544"/>
    </row>
    <row r="272" spans="1:28" x14ac:dyDescent="0.2">
      <c r="A272" s="544"/>
      <c r="B272" s="544"/>
      <c r="C272" s="544"/>
      <c r="D272" s="544"/>
      <c r="E272" s="544"/>
      <c r="F272" s="569"/>
      <c r="G272" s="544"/>
      <c r="H272" s="544"/>
      <c r="I272" s="544"/>
      <c r="J272" s="544"/>
      <c r="K272" s="569"/>
      <c r="L272" s="544"/>
      <c r="M272" s="544"/>
      <c r="N272" s="544"/>
      <c r="O272" s="544"/>
      <c r="P272" s="544"/>
      <c r="Q272" s="544"/>
      <c r="R272" s="544"/>
      <c r="S272" s="544"/>
      <c r="T272" s="544"/>
      <c r="U272" s="544"/>
      <c r="V272" s="544"/>
      <c r="W272" s="544"/>
      <c r="X272" s="544"/>
      <c r="Y272" s="544"/>
      <c r="Z272" s="544"/>
      <c r="AA272" s="544"/>
      <c r="AB272" s="544"/>
    </row>
    <row r="273" spans="1:28" x14ac:dyDescent="0.2">
      <c r="A273" s="544"/>
      <c r="B273" s="544"/>
      <c r="C273" s="544"/>
      <c r="D273" s="544"/>
      <c r="E273" s="544"/>
      <c r="F273" s="569"/>
      <c r="G273" s="544"/>
      <c r="H273" s="544"/>
      <c r="I273" s="544"/>
      <c r="J273" s="544"/>
      <c r="K273" s="569"/>
      <c r="L273" s="544"/>
      <c r="M273" s="544"/>
      <c r="N273" s="544"/>
      <c r="O273" s="544"/>
      <c r="P273" s="544"/>
      <c r="Q273" s="544"/>
      <c r="R273" s="544"/>
      <c r="S273" s="544"/>
      <c r="T273" s="544"/>
      <c r="U273" s="544"/>
      <c r="V273" s="544"/>
      <c r="W273" s="544"/>
      <c r="X273" s="544"/>
      <c r="Y273" s="544"/>
      <c r="Z273" s="544"/>
      <c r="AA273" s="544"/>
      <c r="AB273" s="544"/>
    </row>
    <row r="274" spans="1:28" x14ac:dyDescent="0.2">
      <c r="A274" s="544"/>
      <c r="B274" s="544"/>
      <c r="C274" s="544"/>
      <c r="D274" s="544"/>
      <c r="E274" s="544"/>
      <c r="F274" s="569"/>
      <c r="G274" s="544"/>
      <c r="H274" s="544"/>
      <c r="I274" s="544"/>
      <c r="J274" s="544"/>
      <c r="K274" s="569"/>
      <c r="L274" s="544"/>
      <c r="M274" s="544"/>
      <c r="N274" s="544"/>
      <c r="O274" s="544"/>
      <c r="P274" s="544"/>
      <c r="Q274" s="544"/>
      <c r="R274" s="544"/>
      <c r="S274" s="544"/>
      <c r="T274" s="544"/>
      <c r="U274" s="544"/>
      <c r="V274" s="544"/>
      <c r="W274" s="544"/>
      <c r="X274" s="544"/>
      <c r="Y274" s="544"/>
      <c r="Z274" s="544"/>
      <c r="AA274" s="544"/>
      <c r="AB274" s="544"/>
    </row>
    <row r="275" spans="1:28" x14ac:dyDescent="0.2">
      <c r="A275" s="544"/>
      <c r="B275" s="544"/>
      <c r="C275" s="544"/>
      <c r="D275" s="544"/>
      <c r="E275" s="544"/>
      <c r="F275" s="569"/>
      <c r="G275" s="544"/>
      <c r="H275" s="544"/>
      <c r="I275" s="544"/>
      <c r="J275" s="544"/>
      <c r="K275" s="569"/>
      <c r="L275" s="544"/>
      <c r="M275" s="544"/>
      <c r="N275" s="544"/>
      <c r="O275" s="544"/>
      <c r="P275" s="544"/>
      <c r="Q275" s="544"/>
      <c r="R275" s="544"/>
      <c r="S275" s="544"/>
      <c r="T275" s="544"/>
      <c r="U275" s="544"/>
      <c r="V275" s="544"/>
      <c r="W275" s="544"/>
      <c r="X275" s="544"/>
      <c r="Y275" s="544"/>
      <c r="Z275" s="544"/>
      <c r="AA275" s="544"/>
      <c r="AB275" s="544"/>
    </row>
    <row r="276" spans="1:28" x14ac:dyDescent="0.2">
      <c r="A276" s="544"/>
      <c r="B276" s="544"/>
      <c r="C276" s="544"/>
      <c r="D276" s="544"/>
      <c r="E276" s="544"/>
      <c r="F276" s="569"/>
      <c r="G276" s="544"/>
      <c r="H276" s="544"/>
      <c r="I276" s="544"/>
      <c r="J276" s="544"/>
      <c r="K276" s="569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44"/>
      <c r="AB276" s="544"/>
    </row>
    <row r="277" spans="1:28" x14ac:dyDescent="0.2">
      <c r="A277" s="544"/>
      <c r="B277" s="544"/>
      <c r="C277" s="544"/>
      <c r="D277" s="544"/>
      <c r="E277" s="544"/>
      <c r="F277" s="569"/>
      <c r="G277" s="544"/>
      <c r="H277" s="544"/>
      <c r="I277" s="544"/>
      <c r="J277" s="544"/>
      <c r="K277" s="569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44"/>
      <c r="AB277" s="544"/>
    </row>
    <row r="278" spans="1:28" x14ac:dyDescent="0.2">
      <c r="A278" s="544"/>
      <c r="B278" s="544"/>
      <c r="C278" s="544"/>
      <c r="D278" s="544"/>
      <c r="E278" s="544"/>
      <c r="F278" s="569"/>
      <c r="G278" s="544"/>
      <c r="H278" s="544"/>
      <c r="I278" s="544"/>
      <c r="J278" s="544"/>
      <c r="K278" s="569"/>
      <c r="L278" s="544"/>
      <c r="M278" s="544"/>
      <c r="N278" s="544"/>
      <c r="O278" s="544"/>
      <c r="P278" s="544"/>
      <c r="Q278" s="544"/>
      <c r="R278" s="544"/>
      <c r="S278" s="544"/>
      <c r="T278" s="544"/>
      <c r="U278" s="544"/>
      <c r="V278" s="544"/>
      <c r="W278" s="544"/>
      <c r="X278" s="544"/>
      <c r="Y278" s="544"/>
      <c r="Z278" s="544"/>
      <c r="AA278" s="544"/>
      <c r="AB278" s="544"/>
    </row>
    <row r="279" spans="1:28" x14ac:dyDescent="0.2">
      <c r="A279" s="544"/>
      <c r="B279" s="544"/>
      <c r="C279" s="544"/>
      <c r="D279" s="544"/>
      <c r="E279" s="544"/>
      <c r="F279" s="569"/>
      <c r="G279" s="544"/>
      <c r="H279" s="544"/>
      <c r="I279" s="544"/>
      <c r="J279" s="544"/>
      <c r="K279" s="569"/>
      <c r="L279" s="544"/>
      <c r="M279" s="544"/>
      <c r="N279" s="544"/>
      <c r="O279" s="544"/>
      <c r="P279" s="544"/>
      <c r="Q279" s="544"/>
      <c r="R279" s="544"/>
      <c r="S279" s="544"/>
      <c r="T279" s="544"/>
      <c r="U279" s="544"/>
      <c r="V279" s="544"/>
      <c r="W279" s="544"/>
      <c r="X279" s="544"/>
      <c r="Y279" s="544"/>
      <c r="Z279" s="544"/>
      <c r="AA279" s="544"/>
      <c r="AB279" s="544"/>
    </row>
    <row r="280" spans="1:28" x14ac:dyDescent="0.2">
      <c r="A280" s="544"/>
      <c r="B280" s="544"/>
      <c r="C280" s="544"/>
      <c r="D280" s="544"/>
      <c r="E280" s="544"/>
      <c r="F280" s="569"/>
      <c r="G280" s="544"/>
      <c r="H280" s="544"/>
      <c r="I280" s="544"/>
      <c r="J280" s="544"/>
      <c r="K280" s="569"/>
      <c r="L280" s="544"/>
      <c r="M280" s="544"/>
      <c r="N280" s="544"/>
      <c r="O280" s="544"/>
      <c r="P280" s="544"/>
      <c r="Q280" s="544"/>
      <c r="R280" s="544"/>
      <c r="S280" s="544"/>
      <c r="T280" s="544"/>
      <c r="U280" s="544"/>
      <c r="V280" s="544"/>
      <c r="W280" s="544"/>
      <c r="X280" s="544"/>
      <c r="Y280" s="544"/>
      <c r="Z280" s="544"/>
      <c r="AA280" s="544"/>
      <c r="AB280" s="544"/>
    </row>
    <row r="281" spans="1:28" x14ac:dyDescent="0.2">
      <c r="A281" s="544"/>
      <c r="B281" s="544"/>
      <c r="C281" s="544"/>
      <c r="D281" s="544"/>
      <c r="E281" s="544"/>
      <c r="F281" s="569"/>
      <c r="G281" s="544"/>
      <c r="H281" s="544"/>
      <c r="I281" s="544"/>
      <c r="J281" s="544"/>
      <c r="K281" s="569"/>
      <c r="L281" s="544"/>
      <c r="M281" s="544"/>
      <c r="N281" s="544"/>
      <c r="O281" s="544"/>
      <c r="P281" s="544"/>
      <c r="Q281" s="544"/>
      <c r="R281" s="544"/>
      <c r="S281" s="544"/>
      <c r="T281" s="544"/>
      <c r="U281" s="544"/>
      <c r="V281" s="544"/>
      <c r="W281" s="544"/>
      <c r="X281" s="544"/>
      <c r="Y281" s="544"/>
      <c r="Z281" s="544"/>
      <c r="AA281" s="544"/>
      <c r="AB281" s="544"/>
    </row>
    <row r="282" spans="1:28" x14ac:dyDescent="0.2">
      <c r="A282" s="544"/>
      <c r="B282" s="544"/>
      <c r="C282" s="544"/>
      <c r="D282" s="544"/>
      <c r="E282" s="544"/>
      <c r="F282" s="569"/>
      <c r="G282" s="544"/>
      <c r="H282" s="544"/>
      <c r="I282" s="544"/>
      <c r="J282" s="544"/>
      <c r="K282" s="569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44"/>
      <c r="AB282" s="544"/>
    </row>
    <row r="283" spans="1:28" x14ac:dyDescent="0.2">
      <c r="A283" s="544"/>
      <c r="B283" s="544"/>
      <c r="C283" s="544"/>
      <c r="D283" s="544"/>
      <c r="E283" s="544"/>
      <c r="F283" s="569"/>
      <c r="G283" s="544"/>
      <c r="H283" s="544"/>
      <c r="I283" s="544"/>
      <c r="J283" s="544"/>
      <c r="K283" s="569"/>
      <c r="L283" s="544"/>
      <c r="M283" s="544"/>
      <c r="N283" s="544"/>
      <c r="O283" s="544"/>
      <c r="P283" s="544"/>
      <c r="Q283" s="544"/>
      <c r="R283" s="544"/>
      <c r="S283" s="544"/>
      <c r="T283" s="544"/>
      <c r="U283" s="544"/>
      <c r="V283" s="544"/>
      <c r="W283" s="544"/>
      <c r="X283" s="544"/>
      <c r="Y283" s="544"/>
      <c r="Z283" s="544"/>
      <c r="AA283" s="544"/>
      <c r="AB283" s="544"/>
    </row>
    <row r="284" spans="1:28" x14ac:dyDescent="0.2">
      <c r="A284" s="544"/>
      <c r="B284" s="544"/>
      <c r="C284" s="544"/>
      <c r="D284" s="544"/>
      <c r="E284" s="544"/>
      <c r="F284" s="569"/>
      <c r="G284" s="544"/>
      <c r="H284" s="544"/>
      <c r="I284" s="544"/>
      <c r="J284" s="544"/>
      <c r="K284" s="569"/>
      <c r="L284" s="544"/>
      <c r="M284" s="544"/>
      <c r="N284" s="544"/>
      <c r="O284" s="544"/>
      <c r="P284" s="544"/>
      <c r="Q284" s="544"/>
      <c r="R284" s="544"/>
      <c r="S284" s="544"/>
      <c r="T284" s="544"/>
      <c r="U284" s="544"/>
      <c r="V284" s="544"/>
      <c r="W284" s="544"/>
      <c r="X284" s="544"/>
      <c r="Y284" s="544"/>
      <c r="Z284" s="544"/>
      <c r="AA284" s="544"/>
      <c r="AB284" s="544"/>
    </row>
    <row r="285" spans="1:28" x14ac:dyDescent="0.2">
      <c r="A285" s="544"/>
      <c r="B285" s="544"/>
      <c r="C285" s="544"/>
      <c r="D285" s="544"/>
      <c r="E285" s="544"/>
      <c r="F285" s="569"/>
      <c r="G285" s="544"/>
      <c r="H285" s="544"/>
      <c r="I285" s="544"/>
      <c r="J285" s="544"/>
      <c r="K285" s="569"/>
      <c r="L285" s="544"/>
      <c r="M285" s="544"/>
      <c r="N285" s="544"/>
      <c r="O285" s="544"/>
      <c r="P285" s="544"/>
      <c r="Q285" s="544"/>
      <c r="R285" s="544"/>
      <c r="S285" s="544"/>
      <c r="T285" s="544"/>
      <c r="U285" s="544"/>
      <c r="V285" s="544"/>
      <c r="W285" s="544"/>
      <c r="X285" s="544"/>
      <c r="Y285" s="544"/>
      <c r="Z285" s="544"/>
      <c r="AA285" s="544"/>
      <c r="AB285" s="544"/>
    </row>
    <row r="286" spans="1:28" x14ac:dyDescent="0.2">
      <c r="A286" s="544"/>
      <c r="B286" s="544"/>
      <c r="C286" s="544"/>
      <c r="D286" s="544"/>
      <c r="E286" s="544"/>
      <c r="F286" s="569"/>
      <c r="G286" s="544"/>
      <c r="H286" s="544"/>
      <c r="I286" s="544"/>
      <c r="J286" s="544"/>
      <c r="K286" s="569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44"/>
      <c r="AB286" s="544"/>
    </row>
    <row r="287" spans="1:28" x14ac:dyDescent="0.2">
      <c r="A287" s="544"/>
      <c r="B287" s="544"/>
      <c r="C287" s="544"/>
      <c r="D287" s="544"/>
      <c r="E287" s="544"/>
      <c r="F287" s="569"/>
      <c r="G287" s="544"/>
      <c r="H287" s="544"/>
      <c r="I287" s="544"/>
      <c r="J287" s="544"/>
      <c r="K287" s="569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44"/>
      <c r="AB287" s="544"/>
    </row>
    <row r="288" spans="1:28" x14ac:dyDescent="0.2">
      <c r="A288" s="544"/>
      <c r="B288" s="544"/>
      <c r="C288" s="544"/>
      <c r="D288" s="544"/>
      <c r="E288" s="544"/>
      <c r="F288" s="569"/>
      <c r="G288" s="544"/>
      <c r="H288" s="544"/>
      <c r="I288" s="544"/>
      <c r="J288" s="544"/>
      <c r="K288" s="569"/>
      <c r="L288" s="544"/>
      <c r="M288" s="544"/>
      <c r="N288" s="544"/>
      <c r="O288" s="544"/>
      <c r="P288" s="544"/>
      <c r="Q288" s="544"/>
      <c r="R288" s="544"/>
      <c r="S288" s="544"/>
      <c r="T288" s="544"/>
      <c r="U288" s="544"/>
      <c r="V288" s="544"/>
      <c r="W288" s="544"/>
      <c r="X288" s="544"/>
      <c r="Y288" s="544"/>
      <c r="Z288" s="544"/>
      <c r="AA288" s="544"/>
      <c r="AB288" s="544"/>
    </row>
    <row r="289" spans="1:28" x14ac:dyDescent="0.2">
      <c r="A289" s="544"/>
      <c r="B289" s="544"/>
      <c r="C289" s="544"/>
      <c r="D289" s="544"/>
      <c r="E289" s="544"/>
      <c r="F289" s="569"/>
      <c r="G289" s="544"/>
      <c r="H289" s="544"/>
      <c r="I289" s="544"/>
      <c r="J289" s="544"/>
      <c r="K289" s="569"/>
      <c r="L289" s="544"/>
      <c r="M289" s="544"/>
      <c r="N289" s="544"/>
      <c r="O289" s="544"/>
      <c r="P289" s="544"/>
      <c r="Q289" s="544"/>
      <c r="R289" s="544"/>
      <c r="S289" s="544"/>
      <c r="T289" s="544"/>
      <c r="U289" s="544"/>
      <c r="V289" s="544"/>
      <c r="W289" s="544"/>
      <c r="X289" s="544"/>
      <c r="Y289" s="544"/>
      <c r="Z289" s="544"/>
      <c r="AA289" s="544"/>
      <c r="AB289" s="544"/>
    </row>
    <row r="290" spans="1:28" x14ac:dyDescent="0.2">
      <c r="A290" s="544"/>
      <c r="B290" s="544"/>
      <c r="C290" s="544"/>
      <c r="D290" s="544"/>
      <c r="E290" s="544"/>
      <c r="F290" s="569"/>
      <c r="G290" s="544"/>
      <c r="H290" s="544"/>
      <c r="I290" s="544"/>
      <c r="J290" s="544"/>
      <c r="K290" s="569"/>
      <c r="L290" s="544"/>
      <c r="M290" s="544"/>
      <c r="N290" s="544"/>
      <c r="O290" s="544"/>
      <c r="P290" s="544"/>
      <c r="Q290" s="544"/>
      <c r="R290" s="544"/>
      <c r="S290" s="544"/>
      <c r="T290" s="544"/>
      <c r="U290" s="544"/>
      <c r="V290" s="544"/>
      <c r="W290" s="544"/>
      <c r="X290" s="544"/>
      <c r="Y290" s="544"/>
      <c r="Z290" s="544"/>
      <c r="AA290" s="544"/>
      <c r="AB290" s="544"/>
    </row>
    <row r="291" spans="1:28" x14ac:dyDescent="0.2">
      <c r="A291" s="544"/>
      <c r="B291" s="544"/>
      <c r="C291" s="544"/>
      <c r="D291" s="544"/>
      <c r="E291" s="544"/>
      <c r="F291" s="569"/>
      <c r="G291" s="544"/>
      <c r="H291" s="544"/>
      <c r="I291" s="544"/>
      <c r="J291" s="544"/>
      <c r="K291" s="569"/>
      <c r="L291" s="544"/>
      <c r="M291" s="544"/>
      <c r="N291" s="544"/>
      <c r="O291" s="544"/>
      <c r="P291" s="544"/>
      <c r="Q291" s="544"/>
      <c r="R291" s="544"/>
      <c r="S291" s="544"/>
      <c r="T291" s="544"/>
      <c r="U291" s="544"/>
      <c r="V291" s="544"/>
      <c r="W291" s="544"/>
      <c r="X291" s="544"/>
      <c r="Y291" s="544"/>
      <c r="Z291" s="544"/>
      <c r="AA291" s="544"/>
      <c r="AB291" s="544"/>
    </row>
    <row r="292" spans="1:28" x14ac:dyDescent="0.2">
      <c r="A292" s="544"/>
      <c r="B292" s="544"/>
      <c r="C292" s="544"/>
      <c r="D292" s="544"/>
      <c r="E292" s="544"/>
      <c r="F292" s="569"/>
      <c r="G292" s="544"/>
      <c r="H292" s="544"/>
      <c r="I292" s="544"/>
      <c r="J292" s="544"/>
      <c r="K292" s="569"/>
      <c r="L292" s="544"/>
      <c r="M292" s="544"/>
      <c r="N292" s="544"/>
      <c r="O292" s="544"/>
      <c r="P292" s="544"/>
      <c r="Q292" s="544"/>
      <c r="R292" s="544"/>
      <c r="S292" s="544"/>
      <c r="T292" s="544"/>
      <c r="U292" s="544"/>
      <c r="V292" s="544"/>
      <c r="W292" s="544"/>
      <c r="X292" s="544"/>
      <c r="Y292" s="544"/>
      <c r="Z292" s="544"/>
      <c r="AA292" s="544"/>
      <c r="AB292" s="544"/>
    </row>
    <row r="293" spans="1:28" x14ac:dyDescent="0.2">
      <c r="A293" s="544"/>
      <c r="B293" s="544"/>
      <c r="C293" s="544"/>
      <c r="D293" s="544"/>
      <c r="E293" s="544"/>
      <c r="F293" s="569"/>
      <c r="G293" s="544"/>
      <c r="H293" s="544"/>
      <c r="I293" s="544"/>
      <c r="J293" s="544"/>
      <c r="K293" s="569"/>
      <c r="L293" s="544"/>
      <c r="M293" s="544"/>
      <c r="N293" s="544"/>
      <c r="O293" s="544"/>
      <c r="P293" s="544"/>
      <c r="Q293" s="544"/>
      <c r="R293" s="544"/>
      <c r="S293" s="544"/>
      <c r="T293" s="544"/>
      <c r="U293" s="544"/>
      <c r="V293" s="544"/>
      <c r="W293" s="544"/>
      <c r="X293" s="544"/>
      <c r="Y293" s="544"/>
      <c r="Z293" s="544"/>
      <c r="AA293" s="544"/>
      <c r="AB293" s="544"/>
    </row>
    <row r="294" spans="1:28" x14ac:dyDescent="0.2">
      <c r="A294" s="544"/>
      <c r="B294" s="544"/>
      <c r="C294" s="544"/>
      <c r="D294" s="544"/>
      <c r="E294" s="544"/>
      <c r="F294" s="569"/>
      <c r="G294" s="544"/>
      <c r="H294" s="544"/>
      <c r="I294" s="544"/>
      <c r="J294" s="544"/>
      <c r="K294" s="569"/>
      <c r="L294" s="544"/>
      <c r="M294" s="544"/>
      <c r="N294" s="544"/>
      <c r="O294" s="544"/>
      <c r="P294" s="544"/>
      <c r="Q294" s="544"/>
      <c r="R294" s="544"/>
      <c r="S294" s="544"/>
      <c r="T294" s="544"/>
      <c r="U294" s="544"/>
      <c r="V294" s="544"/>
      <c r="W294" s="544"/>
      <c r="X294" s="544"/>
      <c r="Y294" s="544"/>
      <c r="Z294" s="544"/>
      <c r="AA294" s="544"/>
      <c r="AB294" s="544"/>
    </row>
    <row r="295" spans="1:28" x14ac:dyDescent="0.2">
      <c r="A295" s="544"/>
      <c r="B295" s="544"/>
      <c r="C295" s="544"/>
      <c r="D295" s="544"/>
      <c r="E295" s="544"/>
      <c r="F295" s="569"/>
      <c r="G295" s="544"/>
      <c r="H295" s="544"/>
      <c r="I295" s="544"/>
      <c r="J295" s="544"/>
      <c r="K295" s="569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44"/>
      <c r="AB295" s="544"/>
    </row>
    <row r="296" spans="1:28" x14ac:dyDescent="0.2">
      <c r="A296" s="544"/>
      <c r="B296" s="544"/>
      <c r="C296" s="544"/>
      <c r="D296" s="544"/>
      <c r="E296" s="544"/>
      <c r="F296" s="569"/>
      <c r="G296" s="544"/>
      <c r="H296" s="544"/>
      <c r="I296" s="544"/>
      <c r="J296" s="544"/>
      <c r="K296" s="569"/>
      <c r="L296" s="544"/>
      <c r="M296" s="544"/>
      <c r="N296" s="544"/>
      <c r="O296" s="544"/>
      <c r="P296" s="544"/>
      <c r="Q296" s="544"/>
      <c r="R296" s="544"/>
      <c r="S296" s="544"/>
      <c r="T296" s="544"/>
      <c r="U296" s="544"/>
      <c r="V296" s="544"/>
      <c r="W296" s="544"/>
      <c r="X296" s="544"/>
      <c r="Y296" s="544"/>
      <c r="Z296" s="544"/>
      <c r="AA296" s="544"/>
      <c r="AB296" s="544"/>
    </row>
    <row r="297" spans="1:28" x14ac:dyDescent="0.2">
      <c r="A297" s="544"/>
      <c r="B297" s="544"/>
      <c r="C297" s="544"/>
      <c r="D297" s="544"/>
      <c r="E297" s="544"/>
      <c r="F297" s="569"/>
      <c r="G297" s="544"/>
      <c r="H297" s="544"/>
      <c r="I297" s="544"/>
      <c r="J297" s="544"/>
      <c r="K297" s="569"/>
      <c r="L297" s="544"/>
      <c r="M297" s="544"/>
      <c r="N297" s="544"/>
      <c r="O297" s="544"/>
      <c r="P297" s="544"/>
      <c r="Q297" s="544"/>
      <c r="R297" s="544"/>
      <c r="S297" s="544"/>
      <c r="T297" s="544"/>
      <c r="U297" s="544"/>
      <c r="V297" s="544"/>
      <c r="W297" s="544"/>
      <c r="X297" s="544"/>
      <c r="Y297" s="544"/>
      <c r="Z297" s="544"/>
      <c r="AA297" s="544"/>
      <c r="AB297" s="544"/>
    </row>
    <row r="298" spans="1:28" x14ac:dyDescent="0.2">
      <c r="A298" s="544"/>
      <c r="B298" s="544"/>
      <c r="C298" s="544"/>
      <c r="D298" s="544"/>
      <c r="E298" s="544"/>
      <c r="F298" s="569"/>
      <c r="G298" s="544"/>
      <c r="H298" s="544"/>
      <c r="I298" s="544"/>
      <c r="J298" s="544"/>
      <c r="K298" s="569"/>
      <c r="L298" s="544"/>
      <c r="M298" s="544"/>
      <c r="N298" s="544"/>
      <c r="O298" s="544"/>
      <c r="P298" s="544"/>
      <c r="Q298" s="544"/>
      <c r="R298" s="544"/>
      <c r="S298" s="544"/>
      <c r="T298" s="544"/>
      <c r="U298" s="544"/>
      <c r="V298" s="544"/>
      <c r="W298" s="544"/>
      <c r="X298" s="544"/>
      <c r="Y298" s="544"/>
      <c r="Z298" s="544"/>
      <c r="AA298" s="544"/>
      <c r="AB298" s="544"/>
    </row>
    <row r="299" spans="1:28" x14ac:dyDescent="0.2">
      <c r="A299" s="544"/>
      <c r="B299" s="544"/>
      <c r="C299" s="544"/>
      <c r="D299" s="544"/>
      <c r="E299" s="544"/>
      <c r="F299" s="569"/>
      <c r="G299" s="544"/>
      <c r="H299" s="544"/>
      <c r="I299" s="544"/>
      <c r="J299" s="544"/>
      <c r="K299" s="569"/>
      <c r="L299" s="544"/>
      <c r="M299" s="544"/>
      <c r="N299" s="544"/>
      <c r="O299" s="544"/>
      <c r="P299" s="544"/>
      <c r="Q299" s="544"/>
      <c r="R299" s="544"/>
      <c r="S299" s="544"/>
      <c r="T299" s="544"/>
      <c r="U299" s="544"/>
      <c r="V299" s="544"/>
      <c r="W299" s="544"/>
      <c r="X299" s="544"/>
      <c r="Y299" s="544"/>
      <c r="Z299" s="544"/>
      <c r="AA299" s="544"/>
      <c r="AB299" s="544"/>
    </row>
    <row r="300" spans="1:28" x14ac:dyDescent="0.2">
      <c r="A300" s="544"/>
      <c r="B300" s="544"/>
      <c r="C300" s="544"/>
      <c r="D300" s="544"/>
      <c r="E300" s="544"/>
      <c r="F300" s="569"/>
      <c r="G300" s="544"/>
      <c r="H300" s="544"/>
      <c r="I300" s="544"/>
      <c r="J300" s="544"/>
      <c r="K300" s="569"/>
      <c r="L300" s="544"/>
      <c r="M300" s="544"/>
      <c r="N300" s="544"/>
      <c r="O300" s="544"/>
      <c r="P300" s="544"/>
      <c r="Q300" s="544"/>
      <c r="R300" s="544"/>
      <c r="S300" s="544"/>
      <c r="T300" s="544"/>
      <c r="U300" s="544"/>
      <c r="V300" s="544"/>
      <c r="W300" s="544"/>
      <c r="X300" s="544"/>
      <c r="Y300" s="544"/>
      <c r="Z300" s="544"/>
      <c r="AA300" s="544"/>
      <c r="AB300" s="544"/>
    </row>
    <row r="301" spans="1:28" x14ac:dyDescent="0.2">
      <c r="A301" s="544"/>
      <c r="B301" s="544"/>
      <c r="C301" s="544"/>
      <c r="D301" s="544"/>
      <c r="E301" s="544"/>
      <c r="F301" s="569"/>
      <c r="G301" s="544"/>
      <c r="H301" s="544"/>
      <c r="I301" s="544"/>
      <c r="J301" s="544"/>
      <c r="K301" s="569"/>
      <c r="L301" s="544"/>
      <c r="M301" s="544"/>
      <c r="N301" s="544"/>
      <c r="O301" s="544"/>
      <c r="P301" s="544"/>
      <c r="Q301" s="544"/>
      <c r="R301" s="544"/>
      <c r="S301" s="544"/>
      <c r="T301" s="544"/>
      <c r="U301" s="544"/>
      <c r="V301" s="544"/>
      <c r="W301" s="544"/>
      <c r="X301" s="544"/>
      <c r="Y301" s="544"/>
      <c r="Z301" s="544"/>
      <c r="AA301" s="544"/>
      <c r="AB301" s="544"/>
    </row>
    <row r="302" spans="1:28" x14ac:dyDescent="0.2">
      <c r="A302" s="544"/>
      <c r="B302" s="544"/>
      <c r="C302" s="544"/>
      <c r="D302" s="544"/>
      <c r="E302" s="544"/>
      <c r="F302" s="569"/>
      <c r="G302" s="544"/>
      <c r="H302" s="544"/>
      <c r="I302" s="544"/>
      <c r="J302" s="544"/>
      <c r="K302" s="569"/>
      <c r="L302" s="544"/>
      <c r="M302" s="544"/>
      <c r="N302" s="544"/>
      <c r="O302" s="544"/>
      <c r="P302" s="544"/>
      <c r="Q302" s="544"/>
      <c r="R302" s="544"/>
      <c r="S302" s="544"/>
      <c r="T302" s="544"/>
      <c r="U302" s="544"/>
      <c r="V302" s="544"/>
      <c r="W302" s="544"/>
      <c r="X302" s="544"/>
      <c r="Y302" s="544"/>
      <c r="Z302" s="544"/>
      <c r="AA302" s="544"/>
      <c r="AB302" s="544"/>
    </row>
    <row r="303" spans="1:28" x14ac:dyDescent="0.2">
      <c r="A303" s="544"/>
      <c r="B303" s="544"/>
      <c r="C303" s="544"/>
      <c r="D303" s="544"/>
      <c r="E303" s="544"/>
      <c r="F303" s="569"/>
      <c r="G303" s="544"/>
      <c r="H303" s="544"/>
      <c r="I303" s="544"/>
      <c r="J303" s="544"/>
      <c r="K303" s="569"/>
      <c r="L303" s="544"/>
      <c r="M303" s="544"/>
      <c r="N303" s="544"/>
      <c r="O303" s="544"/>
      <c r="P303" s="544"/>
      <c r="Q303" s="544"/>
      <c r="R303" s="544"/>
      <c r="S303" s="544"/>
      <c r="T303" s="544"/>
      <c r="U303" s="544"/>
      <c r="V303" s="544"/>
      <c r="W303" s="544"/>
      <c r="X303" s="544"/>
      <c r="Y303" s="544"/>
      <c r="Z303" s="544"/>
      <c r="AA303" s="544"/>
      <c r="AB303" s="544"/>
    </row>
    <row r="304" spans="1:28" x14ac:dyDescent="0.2">
      <c r="A304" s="544"/>
      <c r="B304" s="544"/>
      <c r="C304" s="544"/>
      <c r="D304" s="544"/>
      <c r="E304" s="544"/>
      <c r="F304" s="569"/>
      <c r="G304" s="544"/>
      <c r="H304" s="544"/>
      <c r="I304" s="544"/>
      <c r="J304" s="544"/>
      <c r="K304" s="569"/>
      <c r="L304" s="544"/>
      <c r="M304" s="544"/>
      <c r="N304" s="544"/>
      <c r="O304" s="544"/>
      <c r="P304" s="544"/>
      <c r="Q304" s="544"/>
      <c r="R304" s="544"/>
      <c r="S304" s="544"/>
      <c r="T304" s="544"/>
      <c r="U304" s="544"/>
      <c r="V304" s="544"/>
      <c r="W304" s="544"/>
      <c r="X304" s="544"/>
      <c r="Y304" s="544"/>
      <c r="Z304" s="544"/>
      <c r="AA304" s="544"/>
      <c r="AB304" s="544"/>
    </row>
    <row r="305" spans="1:28" x14ac:dyDescent="0.2">
      <c r="A305" s="544"/>
      <c r="B305" s="544"/>
      <c r="C305" s="544"/>
      <c r="D305" s="544"/>
      <c r="E305" s="544"/>
      <c r="F305" s="569"/>
      <c r="G305" s="544"/>
      <c r="H305" s="544"/>
      <c r="I305" s="544"/>
      <c r="J305" s="544"/>
      <c r="K305" s="569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44"/>
      <c r="AB305" s="544"/>
    </row>
    <row r="306" spans="1:28" x14ac:dyDescent="0.2">
      <c r="A306" s="544"/>
      <c r="B306" s="544"/>
      <c r="C306" s="544"/>
      <c r="D306" s="544"/>
      <c r="E306" s="544"/>
      <c r="F306" s="569"/>
      <c r="G306" s="544"/>
      <c r="H306" s="544"/>
      <c r="I306" s="544"/>
      <c r="J306" s="544"/>
      <c r="K306" s="569"/>
      <c r="L306" s="544"/>
      <c r="M306" s="544"/>
      <c r="N306" s="544"/>
      <c r="O306" s="544"/>
      <c r="P306" s="544"/>
      <c r="Q306" s="544"/>
      <c r="R306" s="544"/>
      <c r="S306" s="544"/>
      <c r="T306" s="544"/>
      <c r="U306" s="544"/>
      <c r="V306" s="544"/>
      <c r="W306" s="544"/>
      <c r="X306" s="544"/>
      <c r="Y306" s="544"/>
      <c r="Z306" s="544"/>
      <c r="AA306" s="544"/>
      <c r="AB306" s="544"/>
    </row>
    <row r="307" spans="1:28" x14ac:dyDescent="0.2">
      <c r="A307" s="544"/>
      <c r="B307" s="544"/>
      <c r="C307" s="544"/>
      <c r="D307" s="544"/>
      <c r="E307" s="544"/>
      <c r="F307" s="569"/>
      <c r="G307" s="544"/>
      <c r="H307" s="544"/>
      <c r="I307" s="544"/>
      <c r="J307" s="544"/>
      <c r="K307" s="569"/>
      <c r="L307" s="544"/>
      <c r="M307" s="544"/>
      <c r="N307" s="544"/>
      <c r="O307" s="544"/>
      <c r="P307" s="544"/>
      <c r="Q307" s="544"/>
      <c r="R307" s="544"/>
      <c r="S307" s="544"/>
      <c r="T307" s="544"/>
      <c r="U307" s="544"/>
      <c r="V307" s="544"/>
      <c r="W307" s="544"/>
      <c r="X307" s="544"/>
      <c r="Y307" s="544"/>
      <c r="Z307" s="544"/>
      <c r="AA307" s="544"/>
      <c r="AB307" s="544"/>
    </row>
    <row r="308" spans="1:28" x14ac:dyDescent="0.2">
      <c r="A308" s="544"/>
      <c r="B308" s="544"/>
      <c r="C308" s="544"/>
      <c r="D308" s="544"/>
      <c r="E308" s="544"/>
      <c r="F308" s="569"/>
      <c r="G308" s="544"/>
      <c r="H308" s="544"/>
      <c r="I308" s="544"/>
      <c r="J308" s="544"/>
      <c r="K308" s="569"/>
      <c r="L308" s="544"/>
      <c r="M308" s="544"/>
      <c r="N308" s="544"/>
      <c r="O308" s="544"/>
      <c r="P308" s="544"/>
      <c r="Q308" s="544"/>
      <c r="R308" s="544"/>
      <c r="S308" s="544"/>
      <c r="T308" s="544"/>
      <c r="U308" s="544"/>
      <c r="V308" s="544"/>
      <c r="W308" s="544"/>
      <c r="X308" s="544"/>
      <c r="Y308" s="544"/>
      <c r="Z308" s="544"/>
      <c r="AA308" s="544"/>
      <c r="AB308" s="544"/>
    </row>
    <row r="309" spans="1:28" x14ac:dyDescent="0.2">
      <c r="A309" s="544"/>
      <c r="B309" s="544"/>
      <c r="C309" s="544"/>
      <c r="D309" s="544"/>
      <c r="E309" s="544"/>
      <c r="F309" s="569"/>
      <c r="G309" s="544"/>
      <c r="H309" s="544"/>
      <c r="I309" s="544"/>
      <c r="J309" s="544"/>
      <c r="K309" s="569"/>
      <c r="L309" s="544"/>
      <c r="M309" s="544"/>
      <c r="N309" s="544"/>
      <c r="O309" s="544"/>
      <c r="P309" s="544"/>
      <c r="Q309" s="544"/>
      <c r="R309" s="544"/>
      <c r="S309" s="544"/>
      <c r="T309" s="544"/>
      <c r="U309" s="544"/>
      <c r="V309" s="544"/>
      <c r="W309" s="544"/>
      <c r="X309" s="544"/>
      <c r="Y309" s="544"/>
      <c r="Z309" s="544"/>
      <c r="AA309" s="544"/>
      <c r="AB309" s="544"/>
    </row>
    <row r="310" spans="1:28" x14ac:dyDescent="0.2">
      <c r="A310" s="544"/>
      <c r="B310" s="544"/>
      <c r="C310" s="544"/>
      <c r="D310" s="544"/>
      <c r="E310" s="544"/>
      <c r="F310" s="569"/>
      <c r="G310" s="544"/>
      <c r="H310" s="544"/>
      <c r="I310" s="544"/>
      <c r="J310" s="544"/>
      <c r="K310" s="569"/>
      <c r="L310" s="544"/>
      <c r="M310" s="544"/>
      <c r="N310" s="544"/>
      <c r="O310" s="544"/>
      <c r="P310" s="544"/>
      <c r="Q310" s="544"/>
      <c r="R310" s="544"/>
      <c r="S310" s="544"/>
      <c r="T310" s="544"/>
      <c r="U310" s="544"/>
      <c r="V310" s="544"/>
      <c r="W310" s="544"/>
      <c r="X310" s="544"/>
      <c r="Y310" s="544"/>
      <c r="Z310" s="544"/>
      <c r="AA310" s="544"/>
      <c r="AB310" s="544"/>
    </row>
    <row r="311" spans="1:28" x14ac:dyDescent="0.2">
      <c r="A311" s="544"/>
      <c r="B311" s="544"/>
      <c r="C311" s="544"/>
      <c r="D311" s="544"/>
      <c r="E311" s="544"/>
      <c r="F311" s="569"/>
      <c r="G311" s="544"/>
      <c r="H311" s="544"/>
      <c r="I311" s="544"/>
      <c r="J311" s="544"/>
      <c r="K311" s="569"/>
      <c r="L311" s="544"/>
      <c r="M311" s="544"/>
      <c r="N311" s="544"/>
      <c r="O311" s="544"/>
      <c r="P311" s="544"/>
      <c r="Q311" s="544"/>
      <c r="R311" s="544"/>
      <c r="S311" s="544"/>
      <c r="T311" s="544"/>
      <c r="U311" s="544"/>
      <c r="V311" s="544"/>
      <c r="W311" s="544"/>
      <c r="X311" s="544"/>
      <c r="Y311" s="544"/>
      <c r="Z311" s="544"/>
      <c r="AA311" s="544"/>
      <c r="AB311" s="544"/>
    </row>
    <row r="312" spans="1:28" x14ac:dyDescent="0.2">
      <c r="A312" s="544"/>
      <c r="B312" s="544"/>
      <c r="C312" s="544"/>
      <c r="D312" s="544"/>
      <c r="E312" s="544"/>
      <c r="F312" s="569"/>
      <c r="G312" s="544"/>
      <c r="H312" s="544"/>
      <c r="I312" s="544"/>
      <c r="J312" s="544"/>
      <c r="K312" s="569"/>
      <c r="L312" s="544"/>
      <c r="M312" s="544"/>
      <c r="N312" s="544"/>
      <c r="O312" s="544"/>
      <c r="P312" s="544"/>
      <c r="Q312" s="544"/>
      <c r="R312" s="544"/>
      <c r="S312" s="544"/>
      <c r="T312" s="544"/>
      <c r="U312" s="544"/>
      <c r="V312" s="544"/>
      <c r="W312" s="544"/>
      <c r="X312" s="544"/>
      <c r="Y312" s="544"/>
      <c r="Z312" s="544"/>
      <c r="AA312" s="544"/>
      <c r="AB312" s="544"/>
    </row>
    <row r="313" spans="1:28" x14ac:dyDescent="0.2">
      <c r="A313" s="544"/>
      <c r="B313" s="544"/>
      <c r="C313" s="544"/>
      <c r="D313" s="544"/>
      <c r="E313" s="544"/>
      <c r="F313" s="569"/>
      <c r="G313" s="544"/>
      <c r="H313" s="544"/>
      <c r="I313" s="544"/>
      <c r="J313" s="544"/>
      <c r="K313" s="569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44"/>
      <c r="AB313" s="544"/>
    </row>
    <row r="314" spans="1:28" x14ac:dyDescent="0.2">
      <c r="A314" s="544"/>
      <c r="B314" s="544"/>
      <c r="C314" s="544"/>
      <c r="D314" s="544"/>
      <c r="E314" s="544"/>
      <c r="F314" s="569"/>
      <c r="G314" s="544"/>
      <c r="H314" s="544"/>
      <c r="I314" s="544"/>
      <c r="J314" s="544"/>
      <c r="K314" s="569"/>
      <c r="L314" s="544"/>
      <c r="M314" s="544"/>
      <c r="N314" s="544"/>
      <c r="O314" s="544"/>
      <c r="P314" s="544"/>
      <c r="Q314" s="544"/>
      <c r="R314" s="544"/>
      <c r="S314" s="544"/>
      <c r="T314" s="544"/>
      <c r="U314" s="544"/>
      <c r="V314" s="544"/>
      <c r="W314" s="544"/>
      <c r="X314" s="544"/>
      <c r="Y314" s="544"/>
      <c r="Z314" s="544"/>
      <c r="AA314" s="544"/>
      <c r="AB314" s="544"/>
    </row>
    <row r="315" spans="1:28" x14ac:dyDescent="0.2">
      <c r="A315" s="544"/>
      <c r="B315" s="544"/>
      <c r="C315" s="544"/>
      <c r="D315" s="544"/>
      <c r="E315" s="544"/>
      <c r="F315" s="569"/>
      <c r="G315" s="544"/>
      <c r="H315" s="544"/>
      <c r="I315" s="544"/>
      <c r="J315" s="544"/>
      <c r="K315" s="569"/>
      <c r="L315" s="544"/>
      <c r="M315" s="544"/>
      <c r="N315" s="544"/>
      <c r="O315" s="544"/>
      <c r="P315" s="544"/>
      <c r="Q315" s="544"/>
      <c r="R315" s="544"/>
      <c r="S315" s="544"/>
      <c r="T315" s="544"/>
      <c r="U315" s="544"/>
      <c r="V315" s="544"/>
      <c r="W315" s="544"/>
      <c r="X315" s="544"/>
      <c r="Y315" s="544"/>
      <c r="Z315" s="544"/>
      <c r="AA315" s="544"/>
      <c r="AB315" s="544"/>
    </row>
    <row r="316" spans="1:28" x14ac:dyDescent="0.2">
      <c r="A316" s="544"/>
      <c r="B316" s="544"/>
      <c r="C316" s="544"/>
      <c r="D316" s="544"/>
      <c r="E316" s="544"/>
      <c r="F316" s="569"/>
      <c r="G316" s="544"/>
      <c r="H316" s="544"/>
      <c r="I316" s="544"/>
      <c r="J316" s="544"/>
      <c r="K316" s="569"/>
      <c r="L316" s="544"/>
      <c r="M316" s="544"/>
      <c r="N316" s="544"/>
      <c r="O316" s="544"/>
      <c r="P316" s="544"/>
      <c r="Q316" s="544"/>
      <c r="R316" s="544"/>
      <c r="S316" s="544"/>
      <c r="T316" s="544"/>
      <c r="U316" s="544"/>
      <c r="V316" s="544"/>
      <c r="W316" s="544"/>
      <c r="X316" s="544"/>
      <c r="Y316" s="544"/>
      <c r="Z316" s="544"/>
      <c r="AA316" s="544"/>
      <c r="AB316" s="544"/>
    </row>
    <row r="317" spans="1:28" x14ac:dyDescent="0.2">
      <c r="A317" s="544"/>
      <c r="B317" s="544"/>
      <c r="C317" s="544"/>
      <c r="D317" s="544"/>
      <c r="E317" s="544"/>
      <c r="F317" s="569"/>
      <c r="G317" s="544"/>
      <c r="H317" s="544"/>
      <c r="I317" s="544"/>
      <c r="J317" s="544"/>
      <c r="K317" s="569"/>
      <c r="L317" s="544"/>
      <c r="M317" s="544"/>
      <c r="N317" s="544"/>
      <c r="O317" s="544"/>
      <c r="P317" s="544"/>
      <c r="Q317" s="544"/>
      <c r="R317" s="544"/>
      <c r="S317" s="544"/>
      <c r="T317" s="544"/>
      <c r="U317" s="544"/>
      <c r="V317" s="544"/>
      <c r="W317" s="544"/>
      <c r="X317" s="544"/>
      <c r="Y317" s="544"/>
      <c r="Z317" s="544"/>
      <c r="AA317" s="544"/>
      <c r="AB317" s="544"/>
    </row>
    <row r="318" spans="1:28" x14ac:dyDescent="0.2">
      <c r="A318" s="544"/>
      <c r="B318" s="544"/>
      <c r="C318" s="544"/>
      <c r="D318" s="544"/>
      <c r="E318" s="544"/>
      <c r="F318" s="569"/>
      <c r="G318" s="544"/>
      <c r="H318" s="544"/>
      <c r="I318" s="544"/>
      <c r="J318" s="544"/>
      <c r="K318" s="569"/>
      <c r="L318" s="544"/>
      <c r="M318" s="544"/>
      <c r="N318" s="544"/>
      <c r="O318" s="544"/>
      <c r="P318" s="544"/>
      <c r="Q318" s="544"/>
      <c r="R318" s="544"/>
      <c r="S318" s="544"/>
      <c r="T318" s="544"/>
      <c r="U318" s="544"/>
      <c r="V318" s="544"/>
      <c r="W318" s="544"/>
      <c r="X318" s="544"/>
      <c r="Y318" s="544"/>
      <c r="Z318" s="544"/>
      <c r="AA318" s="544"/>
      <c r="AB318" s="544"/>
    </row>
    <row r="319" spans="1:28" x14ac:dyDescent="0.2">
      <c r="A319" s="544"/>
      <c r="B319" s="544"/>
      <c r="C319" s="544"/>
      <c r="D319" s="544"/>
      <c r="E319" s="544"/>
      <c r="F319" s="569"/>
      <c r="G319" s="544"/>
      <c r="H319" s="544"/>
      <c r="I319" s="544"/>
      <c r="J319" s="544"/>
      <c r="K319" s="569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44"/>
      <c r="AB319" s="544"/>
    </row>
    <row r="320" spans="1:28" x14ac:dyDescent="0.2">
      <c r="A320" s="544"/>
      <c r="B320" s="544"/>
      <c r="C320" s="544"/>
      <c r="D320" s="544"/>
      <c r="E320" s="544"/>
      <c r="F320" s="569"/>
      <c r="G320" s="544"/>
      <c r="H320" s="544"/>
      <c r="I320" s="544"/>
      <c r="J320" s="544"/>
      <c r="K320" s="569"/>
      <c r="L320" s="544"/>
      <c r="M320" s="544"/>
      <c r="N320" s="544"/>
      <c r="O320" s="544"/>
      <c r="P320" s="544"/>
      <c r="Q320" s="544"/>
      <c r="R320" s="544"/>
      <c r="S320" s="544"/>
      <c r="T320" s="544"/>
      <c r="U320" s="544"/>
      <c r="V320" s="544"/>
      <c r="W320" s="544"/>
      <c r="X320" s="544"/>
      <c r="Y320" s="544"/>
      <c r="Z320" s="544"/>
      <c r="AA320" s="544"/>
      <c r="AB320" s="544"/>
    </row>
    <row r="321" spans="1:28" x14ac:dyDescent="0.2">
      <c r="A321" s="544"/>
      <c r="B321" s="544"/>
      <c r="C321" s="544"/>
      <c r="D321" s="544"/>
      <c r="E321" s="544"/>
      <c r="F321" s="569"/>
      <c r="G321" s="544"/>
      <c r="H321" s="544"/>
      <c r="I321" s="544"/>
      <c r="J321" s="544"/>
      <c r="K321" s="569"/>
      <c r="L321" s="544"/>
      <c r="M321" s="544"/>
      <c r="N321" s="544"/>
      <c r="O321" s="544"/>
      <c r="P321" s="544"/>
      <c r="Q321" s="544"/>
      <c r="R321" s="544"/>
      <c r="S321" s="544"/>
      <c r="T321" s="544"/>
      <c r="U321" s="544"/>
      <c r="V321" s="544"/>
      <c r="W321" s="544"/>
      <c r="X321" s="544"/>
      <c r="Y321" s="544"/>
      <c r="Z321" s="544"/>
      <c r="AA321" s="544"/>
      <c r="AB321" s="544"/>
    </row>
    <row r="322" spans="1:28" x14ac:dyDescent="0.2">
      <c r="A322" s="544"/>
      <c r="B322" s="544"/>
      <c r="C322" s="544"/>
      <c r="D322" s="544"/>
      <c r="E322" s="544"/>
      <c r="F322" s="569"/>
      <c r="G322" s="544"/>
      <c r="H322" s="544"/>
      <c r="I322" s="544"/>
      <c r="J322" s="544"/>
      <c r="K322" s="569"/>
      <c r="L322" s="544"/>
      <c r="M322" s="544"/>
      <c r="N322" s="544"/>
      <c r="O322" s="544"/>
      <c r="P322" s="544"/>
      <c r="Q322" s="544"/>
      <c r="R322" s="544"/>
      <c r="S322" s="544"/>
      <c r="T322" s="544"/>
      <c r="U322" s="544"/>
      <c r="V322" s="544"/>
      <c r="W322" s="544"/>
      <c r="X322" s="544"/>
      <c r="Y322" s="544"/>
      <c r="Z322" s="544"/>
      <c r="AA322" s="544"/>
      <c r="AB322" s="544"/>
    </row>
    <row r="323" spans="1:28" x14ac:dyDescent="0.2">
      <c r="A323" s="544"/>
      <c r="B323" s="544"/>
      <c r="C323" s="544"/>
      <c r="D323" s="544"/>
      <c r="E323" s="544"/>
      <c r="F323" s="569"/>
      <c r="G323" s="544"/>
      <c r="H323" s="544"/>
      <c r="I323" s="544"/>
      <c r="J323" s="544"/>
      <c r="K323" s="569"/>
      <c r="L323" s="544"/>
      <c r="M323" s="544"/>
      <c r="N323" s="544"/>
      <c r="O323" s="544"/>
      <c r="P323" s="544"/>
      <c r="Q323" s="544"/>
      <c r="R323" s="544"/>
      <c r="S323" s="544"/>
      <c r="T323" s="544"/>
      <c r="U323" s="544"/>
      <c r="V323" s="544"/>
      <c r="W323" s="544"/>
      <c r="X323" s="544"/>
      <c r="Y323" s="544"/>
      <c r="Z323" s="544"/>
      <c r="AA323" s="544"/>
      <c r="AB323" s="544"/>
    </row>
    <row r="324" spans="1:28" x14ac:dyDescent="0.2">
      <c r="A324" s="544"/>
      <c r="B324" s="544"/>
      <c r="C324" s="544"/>
      <c r="D324" s="544"/>
      <c r="E324" s="544"/>
      <c r="F324" s="569"/>
      <c r="G324" s="544"/>
      <c r="H324" s="544"/>
      <c r="I324" s="544"/>
      <c r="J324" s="544"/>
      <c r="K324" s="569"/>
      <c r="L324" s="544"/>
      <c r="M324" s="544"/>
      <c r="N324" s="544"/>
      <c r="O324" s="544"/>
      <c r="P324" s="544"/>
      <c r="Q324" s="544"/>
      <c r="R324" s="544"/>
      <c r="S324" s="544"/>
      <c r="T324" s="544"/>
      <c r="U324" s="544"/>
      <c r="V324" s="544"/>
      <c r="W324" s="544"/>
      <c r="X324" s="544"/>
      <c r="Y324" s="544"/>
      <c r="Z324" s="544"/>
      <c r="AA324" s="544"/>
      <c r="AB324" s="544"/>
    </row>
    <row r="325" spans="1:28" x14ac:dyDescent="0.2">
      <c r="A325" s="544"/>
      <c r="B325" s="544"/>
      <c r="C325" s="544"/>
      <c r="D325" s="544"/>
      <c r="E325" s="544"/>
      <c r="F325" s="569"/>
      <c r="G325" s="544"/>
      <c r="H325" s="544"/>
      <c r="I325" s="544"/>
      <c r="J325" s="544"/>
      <c r="K325" s="569"/>
      <c r="L325" s="544"/>
      <c r="M325" s="544"/>
      <c r="N325" s="544"/>
      <c r="O325" s="544"/>
      <c r="P325" s="544"/>
      <c r="Q325" s="544"/>
      <c r="R325" s="544"/>
      <c r="S325" s="544"/>
      <c r="T325" s="544"/>
      <c r="U325" s="544"/>
      <c r="V325" s="544"/>
      <c r="W325" s="544"/>
      <c r="X325" s="544"/>
      <c r="Y325" s="544"/>
      <c r="Z325" s="544"/>
      <c r="AA325" s="544"/>
      <c r="AB325" s="544"/>
    </row>
    <row r="326" spans="1:28" x14ac:dyDescent="0.2">
      <c r="A326" s="544"/>
      <c r="B326" s="544"/>
      <c r="C326" s="544"/>
      <c r="D326" s="544"/>
      <c r="E326" s="544"/>
      <c r="F326" s="569"/>
      <c r="G326" s="544"/>
      <c r="H326" s="544"/>
      <c r="I326" s="544"/>
      <c r="J326" s="544"/>
      <c r="K326" s="569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44"/>
      <c r="AB326" s="544"/>
    </row>
    <row r="327" spans="1:28" x14ac:dyDescent="0.2">
      <c r="A327" s="544"/>
      <c r="B327" s="544"/>
      <c r="C327" s="544"/>
      <c r="D327" s="544"/>
      <c r="E327" s="544"/>
      <c r="F327" s="569"/>
      <c r="G327" s="544"/>
      <c r="H327" s="544"/>
      <c r="I327" s="544"/>
      <c r="J327" s="544"/>
      <c r="K327" s="569"/>
      <c r="L327" s="544"/>
      <c r="M327" s="544"/>
      <c r="N327" s="544"/>
      <c r="O327" s="544"/>
      <c r="P327" s="544"/>
      <c r="Q327" s="544"/>
      <c r="R327" s="544"/>
      <c r="S327" s="544"/>
      <c r="T327" s="544"/>
      <c r="U327" s="544"/>
      <c r="V327" s="544"/>
      <c r="W327" s="544"/>
      <c r="X327" s="544"/>
      <c r="Y327" s="544"/>
      <c r="Z327" s="544"/>
      <c r="AA327" s="544"/>
      <c r="AB327" s="544"/>
    </row>
    <row r="328" spans="1:28" x14ac:dyDescent="0.2">
      <c r="A328" s="544"/>
      <c r="B328" s="544"/>
      <c r="C328" s="544"/>
      <c r="D328" s="544"/>
      <c r="E328" s="544"/>
      <c r="F328" s="569"/>
      <c r="G328" s="544"/>
      <c r="H328" s="544"/>
      <c r="I328" s="544"/>
      <c r="J328" s="544"/>
      <c r="K328" s="569"/>
      <c r="L328" s="544"/>
      <c r="M328" s="544"/>
      <c r="N328" s="544"/>
      <c r="O328" s="544"/>
      <c r="P328" s="544"/>
      <c r="Q328" s="544"/>
      <c r="R328" s="544"/>
      <c r="S328" s="544"/>
      <c r="T328" s="544"/>
      <c r="U328" s="544"/>
      <c r="V328" s="544"/>
      <c r="W328" s="544"/>
      <c r="X328" s="544"/>
      <c r="Y328" s="544"/>
      <c r="Z328" s="544"/>
      <c r="AA328" s="544"/>
      <c r="AB328" s="544"/>
    </row>
    <row r="329" spans="1:28" x14ac:dyDescent="0.2">
      <c r="A329" s="544"/>
      <c r="B329" s="544"/>
      <c r="C329" s="544"/>
      <c r="D329" s="544"/>
      <c r="E329" s="544"/>
      <c r="F329" s="569"/>
      <c r="G329" s="544"/>
      <c r="H329" s="544"/>
      <c r="I329" s="544"/>
      <c r="J329" s="544"/>
      <c r="K329" s="569"/>
      <c r="L329" s="544"/>
      <c r="M329" s="544"/>
      <c r="N329" s="544"/>
      <c r="O329" s="544"/>
      <c r="P329" s="544"/>
      <c r="Q329" s="544"/>
      <c r="R329" s="544"/>
      <c r="S329" s="544"/>
      <c r="T329" s="544"/>
      <c r="U329" s="544"/>
      <c r="V329" s="544"/>
      <c r="W329" s="544"/>
      <c r="X329" s="544"/>
      <c r="Y329" s="544"/>
      <c r="Z329" s="544"/>
      <c r="AA329" s="544"/>
      <c r="AB329" s="544"/>
    </row>
    <row r="330" spans="1:28" x14ac:dyDescent="0.2">
      <c r="A330" s="544"/>
      <c r="B330" s="544"/>
      <c r="C330" s="544"/>
      <c r="D330" s="544"/>
      <c r="E330" s="544"/>
      <c r="F330" s="569"/>
      <c r="G330" s="544"/>
      <c r="H330" s="544"/>
      <c r="I330" s="544"/>
      <c r="J330" s="544"/>
      <c r="K330" s="569"/>
      <c r="L330" s="544"/>
      <c r="M330" s="544"/>
      <c r="N330" s="544"/>
      <c r="O330" s="544"/>
      <c r="P330" s="544"/>
      <c r="Q330" s="544"/>
      <c r="R330" s="544"/>
      <c r="S330" s="544"/>
      <c r="T330" s="544"/>
      <c r="U330" s="544"/>
      <c r="V330" s="544"/>
      <c r="W330" s="544"/>
      <c r="X330" s="544"/>
      <c r="Y330" s="544"/>
      <c r="Z330" s="544"/>
      <c r="AA330" s="544"/>
      <c r="AB330" s="544"/>
    </row>
    <row r="331" spans="1:28" x14ac:dyDescent="0.2">
      <c r="A331" s="544"/>
      <c r="B331" s="544"/>
      <c r="C331" s="544"/>
      <c r="D331" s="544"/>
      <c r="E331" s="544"/>
      <c r="F331" s="569"/>
      <c r="G331" s="544"/>
      <c r="H331" s="544"/>
      <c r="I331" s="544"/>
      <c r="J331" s="544"/>
      <c r="K331" s="569"/>
      <c r="L331" s="544"/>
      <c r="M331" s="544"/>
      <c r="N331" s="544"/>
      <c r="O331" s="544"/>
      <c r="P331" s="544"/>
      <c r="Q331" s="544"/>
      <c r="R331" s="544"/>
      <c r="S331" s="544"/>
      <c r="T331" s="544"/>
      <c r="U331" s="544"/>
      <c r="V331" s="544"/>
      <c r="W331" s="544"/>
      <c r="X331" s="544"/>
      <c r="Y331" s="544"/>
      <c r="Z331" s="544"/>
      <c r="AA331" s="544"/>
      <c r="AB331" s="544"/>
    </row>
    <row r="332" spans="1:28" x14ac:dyDescent="0.2">
      <c r="A332" s="544"/>
      <c r="B332" s="544"/>
      <c r="C332" s="544"/>
      <c r="D332" s="544"/>
      <c r="E332" s="544"/>
      <c r="F332" s="569"/>
      <c r="G332" s="544"/>
      <c r="H332" s="544"/>
      <c r="I332" s="544"/>
      <c r="J332" s="544"/>
      <c r="K332" s="569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44"/>
      <c r="AB332" s="544"/>
    </row>
    <row r="333" spans="1:28" x14ac:dyDescent="0.2">
      <c r="A333" s="544"/>
      <c r="B333" s="544"/>
      <c r="C333" s="544"/>
      <c r="D333" s="544"/>
      <c r="E333" s="544"/>
      <c r="F333" s="569"/>
      <c r="G333" s="544"/>
      <c r="H333" s="544"/>
      <c r="I333" s="544"/>
      <c r="J333" s="544"/>
      <c r="K333" s="569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44"/>
      <c r="AB333" s="544"/>
    </row>
    <row r="334" spans="1:28" x14ac:dyDescent="0.2">
      <c r="A334" s="544"/>
      <c r="B334" s="544"/>
      <c r="C334" s="544"/>
      <c r="D334" s="544"/>
      <c r="E334" s="544"/>
      <c r="F334" s="569"/>
      <c r="G334" s="544"/>
      <c r="H334" s="544"/>
      <c r="I334" s="544"/>
      <c r="J334" s="544"/>
      <c r="K334" s="569"/>
      <c r="L334" s="544"/>
      <c r="M334" s="544"/>
      <c r="N334" s="544"/>
      <c r="O334" s="544"/>
      <c r="P334" s="544"/>
      <c r="Q334" s="544"/>
      <c r="R334" s="544"/>
      <c r="S334" s="544"/>
      <c r="T334" s="544"/>
      <c r="U334" s="544"/>
      <c r="V334" s="544"/>
      <c r="W334" s="544"/>
      <c r="X334" s="544"/>
      <c r="Y334" s="544"/>
      <c r="Z334" s="544"/>
      <c r="AA334" s="544"/>
      <c r="AB334" s="544"/>
    </row>
    <row r="335" spans="1:28" x14ac:dyDescent="0.2">
      <c r="A335" s="544"/>
      <c r="B335" s="544"/>
      <c r="C335" s="544"/>
      <c r="D335" s="544"/>
      <c r="E335" s="544"/>
      <c r="F335" s="569"/>
      <c r="G335" s="544"/>
      <c r="H335" s="544"/>
      <c r="I335" s="544"/>
      <c r="J335" s="544"/>
      <c r="K335" s="569"/>
      <c r="L335" s="544"/>
      <c r="M335" s="544"/>
      <c r="N335" s="544"/>
      <c r="O335" s="544"/>
      <c r="P335" s="544"/>
      <c r="Q335" s="544"/>
      <c r="R335" s="544"/>
      <c r="S335" s="544"/>
      <c r="T335" s="544"/>
      <c r="U335" s="544"/>
      <c r="V335" s="544"/>
      <c r="W335" s="544"/>
      <c r="X335" s="544"/>
      <c r="Y335" s="544"/>
      <c r="Z335" s="544"/>
      <c r="AA335" s="544"/>
      <c r="AB335" s="544"/>
    </row>
    <row r="336" spans="1:28" x14ac:dyDescent="0.2">
      <c r="A336" s="544"/>
      <c r="B336" s="544"/>
      <c r="C336" s="544"/>
      <c r="D336" s="544"/>
      <c r="E336" s="544"/>
      <c r="F336" s="569"/>
      <c r="G336" s="544"/>
      <c r="H336" s="544"/>
      <c r="I336" s="544"/>
      <c r="J336" s="544"/>
      <c r="K336" s="569"/>
      <c r="L336" s="544"/>
      <c r="M336" s="544"/>
      <c r="N336" s="544"/>
      <c r="O336" s="544"/>
      <c r="P336" s="544"/>
      <c r="Q336" s="544"/>
      <c r="R336" s="544"/>
      <c r="S336" s="544"/>
      <c r="T336" s="544"/>
      <c r="U336" s="544"/>
      <c r="V336" s="544"/>
      <c r="W336" s="544"/>
      <c r="X336" s="544"/>
      <c r="Y336" s="544"/>
      <c r="Z336" s="544"/>
      <c r="AA336" s="544"/>
      <c r="AB336" s="544"/>
    </row>
    <row r="337" spans="1:28" x14ac:dyDescent="0.2">
      <c r="A337" s="544"/>
      <c r="B337" s="544"/>
      <c r="C337" s="544"/>
      <c r="D337" s="544"/>
      <c r="E337" s="544"/>
      <c r="F337" s="569"/>
      <c r="G337" s="544"/>
      <c r="H337" s="544"/>
      <c r="I337" s="544"/>
      <c r="J337" s="544"/>
      <c r="K337" s="569"/>
      <c r="L337" s="544"/>
      <c r="M337" s="544"/>
      <c r="N337" s="544"/>
      <c r="O337" s="544"/>
      <c r="P337" s="544"/>
      <c r="Q337" s="544"/>
      <c r="R337" s="544"/>
      <c r="S337" s="544"/>
      <c r="T337" s="544"/>
      <c r="U337" s="544"/>
      <c r="V337" s="544"/>
      <c r="W337" s="544"/>
      <c r="X337" s="544"/>
      <c r="Y337" s="544"/>
      <c r="Z337" s="544"/>
      <c r="AA337" s="544"/>
      <c r="AB337" s="544"/>
    </row>
    <row r="338" spans="1:28" x14ac:dyDescent="0.2">
      <c r="A338" s="544"/>
      <c r="B338" s="544"/>
      <c r="C338" s="544"/>
      <c r="D338" s="544"/>
      <c r="E338" s="544"/>
      <c r="F338" s="569"/>
      <c r="G338" s="544"/>
      <c r="H338" s="544"/>
      <c r="I338" s="544"/>
      <c r="J338" s="544"/>
      <c r="K338" s="569"/>
      <c r="L338" s="544"/>
      <c r="M338" s="544"/>
      <c r="N338" s="544"/>
      <c r="O338" s="544"/>
      <c r="P338" s="544"/>
      <c r="Q338" s="544"/>
      <c r="R338" s="544"/>
      <c r="S338" s="544"/>
      <c r="T338" s="544"/>
      <c r="U338" s="544"/>
      <c r="V338" s="544"/>
      <c r="W338" s="544"/>
      <c r="X338" s="544"/>
      <c r="Y338" s="544"/>
      <c r="Z338" s="544"/>
      <c r="AA338" s="544"/>
      <c r="AB338" s="544"/>
    </row>
    <row r="339" spans="1:28" x14ac:dyDescent="0.2">
      <c r="A339" s="544"/>
      <c r="B339" s="544"/>
      <c r="C339" s="544"/>
      <c r="D339" s="544"/>
      <c r="E339" s="544"/>
      <c r="F339" s="569"/>
      <c r="G339" s="544"/>
      <c r="H339" s="544"/>
      <c r="I339" s="544"/>
      <c r="J339" s="544"/>
      <c r="K339" s="569"/>
      <c r="L339" s="544"/>
      <c r="M339" s="544"/>
      <c r="N339" s="544"/>
      <c r="O339" s="544"/>
      <c r="P339" s="544"/>
      <c r="Q339" s="544"/>
      <c r="R339" s="544"/>
      <c r="S339" s="544"/>
      <c r="T339" s="544"/>
      <c r="U339" s="544"/>
      <c r="V339" s="544"/>
      <c r="W339" s="544"/>
      <c r="X339" s="544"/>
      <c r="Y339" s="544"/>
      <c r="Z339" s="544"/>
      <c r="AA339" s="544"/>
      <c r="AB339" s="544"/>
    </row>
    <row r="340" spans="1:28" x14ac:dyDescent="0.2">
      <c r="A340" s="544"/>
      <c r="B340" s="544"/>
      <c r="C340" s="544"/>
      <c r="D340" s="544"/>
      <c r="E340" s="544"/>
      <c r="F340" s="569"/>
      <c r="G340" s="544"/>
      <c r="H340" s="544"/>
      <c r="I340" s="544"/>
      <c r="J340" s="544"/>
      <c r="K340" s="569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44"/>
      <c r="AB340" s="544"/>
    </row>
    <row r="341" spans="1:28" x14ac:dyDescent="0.2">
      <c r="A341" s="544"/>
      <c r="B341" s="544"/>
      <c r="C341" s="544"/>
      <c r="D341" s="544"/>
      <c r="E341" s="544"/>
      <c r="F341" s="569"/>
      <c r="G341" s="544"/>
      <c r="H341" s="544"/>
      <c r="I341" s="544"/>
      <c r="J341" s="544"/>
      <c r="K341" s="569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44"/>
      <c r="AB341" s="544"/>
    </row>
    <row r="342" spans="1:28" x14ac:dyDescent="0.2">
      <c r="A342" s="544"/>
      <c r="B342" s="544"/>
      <c r="C342" s="544"/>
      <c r="D342" s="544"/>
      <c r="E342" s="544"/>
      <c r="F342" s="569"/>
      <c r="G342" s="544"/>
      <c r="H342" s="544"/>
      <c r="I342" s="544"/>
      <c r="J342" s="544"/>
      <c r="K342" s="569"/>
      <c r="L342" s="544"/>
      <c r="M342" s="544"/>
      <c r="N342" s="544"/>
      <c r="O342" s="544"/>
      <c r="P342" s="544"/>
      <c r="Q342" s="544"/>
      <c r="R342" s="544"/>
      <c r="S342" s="544"/>
      <c r="T342" s="544"/>
      <c r="U342" s="544"/>
      <c r="V342" s="544"/>
      <c r="W342" s="544"/>
      <c r="X342" s="544"/>
      <c r="Y342" s="544"/>
      <c r="Z342" s="544"/>
      <c r="AA342" s="544"/>
      <c r="AB342" s="544"/>
    </row>
    <row r="343" spans="1:28" x14ac:dyDescent="0.2">
      <c r="A343" s="544"/>
      <c r="B343" s="544"/>
      <c r="C343" s="544"/>
      <c r="D343" s="544"/>
      <c r="E343" s="544"/>
      <c r="F343" s="569"/>
      <c r="G343" s="544"/>
      <c r="H343" s="544"/>
      <c r="I343" s="544"/>
      <c r="J343" s="544"/>
      <c r="K343" s="569"/>
      <c r="L343" s="544"/>
      <c r="M343" s="544"/>
      <c r="N343" s="544"/>
      <c r="O343" s="544"/>
      <c r="P343" s="544"/>
      <c r="Q343" s="544"/>
      <c r="R343" s="544"/>
      <c r="S343" s="544"/>
      <c r="T343" s="544"/>
      <c r="U343" s="544"/>
      <c r="V343" s="544"/>
      <c r="W343" s="544"/>
      <c r="X343" s="544"/>
      <c r="Y343" s="544"/>
      <c r="Z343" s="544"/>
      <c r="AA343" s="544"/>
      <c r="AB343" s="544"/>
    </row>
    <row r="344" spans="1:28" x14ac:dyDescent="0.2">
      <c r="A344" s="544"/>
      <c r="B344" s="544"/>
      <c r="C344" s="544"/>
      <c r="D344" s="544"/>
      <c r="E344" s="544"/>
      <c r="F344" s="569"/>
      <c r="G344" s="544"/>
      <c r="H344" s="544"/>
      <c r="I344" s="544"/>
      <c r="J344" s="544"/>
      <c r="K344" s="569"/>
      <c r="L344" s="544"/>
      <c r="M344" s="544"/>
      <c r="N344" s="544"/>
      <c r="O344" s="544"/>
      <c r="P344" s="544"/>
      <c r="Q344" s="544"/>
      <c r="R344" s="544"/>
      <c r="S344" s="544"/>
      <c r="T344" s="544"/>
      <c r="U344" s="544"/>
      <c r="V344" s="544"/>
      <c r="W344" s="544"/>
      <c r="X344" s="544"/>
      <c r="Y344" s="544"/>
      <c r="Z344" s="544"/>
      <c r="AA344" s="544"/>
      <c r="AB344" s="544"/>
    </row>
    <row r="345" spans="1:28" x14ac:dyDescent="0.2">
      <c r="A345" s="544"/>
      <c r="B345" s="544"/>
      <c r="C345" s="544"/>
      <c r="D345" s="544"/>
      <c r="E345" s="544"/>
      <c r="F345" s="569"/>
      <c r="G345" s="544"/>
      <c r="H345" s="544"/>
      <c r="I345" s="544"/>
      <c r="J345" s="544"/>
      <c r="K345" s="569"/>
      <c r="L345" s="544"/>
      <c r="M345" s="544"/>
      <c r="N345" s="544"/>
      <c r="O345" s="544"/>
      <c r="P345" s="544"/>
      <c r="Q345" s="544"/>
      <c r="R345" s="544"/>
      <c r="S345" s="544"/>
      <c r="T345" s="544"/>
      <c r="U345" s="544"/>
      <c r="V345" s="544"/>
      <c r="W345" s="544"/>
      <c r="X345" s="544"/>
      <c r="Y345" s="544"/>
      <c r="Z345" s="544"/>
      <c r="AA345" s="544"/>
      <c r="AB345" s="544"/>
    </row>
    <row r="346" spans="1:28" x14ac:dyDescent="0.2">
      <c r="A346" s="544"/>
      <c r="B346" s="544"/>
      <c r="C346" s="544"/>
      <c r="D346" s="544"/>
      <c r="E346" s="544"/>
      <c r="F346" s="569"/>
      <c r="G346" s="544"/>
      <c r="H346" s="544"/>
      <c r="I346" s="544"/>
      <c r="J346" s="544"/>
      <c r="K346" s="569"/>
      <c r="L346" s="544"/>
      <c r="M346" s="544"/>
      <c r="N346" s="544"/>
      <c r="O346" s="544"/>
      <c r="P346" s="544"/>
      <c r="Q346" s="544"/>
      <c r="R346" s="544"/>
      <c r="S346" s="544"/>
      <c r="T346" s="544"/>
      <c r="U346" s="544"/>
      <c r="V346" s="544"/>
      <c r="W346" s="544"/>
      <c r="X346" s="544"/>
      <c r="Y346" s="544"/>
      <c r="Z346" s="544"/>
      <c r="AA346" s="544"/>
      <c r="AB346" s="544"/>
    </row>
    <row r="347" spans="1:28" x14ac:dyDescent="0.2">
      <c r="A347" s="544"/>
      <c r="B347" s="544"/>
      <c r="C347" s="544"/>
      <c r="D347" s="544"/>
      <c r="E347" s="544"/>
      <c r="F347" s="569"/>
      <c r="G347" s="544"/>
      <c r="H347" s="544"/>
      <c r="I347" s="544"/>
      <c r="J347" s="544"/>
      <c r="K347" s="569"/>
      <c r="L347" s="544"/>
      <c r="M347" s="544"/>
      <c r="N347" s="544"/>
      <c r="O347" s="544"/>
      <c r="P347" s="544"/>
      <c r="Q347" s="544"/>
      <c r="R347" s="544"/>
      <c r="S347" s="544"/>
      <c r="T347" s="544"/>
      <c r="U347" s="544"/>
      <c r="V347" s="544"/>
      <c r="W347" s="544"/>
      <c r="X347" s="544"/>
      <c r="Y347" s="544"/>
      <c r="Z347" s="544"/>
      <c r="AA347" s="544"/>
      <c r="AB347" s="544"/>
    </row>
    <row r="348" spans="1:28" x14ac:dyDescent="0.2">
      <c r="A348" s="544"/>
      <c r="B348" s="544"/>
      <c r="C348" s="544"/>
      <c r="D348" s="544"/>
      <c r="E348" s="544"/>
      <c r="F348" s="569"/>
      <c r="G348" s="544"/>
      <c r="H348" s="544"/>
      <c r="I348" s="544"/>
      <c r="J348" s="544"/>
      <c r="K348" s="569"/>
      <c r="L348" s="544"/>
      <c r="M348" s="544"/>
      <c r="N348" s="544"/>
      <c r="O348" s="544"/>
      <c r="P348" s="544"/>
      <c r="Q348" s="544"/>
      <c r="R348" s="544"/>
      <c r="S348" s="544"/>
      <c r="T348" s="544"/>
      <c r="U348" s="544"/>
      <c r="V348" s="544"/>
      <c r="W348" s="544"/>
      <c r="X348" s="544"/>
      <c r="Y348" s="544"/>
      <c r="Z348" s="544"/>
      <c r="AA348" s="544"/>
      <c r="AB348" s="544"/>
    </row>
    <row r="349" spans="1:28" x14ac:dyDescent="0.2">
      <c r="A349" s="544"/>
      <c r="B349" s="544"/>
      <c r="C349" s="544"/>
      <c r="D349" s="544"/>
      <c r="E349" s="544"/>
      <c r="F349" s="569"/>
      <c r="G349" s="544"/>
      <c r="H349" s="544"/>
      <c r="I349" s="544"/>
      <c r="J349" s="544"/>
      <c r="K349" s="569"/>
      <c r="L349" s="544"/>
      <c r="M349" s="544"/>
      <c r="N349" s="544"/>
      <c r="O349" s="544"/>
      <c r="P349" s="544"/>
      <c r="Q349" s="544"/>
      <c r="R349" s="544"/>
      <c r="S349" s="544"/>
      <c r="T349" s="544"/>
      <c r="U349" s="544"/>
      <c r="V349" s="544"/>
      <c r="W349" s="544"/>
      <c r="X349" s="544"/>
      <c r="Y349" s="544"/>
      <c r="Z349" s="544"/>
      <c r="AA349" s="544"/>
      <c r="AB349" s="544"/>
    </row>
    <row r="350" spans="1:28" x14ac:dyDescent="0.2">
      <c r="A350" s="544"/>
      <c r="B350" s="544"/>
      <c r="C350" s="544"/>
      <c r="D350" s="544"/>
      <c r="E350" s="544"/>
      <c r="F350" s="569"/>
      <c r="G350" s="544"/>
      <c r="H350" s="544"/>
      <c r="I350" s="544"/>
      <c r="J350" s="544"/>
      <c r="K350" s="569"/>
      <c r="L350" s="544"/>
      <c r="M350" s="544"/>
      <c r="N350" s="544"/>
      <c r="O350" s="544"/>
      <c r="P350" s="544"/>
      <c r="Q350" s="544"/>
      <c r="R350" s="544"/>
      <c r="S350" s="544"/>
      <c r="T350" s="544"/>
      <c r="U350" s="544"/>
      <c r="V350" s="544"/>
      <c r="W350" s="544"/>
      <c r="X350" s="544"/>
      <c r="Y350" s="544"/>
      <c r="Z350" s="544"/>
      <c r="AA350" s="544"/>
      <c r="AB350" s="544"/>
    </row>
    <row r="351" spans="1:28" x14ac:dyDescent="0.2">
      <c r="A351" s="544"/>
      <c r="B351" s="544"/>
      <c r="C351" s="544"/>
      <c r="D351" s="544"/>
      <c r="E351" s="544"/>
      <c r="F351" s="569"/>
      <c r="G351" s="544"/>
      <c r="H351" s="544"/>
      <c r="I351" s="544"/>
      <c r="J351" s="544"/>
      <c r="K351" s="569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44"/>
      <c r="AB351" s="544"/>
    </row>
    <row r="352" spans="1:28" x14ac:dyDescent="0.2">
      <c r="A352" s="544"/>
      <c r="B352" s="544"/>
      <c r="C352" s="544"/>
      <c r="D352" s="544"/>
      <c r="E352" s="544"/>
      <c r="F352" s="569"/>
      <c r="G352" s="544"/>
      <c r="H352" s="544"/>
      <c r="I352" s="544"/>
      <c r="J352" s="544"/>
      <c r="K352" s="569"/>
      <c r="L352" s="544"/>
      <c r="M352" s="544"/>
      <c r="N352" s="544"/>
      <c r="O352" s="544"/>
      <c r="P352" s="544"/>
      <c r="Q352" s="544"/>
      <c r="R352" s="544"/>
      <c r="S352" s="544"/>
      <c r="T352" s="544"/>
      <c r="U352" s="544"/>
      <c r="V352" s="544"/>
      <c r="W352" s="544"/>
      <c r="X352" s="544"/>
      <c r="Y352" s="544"/>
      <c r="Z352" s="544"/>
      <c r="AA352" s="544"/>
      <c r="AB352" s="544"/>
    </row>
    <row r="353" spans="1:28" x14ac:dyDescent="0.2">
      <c r="A353" s="544"/>
      <c r="B353" s="544"/>
      <c r="C353" s="544"/>
      <c r="D353" s="544"/>
      <c r="E353" s="544"/>
      <c r="F353" s="569"/>
      <c r="G353" s="544"/>
      <c r="H353" s="544"/>
      <c r="I353" s="544"/>
      <c r="J353" s="544"/>
      <c r="K353" s="569"/>
      <c r="L353" s="544"/>
      <c r="M353" s="544"/>
      <c r="N353" s="544"/>
      <c r="O353" s="544"/>
      <c r="P353" s="544"/>
      <c r="Q353" s="544"/>
      <c r="R353" s="544"/>
      <c r="S353" s="544"/>
      <c r="T353" s="544"/>
      <c r="U353" s="544"/>
      <c r="V353" s="544"/>
      <c r="W353" s="544"/>
      <c r="X353" s="544"/>
      <c r="Y353" s="544"/>
      <c r="Z353" s="544"/>
      <c r="AA353" s="544"/>
      <c r="AB353" s="544"/>
    </row>
    <row r="354" spans="1:28" x14ac:dyDescent="0.2">
      <c r="A354" s="544"/>
      <c r="B354" s="544"/>
      <c r="C354" s="544"/>
      <c r="D354" s="544"/>
      <c r="E354" s="544"/>
      <c r="F354" s="569"/>
      <c r="G354" s="544"/>
      <c r="H354" s="544"/>
      <c r="I354" s="544"/>
      <c r="J354" s="544"/>
      <c r="K354" s="569"/>
      <c r="L354" s="544"/>
      <c r="M354" s="544"/>
      <c r="N354" s="544"/>
      <c r="O354" s="544"/>
      <c r="P354" s="544"/>
      <c r="Q354" s="544"/>
      <c r="R354" s="544"/>
      <c r="S354" s="544"/>
      <c r="T354" s="544"/>
      <c r="U354" s="544"/>
      <c r="V354" s="544"/>
      <c r="W354" s="544"/>
      <c r="X354" s="544"/>
      <c r="Y354" s="544"/>
      <c r="Z354" s="544"/>
      <c r="AA354" s="544"/>
      <c r="AB354" s="544"/>
    </row>
    <row r="355" spans="1:28" x14ac:dyDescent="0.2">
      <c r="A355" s="544"/>
      <c r="B355" s="544"/>
      <c r="C355" s="544"/>
      <c r="D355" s="544"/>
      <c r="E355" s="544"/>
      <c r="F355" s="569"/>
      <c r="G355" s="544"/>
      <c r="H355" s="544"/>
      <c r="I355" s="544"/>
      <c r="J355" s="544"/>
      <c r="K355" s="569"/>
      <c r="L355" s="544"/>
      <c r="M355" s="544"/>
      <c r="N355" s="544"/>
      <c r="O355" s="544"/>
      <c r="P355" s="544"/>
      <c r="Q355" s="544"/>
      <c r="R355" s="544"/>
      <c r="S355" s="544"/>
      <c r="T355" s="544"/>
      <c r="U355" s="544"/>
      <c r="V355" s="544"/>
      <c r="W355" s="544"/>
      <c r="X355" s="544"/>
      <c r="Y355" s="544"/>
      <c r="Z355" s="544"/>
      <c r="AA355" s="544"/>
      <c r="AB355" s="544"/>
    </row>
    <row r="356" spans="1:28" x14ac:dyDescent="0.2">
      <c r="A356" s="544"/>
      <c r="B356" s="544"/>
      <c r="C356" s="544"/>
      <c r="D356" s="544"/>
      <c r="E356" s="544"/>
      <c r="F356" s="569"/>
      <c r="G356" s="544"/>
      <c r="H356" s="544"/>
      <c r="I356" s="544"/>
      <c r="J356" s="544"/>
      <c r="K356" s="569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44"/>
      <c r="AB356" s="544"/>
    </row>
    <row r="357" spans="1:28" x14ac:dyDescent="0.2">
      <c r="A357" s="544"/>
      <c r="B357" s="544"/>
      <c r="C357" s="544"/>
      <c r="D357" s="544"/>
      <c r="E357" s="544"/>
      <c r="F357" s="569"/>
      <c r="G357" s="544"/>
      <c r="H357" s="544"/>
      <c r="I357" s="544"/>
      <c r="J357" s="544"/>
      <c r="K357" s="569"/>
      <c r="L357" s="544"/>
      <c r="M357" s="544"/>
      <c r="N357" s="544"/>
      <c r="O357" s="544"/>
      <c r="P357" s="544"/>
      <c r="Q357" s="544"/>
      <c r="R357" s="544"/>
      <c r="S357" s="544"/>
      <c r="T357" s="544"/>
      <c r="U357" s="544"/>
      <c r="V357" s="544"/>
      <c r="W357" s="544"/>
      <c r="X357" s="544"/>
      <c r="Y357" s="544"/>
      <c r="Z357" s="544"/>
      <c r="AA357" s="544"/>
      <c r="AB357" s="544"/>
    </row>
    <row r="358" spans="1:28" x14ac:dyDescent="0.2">
      <c r="A358" s="544"/>
      <c r="B358" s="544"/>
      <c r="C358" s="544"/>
      <c r="D358" s="544"/>
      <c r="E358" s="544"/>
      <c r="F358" s="569"/>
      <c r="G358" s="544"/>
      <c r="H358" s="544"/>
      <c r="I358" s="544"/>
      <c r="J358" s="544"/>
      <c r="K358" s="569"/>
      <c r="L358" s="544"/>
      <c r="M358" s="544"/>
      <c r="N358" s="544"/>
      <c r="O358" s="544"/>
      <c r="P358" s="544"/>
      <c r="Q358" s="544"/>
      <c r="R358" s="544"/>
      <c r="S358" s="544"/>
      <c r="T358" s="544"/>
      <c r="U358" s="544"/>
      <c r="V358" s="544"/>
      <c r="W358" s="544"/>
      <c r="X358" s="544"/>
      <c r="Y358" s="544"/>
      <c r="Z358" s="544"/>
      <c r="AA358" s="544"/>
      <c r="AB358" s="544"/>
    </row>
    <row r="359" spans="1:28" x14ac:dyDescent="0.2">
      <c r="A359" s="544"/>
      <c r="B359" s="544"/>
      <c r="C359" s="544"/>
      <c r="D359" s="544"/>
      <c r="E359" s="544"/>
      <c r="F359" s="569"/>
      <c r="G359" s="544"/>
      <c r="H359" s="544"/>
      <c r="I359" s="544"/>
      <c r="J359" s="544"/>
      <c r="K359" s="569"/>
      <c r="L359" s="544"/>
      <c r="M359" s="544"/>
      <c r="N359" s="544"/>
      <c r="O359" s="544"/>
      <c r="P359" s="544"/>
      <c r="Q359" s="544"/>
      <c r="R359" s="544"/>
      <c r="S359" s="544"/>
      <c r="T359" s="544"/>
      <c r="U359" s="544"/>
      <c r="V359" s="544"/>
      <c r="W359" s="544"/>
      <c r="X359" s="544"/>
      <c r="Y359" s="544"/>
      <c r="Z359" s="544"/>
      <c r="AA359" s="544"/>
      <c r="AB359" s="544"/>
    </row>
    <row r="360" spans="1:28" x14ac:dyDescent="0.2">
      <c r="A360" s="544"/>
      <c r="B360" s="544"/>
      <c r="C360" s="544"/>
      <c r="D360" s="544"/>
      <c r="E360" s="544"/>
      <c r="F360" s="569"/>
      <c r="G360" s="544"/>
      <c r="H360" s="544"/>
      <c r="I360" s="544"/>
      <c r="J360" s="544"/>
      <c r="K360" s="569"/>
      <c r="L360" s="544"/>
      <c r="M360" s="544"/>
      <c r="N360" s="544"/>
      <c r="O360" s="544"/>
      <c r="P360" s="544"/>
      <c r="Q360" s="544"/>
      <c r="R360" s="544"/>
      <c r="S360" s="544"/>
      <c r="T360" s="544"/>
      <c r="U360" s="544"/>
      <c r="V360" s="544"/>
      <c r="W360" s="544"/>
      <c r="X360" s="544"/>
      <c r="Y360" s="544"/>
      <c r="Z360" s="544"/>
      <c r="AA360" s="544"/>
      <c r="AB360" s="544"/>
    </row>
    <row r="361" spans="1:28" x14ac:dyDescent="0.2">
      <c r="A361" s="544"/>
      <c r="B361" s="544"/>
      <c r="C361" s="544"/>
      <c r="D361" s="544"/>
      <c r="E361" s="544"/>
      <c r="F361" s="569"/>
      <c r="G361" s="544"/>
      <c r="H361" s="544"/>
      <c r="I361" s="544"/>
      <c r="J361" s="544"/>
      <c r="K361" s="569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44"/>
      <c r="AB361" s="544"/>
    </row>
    <row r="362" spans="1:28" x14ac:dyDescent="0.2">
      <c r="A362" s="544"/>
      <c r="B362" s="544"/>
      <c r="C362" s="544"/>
      <c r="D362" s="544"/>
      <c r="E362" s="544"/>
      <c r="F362" s="569"/>
      <c r="G362" s="544"/>
      <c r="H362" s="544"/>
      <c r="I362" s="544"/>
      <c r="J362" s="544"/>
      <c r="K362" s="569"/>
      <c r="L362" s="544"/>
      <c r="M362" s="544"/>
      <c r="N362" s="544"/>
      <c r="O362" s="544"/>
      <c r="P362" s="544"/>
      <c r="Q362" s="544"/>
      <c r="R362" s="544"/>
      <c r="S362" s="544"/>
      <c r="T362" s="544"/>
      <c r="U362" s="544"/>
      <c r="V362" s="544"/>
      <c r="W362" s="544"/>
      <c r="X362" s="544"/>
      <c r="Y362" s="544"/>
      <c r="Z362" s="544"/>
      <c r="AA362" s="544"/>
      <c r="AB362" s="544"/>
    </row>
    <row r="363" spans="1:28" x14ac:dyDescent="0.2">
      <c r="A363" s="544"/>
      <c r="B363" s="544"/>
      <c r="C363" s="544"/>
      <c r="D363" s="544"/>
      <c r="E363" s="544"/>
      <c r="F363" s="569"/>
      <c r="G363" s="544"/>
      <c r="H363" s="544"/>
      <c r="I363" s="544"/>
      <c r="J363" s="544"/>
      <c r="K363" s="569"/>
      <c r="L363" s="544"/>
      <c r="M363" s="544"/>
      <c r="N363" s="544"/>
      <c r="O363" s="544"/>
      <c r="P363" s="544"/>
      <c r="Q363" s="544"/>
      <c r="R363" s="544"/>
      <c r="S363" s="544"/>
      <c r="T363" s="544"/>
      <c r="U363" s="544"/>
      <c r="V363" s="544"/>
      <c r="W363" s="544"/>
      <c r="X363" s="544"/>
      <c r="Y363" s="544"/>
      <c r="Z363" s="544"/>
      <c r="AA363" s="544"/>
      <c r="AB363" s="544"/>
    </row>
    <row r="364" spans="1:28" x14ac:dyDescent="0.2">
      <c r="A364" s="544"/>
      <c r="B364" s="544"/>
      <c r="C364" s="544"/>
      <c r="D364" s="544"/>
      <c r="E364" s="544"/>
      <c r="F364" s="569"/>
      <c r="G364" s="544"/>
      <c r="H364" s="544"/>
      <c r="I364" s="544"/>
      <c r="J364" s="544"/>
      <c r="K364" s="569"/>
      <c r="L364" s="544"/>
      <c r="M364" s="544"/>
      <c r="N364" s="544"/>
      <c r="O364" s="544"/>
      <c r="P364" s="544"/>
      <c r="Q364" s="544"/>
      <c r="R364" s="544"/>
      <c r="S364" s="544"/>
      <c r="T364" s="544"/>
      <c r="U364" s="544"/>
      <c r="V364" s="544"/>
      <c r="W364" s="544"/>
      <c r="X364" s="544"/>
      <c r="Y364" s="544"/>
      <c r="Z364" s="544"/>
      <c r="AA364" s="544"/>
      <c r="AB364" s="544"/>
    </row>
    <row r="365" spans="1:28" x14ac:dyDescent="0.2">
      <c r="A365" s="544"/>
      <c r="B365" s="544"/>
      <c r="C365" s="544"/>
      <c r="D365" s="544"/>
      <c r="E365" s="544"/>
      <c r="F365" s="569"/>
      <c r="G365" s="544"/>
      <c r="H365" s="544"/>
      <c r="I365" s="544"/>
      <c r="J365" s="544"/>
      <c r="K365" s="569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44"/>
      <c r="AB365" s="544"/>
    </row>
    <row r="366" spans="1:28" x14ac:dyDescent="0.2">
      <c r="A366" s="544"/>
      <c r="B366" s="544"/>
      <c r="C366" s="544"/>
      <c r="D366" s="544"/>
      <c r="E366" s="544"/>
      <c r="F366" s="569"/>
      <c r="G366" s="544"/>
      <c r="H366" s="544"/>
      <c r="I366" s="544"/>
      <c r="J366" s="544"/>
      <c r="K366" s="569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44"/>
      <c r="AB366" s="544"/>
    </row>
    <row r="367" spans="1:28" x14ac:dyDescent="0.2">
      <c r="A367" s="544"/>
      <c r="B367" s="544"/>
      <c r="C367" s="544"/>
      <c r="D367" s="544"/>
      <c r="E367" s="544"/>
      <c r="F367" s="569"/>
      <c r="G367" s="544"/>
      <c r="H367" s="544"/>
      <c r="I367" s="544"/>
      <c r="J367" s="544"/>
      <c r="K367" s="569"/>
      <c r="L367" s="544"/>
      <c r="M367" s="544"/>
      <c r="N367" s="544"/>
      <c r="O367" s="544"/>
      <c r="P367" s="544"/>
      <c r="Q367" s="544"/>
      <c r="R367" s="544"/>
      <c r="S367" s="544"/>
      <c r="T367" s="544"/>
      <c r="U367" s="544"/>
      <c r="V367" s="544"/>
      <c r="W367" s="544"/>
      <c r="X367" s="544"/>
      <c r="Y367" s="544"/>
      <c r="Z367" s="544"/>
      <c r="AA367" s="544"/>
      <c r="AB367" s="544"/>
    </row>
    <row r="368" spans="1:28" x14ac:dyDescent="0.2">
      <c r="A368" s="544"/>
      <c r="B368" s="544"/>
      <c r="C368" s="544"/>
      <c r="D368" s="544"/>
      <c r="E368" s="544"/>
      <c r="F368" s="569"/>
      <c r="G368" s="544"/>
      <c r="H368" s="544"/>
      <c r="I368" s="544"/>
      <c r="J368" s="544"/>
      <c r="K368" s="569"/>
      <c r="L368" s="544"/>
      <c r="M368" s="544"/>
      <c r="N368" s="544"/>
      <c r="O368" s="544"/>
      <c r="P368" s="544"/>
      <c r="Q368" s="544"/>
      <c r="R368" s="544"/>
      <c r="S368" s="544"/>
      <c r="T368" s="544"/>
      <c r="U368" s="544"/>
      <c r="V368" s="544"/>
      <c r="W368" s="544"/>
      <c r="X368" s="544"/>
      <c r="Y368" s="544"/>
      <c r="Z368" s="544"/>
      <c r="AA368" s="544"/>
      <c r="AB368" s="544"/>
    </row>
    <row r="369" spans="1:28" x14ac:dyDescent="0.2">
      <c r="A369" s="544"/>
      <c r="B369" s="544"/>
      <c r="C369" s="544"/>
      <c r="D369" s="544"/>
      <c r="E369" s="544"/>
      <c r="F369" s="569"/>
      <c r="G369" s="544"/>
      <c r="H369" s="544"/>
      <c r="I369" s="544"/>
      <c r="J369" s="544"/>
      <c r="K369" s="569"/>
      <c r="L369" s="544"/>
      <c r="M369" s="544"/>
      <c r="N369" s="544"/>
      <c r="O369" s="544"/>
      <c r="P369" s="544"/>
      <c r="Q369" s="544"/>
      <c r="R369" s="544"/>
      <c r="S369" s="544"/>
      <c r="T369" s="544"/>
      <c r="U369" s="544"/>
      <c r="V369" s="544"/>
      <c r="W369" s="544"/>
      <c r="X369" s="544"/>
      <c r="Y369" s="544"/>
      <c r="Z369" s="544"/>
      <c r="AA369" s="544"/>
      <c r="AB369" s="544"/>
    </row>
    <row r="370" spans="1:28" x14ac:dyDescent="0.2">
      <c r="A370" s="544"/>
      <c r="B370" s="544"/>
      <c r="C370" s="544"/>
      <c r="D370" s="544"/>
      <c r="E370" s="544"/>
      <c r="F370" s="569"/>
      <c r="G370" s="544"/>
      <c r="H370" s="544"/>
      <c r="I370" s="544"/>
      <c r="J370" s="544"/>
      <c r="K370" s="569"/>
      <c r="L370" s="544"/>
      <c r="M370" s="544"/>
      <c r="N370" s="544"/>
      <c r="O370" s="544"/>
      <c r="P370" s="544"/>
      <c r="Q370" s="544"/>
      <c r="R370" s="544"/>
      <c r="S370" s="544"/>
      <c r="T370" s="544"/>
      <c r="U370" s="544"/>
      <c r="V370" s="544"/>
      <c r="W370" s="544"/>
      <c r="X370" s="544"/>
      <c r="Y370" s="544"/>
      <c r="Z370" s="544"/>
      <c r="AA370" s="544"/>
      <c r="AB370" s="544"/>
    </row>
    <row r="371" spans="1:28" x14ac:dyDescent="0.2">
      <c r="A371" s="544"/>
      <c r="B371" s="544"/>
      <c r="C371" s="544"/>
      <c r="D371" s="544"/>
      <c r="E371" s="544"/>
      <c r="F371" s="569"/>
      <c r="G371" s="544"/>
      <c r="H371" s="544"/>
      <c r="I371" s="544"/>
      <c r="J371" s="544"/>
      <c r="K371" s="569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44"/>
      <c r="AB371" s="544"/>
    </row>
    <row r="372" spans="1:28" x14ac:dyDescent="0.2">
      <c r="A372" s="544"/>
      <c r="B372" s="544"/>
      <c r="C372" s="544"/>
      <c r="D372" s="544"/>
      <c r="E372" s="544"/>
      <c r="F372" s="569"/>
      <c r="G372" s="544"/>
      <c r="H372" s="544"/>
      <c r="I372" s="544"/>
      <c r="J372" s="544"/>
      <c r="K372" s="569"/>
      <c r="L372" s="544"/>
      <c r="M372" s="544"/>
      <c r="N372" s="544"/>
      <c r="O372" s="544"/>
      <c r="P372" s="544"/>
      <c r="Q372" s="544"/>
      <c r="R372" s="544"/>
      <c r="S372" s="544"/>
      <c r="T372" s="544"/>
      <c r="U372" s="544"/>
      <c r="V372" s="544"/>
      <c r="W372" s="544"/>
      <c r="X372" s="544"/>
      <c r="Y372" s="544"/>
      <c r="Z372" s="544"/>
      <c r="AA372" s="544"/>
      <c r="AB372" s="544"/>
    </row>
    <row r="373" spans="1:28" x14ac:dyDescent="0.2">
      <c r="A373" s="544"/>
      <c r="B373" s="544"/>
      <c r="C373" s="544"/>
      <c r="D373" s="544"/>
      <c r="E373" s="544"/>
      <c r="F373" s="569"/>
      <c r="G373" s="544"/>
      <c r="H373" s="544"/>
      <c r="I373" s="544"/>
      <c r="J373" s="544"/>
      <c r="K373" s="569"/>
      <c r="L373" s="544"/>
      <c r="M373" s="544"/>
      <c r="N373" s="544"/>
      <c r="O373" s="544"/>
      <c r="P373" s="544"/>
      <c r="Q373" s="544"/>
      <c r="R373" s="544"/>
      <c r="S373" s="544"/>
      <c r="T373" s="544"/>
      <c r="U373" s="544"/>
      <c r="V373" s="544"/>
      <c r="W373" s="544"/>
      <c r="X373" s="544"/>
      <c r="Y373" s="544"/>
      <c r="Z373" s="544"/>
      <c r="AA373" s="544"/>
      <c r="AB373" s="544"/>
    </row>
    <row r="374" spans="1:28" x14ac:dyDescent="0.2">
      <c r="A374" s="544"/>
      <c r="B374" s="544"/>
      <c r="C374" s="544"/>
      <c r="D374" s="544"/>
      <c r="E374" s="544"/>
      <c r="F374" s="569"/>
      <c r="G374" s="544"/>
      <c r="H374" s="544"/>
      <c r="I374" s="544"/>
      <c r="J374" s="544"/>
      <c r="K374" s="569"/>
      <c r="L374" s="544"/>
      <c r="M374" s="544"/>
      <c r="N374" s="544"/>
      <c r="O374" s="544"/>
      <c r="P374" s="544"/>
      <c r="Q374" s="544"/>
      <c r="R374" s="544"/>
      <c r="S374" s="544"/>
      <c r="T374" s="544"/>
      <c r="U374" s="544"/>
      <c r="V374" s="544"/>
      <c r="W374" s="544"/>
      <c r="X374" s="544"/>
      <c r="Y374" s="544"/>
      <c r="Z374" s="544"/>
      <c r="AA374" s="544"/>
      <c r="AB374" s="544"/>
    </row>
    <row r="375" spans="1:28" x14ac:dyDescent="0.2">
      <c r="A375" s="544"/>
      <c r="B375" s="544"/>
      <c r="C375" s="544"/>
      <c r="D375" s="544"/>
      <c r="E375" s="544"/>
      <c r="F375" s="569"/>
      <c r="G375" s="544"/>
      <c r="H375" s="544"/>
      <c r="I375" s="544"/>
      <c r="J375" s="544"/>
      <c r="K375" s="569"/>
      <c r="L375" s="544"/>
      <c r="M375" s="544"/>
      <c r="N375" s="544"/>
      <c r="O375" s="544"/>
      <c r="P375" s="544"/>
      <c r="Q375" s="544"/>
      <c r="R375" s="544"/>
      <c r="S375" s="544"/>
      <c r="T375" s="544"/>
      <c r="U375" s="544"/>
      <c r="V375" s="544"/>
      <c r="W375" s="544"/>
      <c r="X375" s="544"/>
      <c r="Y375" s="544"/>
      <c r="Z375" s="544"/>
      <c r="AA375" s="544"/>
      <c r="AB375" s="544"/>
    </row>
    <row r="376" spans="1:28" x14ac:dyDescent="0.2">
      <c r="A376" s="544"/>
      <c r="B376" s="544"/>
      <c r="C376" s="544"/>
      <c r="D376" s="544"/>
      <c r="E376" s="544"/>
      <c r="F376" s="569"/>
      <c r="G376" s="544"/>
      <c r="H376" s="544"/>
      <c r="I376" s="544"/>
      <c r="J376" s="544"/>
      <c r="K376" s="569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44"/>
      <c r="AB376" s="544"/>
    </row>
    <row r="377" spans="1:28" x14ac:dyDescent="0.2">
      <c r="A377" s="544"/>
      <c r="B377" s="544"/>
      <c r="C377" s="544"/>
      <c r="D377" s="544"/>
      <c r="E377" s="544"/>
      <c r="F377" s="569"/>
      <c r="G377" s="544"/>
      <c r="H377" s="544"/>
      <c r="I377" s="544"/>
      <c r="J377" s="544"/>
      <c r="K377" s="569"/>
      <c r="L377" s="544"/>
      <c r="M377" s="544"/>
      <c r="N377" s="544"/>
      <c r="O377" s="544"/>
      <c r="P377" s="544"/>
      <c r="Q377" s="544"/>
      <c r="R377" s="544"/>
      <c r="S377" s="544"/>
      <c r="T377" s="544"/>
      <c r="U377" s="544"/>
      <c r="V377" s="544"/>
      <c r="W377" s="544"/>
      <c r="X377" s="544"/>
      <c r="Y377" s="544"/>
      <c r="Z377" s="544"/>
      <c r="AA377" s="544"/>
      <c r="AB377" s="544"/>
    </row>
    <row r="378" spans="1:28" x14ac:dyDescent="0.2">
      <c r="A378" s="544"/>
      <c r="B378" s="544"/>
      <c r="C378" s="544"/>
      <c r="D378" s="544"/>
      <c r="E378" s="544"/>
      <c r="F378" s="569"/>
      <c r="G378" s="544"/>
      <c r="H378" s="544"/>
      <c r="I378" s="544"/>
      <c r="J378" s="544"/>
      <c r="K378" s="569"/>
      <c r="L378" s="544"/>
      <c r="M378" s="544"/>
      <c r="N378" s="544"/>
      <c r="O378" s="544"/>
      <c r="P378" s="544"/>
      <c r="Q378" s="544"/>
      <c r="R378" s="544"/>
      <c r="S378" s="544"/>
      <c r="T378" s="544"/>
      <c r="U378" s="544"/>
      <c r="V378" s="544"/>
      <c r="W378" s="544"/>
      <c r="X378" s="544"/>
      <c r="Y378" s="544"/>
      <c r="Z378" s="544"/>
      <c r="AA378" s="544"/>
      <c r="AB378" s="544"/>
    </row>
    <row r="379" spans="1:28" x14ac:dyDescent="0.2">
      <c r="A379" s="544"/>
      <c r="B379" s="544"/>
      <c r="C379" s="544"/>
      <c r="D379" s="544"/>
      <c r="E379" s="544"/>
      <c r="F379" s="569"/>
      <c r="G379" s="544"/>
      <c r="H379" s="544"/>
      <c r="I379" s="544"/>
      <c r="J379" s="544"/>
      <c r="K379" s="569"/>
      <c r="L379" s="544"/>
      <c r="M379" s="544"/>
      <c r="N379" s="544"/>
      <c r="O379" s="544"/>
      <c r="P379" s="544"/>
      <c r="Q379" s="544"/>
      <c r="R379" s="544"/>
      <c r="S379" s="544"/>
      <c r="T379" s="544"/>
      <c r="U379" s="544"/>
      <c r="V379" s="544"/>
      <c r="W379" s="544"/>
      <c r="X379" s="544"/>
      <c r="Y379" s="544"/>
      <c r="Z379" s="544"/>
      <c r="AA379" s="544"/>
      <c r="AB379" s="544"/>
    </row>
    <row r="380" spans="1:28" x14ac:dyDescent="0.2">
      <c r="A380" s="544"/>
      <c r="B380" s="544"/>
      <c r="C380" s="544"/>
      <c r="D380" s="544"/>
      <c r="E380" s="544"/>
      <c r="F380" s="569"/>
      <c r="G380" s="544"/>
      <c r="H380" s="544"/>
      <c r="I380" s="544"/>
      <c r="J380" s="544"/>
      <c r="K380" s="569"/>
      <c r="L380" s="544"/>
      <c r="M380" s="544"/>
      <c r="N380" s="544"/>
      <c r="O380" s="544"/>
      <c r="P380" s="544"/>
      <c r="Q380" s="544"/>
      <c r="R380" s="544"/>
      <c r="S380" s="544"/>
      <c r="T380" s="544"/>
      <c r="U380" s="544"/>
      <c r="V380" s="544"/>
      <c r="W380" s="544"/>
      <c r="X380" s="544"/>
      <c r="Y380" s="544"/>
      <c r="Z380" s="544"/>
      <c r="AA380" s="544"/>
      <c r="AB380" s="544"/>
    </row>
    <row r="381" spans="1:28" x14ac:dyDescent="0.2">
      <c r="A381" s="544"/>
      <c r="B381" s="544"/>
      <c r="C381" s="544"/>
      <c r="D381" s="544"/>
      <c r="E381" s="544"/>
      <c r="F381" s="569"/>
      <c r="G381" s="544"/>
      <c r="H381" s="544"/>
      <c r="I381" s="544"/>
      <c r="J381" s="544"/>
      <c r="K381" s="569"/>
      <c r="L381" s="544"/>
      <c r="M381" s="544"/>
      <c r="N381" s="544"/>
      <c r="O381" s="544"/>
      <c r="P381" s="544"/>
      <c r="Q381" s="544"/>
      <c r="R381" s="544"/>
      <c r="S381" s="544"/>
      <c r="T381" s="544"/>
      <c r="U381" s="544"/>
      <c r="V381" s="544"/>
      <c r="W381" s="544"/>
      <c r="X381" s="544"/>
      <c r="Y381" s="544"/>
      <c r="Z381" s="544"/>
      <c r="AA381" s="544"/>
      <c r="AB381" s="544"/>
    </row>
    <row r="382" spans="1:28" x14ac:dyDescent="0.2">
      <c r="A382" s="544"/>
      <c r="B382" s="544"/>
      <c r="C382" s="544"/>
      <c r="D382" s="544"/>
      <c r="E382" s="544"/>
      <c r="F382" s="569"/>
      <c r="G382" s="544"/>
      <c r="H382" s="544"/>
      <c r="I382" s="544"/>
      <c r="J382" s="544"/>
      <c r="K382" s="569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44"/>
      <c r="AB382" s="544"/>
    </row>
    <row r="383" spans="1:28" x14ac:dyDescent="0.2">
      <c r="A383" s="544"/>
      <c r="B383" s="544"/>
      <c r="C383" s="544"/>
      <c r="D383" s="544"/>
      <c r="E383" s="544"/>
      <c r="F383" s="569"/>
      <c r="G383" s="544"/>
      <c r="H383" s="544"/>
      <c r="I383" s="544"/>
      <c r="J383" s="544"/>
      <c r="K383" s="569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44"/>
      <c r="AB383" s="544"/>
    </row>
    <row r="384" spans="1:28" x14ac:dyDescent="0.2">
      <c r="A384" s="544"/>
      <c r="B384" s="544"/>
      <c r="C384" s="544"/>
      <c r="D384" s="544"/>
      <c r="E384" s="544"/>
      <c r="F384" s="569"/>
      <c r="G384" s="544"/>
      <c r="H384" s="544"/>
      <c r="I384" s="544"/>
      <c r="J384" s="544"/>
      <c r="K384" s="569"/>
      <c r="L384" s="544"/>
      <c r="M384" s="544"/>
      <c r="N384" s="544"/>
      <c r="O384" s="544"/>
      <c r="P384" s="544"/>
      <c r="Q384" s="544"/>
      <c r="R384" s="544"/>
      <c r="S384" s="544"/>
      <c r="T384" s="544"/>
      <c r="U384" s="544"/>
      <c r="V384" s="544"/>
      <c r="W384" s="544"/>
      <c r="X384" s="544"/>
      <c r="Y384" s="544"/>
      <c r="Z384" s="544"/>
      <c r="AA384" s="544"/>
      <c r="AB384" s="544"/>
    </row>
    <row r="385" spans="1:28" x14ac:dyDescent="0.2">
      <c r="A385" s="544"/>
      <c r="B385" s="544"/>
      <c r="C385" s="544"/>
      <c r="D385" s="544"/>
      <c r="E385" s="544"/>
      <c r="F385" s="569"/>
      <c r="G385" s="544"/>
      <c r="H385" s="544"/>
      <c r="I385" s="544"/>
      <c r="J385" s="544"/>
      <c r="K385" s="569"/>
      <c r="L385" s="544"/>
      <c r="M385" s="544"/>
      <c r="N385" s="544"/>
      <c r="O385" s="544"/>
      <c r="P385" s="544"/>
      <c r="Q385" s="544"/>
      <c r="R385" s="544"/>
      <c r="S385" s="544"/>
      <c r="T385" s="544"/>
      <c r="U385" s="544"/>
      <c r="V385" s="544"/>
      <c r="W385" s="544"/>
      <c r="X385" s="544"/>
      <c r="Y385" s="544"/>
      <c r="Z385" s="544"/>
      <c r="AA385" s="544"/>
      <c r="AB385" s="544"/>
    </row>
    <row r="386" spans="1:28" x14ac:dyDescent="0.2">
      <c r="A386" s="544"/>
      <c r="B386" s="544"/>
      <c r="C386" s="544"/>
      <c r="D386" s="544"/>
      <c r="E386" s="544"/>
      <c r="F386" s="569"/>
      <c r="G386" s="544"/>
      <c r="H386" s="544"/>
      <c r="I386" s="544"/>
      <c r="J386" s="544"/>
      <c r="K386" s="569"/>
      <c r="L386" s="544"/>
      <c r="M386" s="544"/>
      <c r="N386" s="544"/>
      <c r="O386" s="544"/>
      <c r="P386" s="544"/>
      <c r="Q386" s="544"/>
      <c r="R386" s="544"/>
      <c r="S386" s="544"/>
      <c r="T386" s="544"/>
      <c r="U386" s="544"/>
      <c r="V386" s="544"/>
      <c r="W386" s="544"/>
      <c r="X386" s="544"/>
      <c r="Y386" s="544"/>
      <c r="Z386" s="544"/>
      <c r="AA386" s="544"/>
      <c r="AB386" s="544"/>
    </row>
    <row r="387" spans="1:28" x14ac:dyDescent="0.2">
      <c r="A387" s="544"/>
      <c r="B387" s="544"/>
      <c r="C387" s="544"/>
      <c r="D387" s="544"/>
      <c r="E387" s="544"/>
      <c r="F387" s="569"/>
      <c r="G387" s="544"/>
      <c r="H387" s="544"/>
      <c r="I387" s="544"/>
      <c r="J387" s="544"/>
      <c r="K387" s="569"/>
      <c r="L387" s="544"/>
      <c r="M387" s="544"/>
      <c r="N387" s="544"/>
      <c r="O387" s="544"/>
      <c r="P387" s="544"/>
      <c r="Q387" s="544"/>
      <c r="R387" s="544"/>
      <c r="S387" s="544"/>
      <c r="T387" s="544"/>
      <c r="U387" s="544"/>
      <c r="V387" s="544"/>
      <c r="W387" s="544"/>
      <c r="X387" s="544"/>
      <c r="Y387" s="544"/>
      <c r="Z387" s="544"/>
      <c r="AA387" s="544"/>
      <c r="AB387" s="544"/>
    </row>
    <row r="388" spans="1:28" x14ac:dyDescent="0.2">
      <c r="A388" s="544"/>
      <c r="B388" s="544"/>
      <c r="C388" s="544"/>
      <c r="D388" s="544"/>
      <c r="E388" s="544"/>
      <c r="F388" s="569"/>
      <c r="G388" s="544"/>
      <c r="H388" s="544"/>
      <c r="I388" s="544"/>
      <c r="J388" s="544"/>
      <c r="K388" s="569"/>
      <c r="L388" s="544"/>
      <c r="M388" s="544"/>
      <c r="N388" s="544"/>
      <c r="O388" s="544"/>
      <c r="P388" s="544"/>
      <c r="Q388" s="544"/>
      <c r="R388" s="544"/>
      <c r="S388" s="544"/>
      <c r="T388" s="544"/>
      <c r="U388" s="544"/>
      <c r="V388" s="544"/>
      <c r="W388" s="544"/>
      <c r="X388" s="544"/>
      <c r="Y388" s="544"/>
      <c r="Z388" s="544"/>
      <c r="AA388" s="544"/>
      <c r="AB388" s="544"/>
    </row>
    <row r="389" spans="1:28" x14ac:dyDescent="0.2">
      <c r="A389" s="544"/>
      <c r="B389" s="544"/>
      <c r="C389" s="544"/>
      <c r="D389" s="544"/>
      <c r="E389" s="544"/>
      <c r="F389" s="569"/>
      <c r="G389" s="544"/>
      <c r="H389" s="544"/>
      <c r="I389" s="544"/>
      <c r="J389" s="544"/>
      <c r="K389" s="569"/>
      <c r="L389" s="544"/>
      <c r="M389" s="544"/>
      <c r="N389" s="544"/>
      <c r="O389" s="544"/>
      <c r="P389" s="544"/>
      <c r="Q389" s="544"/>
      <c r="R389" s="544"/>
      <c r="S389" s="544"/>
      <c r="T389" s="544"/>
      <c r="U389" s="544"/>
      <c r="V389" s="544"/>
      <c r="W389" s="544"/>
      <c r="X389" s="544"/>
      <c r="Y389" s="544"/>
      <c r="Z389" s="544"/>
      <c r="AA389" s="544"/>
      <c r="AB389" s="544"/>
    </row>
    <row r="390" spans="1:28" x14ac:dyDescent="0.2">
      <c r="A390" s="544"/>
      <c r="B390" s="544"/>
      <c r="C390" s="544"/>
      <c r="D390" s="544"/>
      <c r="E390" s="544"/>
      <c r="F390" s="569"/>
      <c r="G390" s="544"/>
      <c r="H390" s="544"/>
      <c r="I390" s="544"/>
      <c r="J390" s="544"/>
      <c r="K390" s="569"/>
      <c r="L390" s="544"/>
      <c r="M390" s="544"/>
      <c r="N390" s="544"/>
      <c r="O390" s="544"/>
      <c r="P390" s="544"/>
      <c r="Q390" s="544"/>
      <c r="R390" s="544"/>
      <c r="S390" s="544"/>
      <c r="T390" s="544"/>
      <c r="U390" s="544"/>
      <c r="V390" s="544"/>
      <c r="W390" s="544"/>
      <c r="X390" s="544"/>
      <c r="Y390" s="544"/>
      <c r="Z390" s="544"/>
      <c r="AA390" s="544"/>
      <c r="AB390" s="544"/>
    </row>
    <row r="391" spans="1:28" x14ac:dyDescent="0.2">
      <c r="A391" s="544"/>
      <c r="B391" s="544"/>
      <c r="C391" s="544"/>
      <c r="D391" s="544"/>
      <c r="E391" s="544"/>
      <c r="F391" s="569"/>
      <c r="G391" s="544"/>
      <c r="H391" s="544"/>
      <c r="I391" s="544"/>
      <c r="J391" s="544"/>
      <c r="K391" s="569"/>
      <c r="L391" s="544"/>
      <c r="M391" s="544"/>
      <c r="N391" s="544"/>
      <c r="O391" s="544"/>
      <c r="P391" s="544"/>
      <c r="Q391" s="544"/>
      <c r="R391" s="544"/>
      <c r="S391" s="544"/>
      <c r="T391" s="544"/>
      <c r="U391" s="544"/>
      <c r="V391" s="544"/>
      <c r="W391" s="544"/>
      <c r="X391" s="544"/>
      <c r="Y391" s="544"/>
      <c r="Z391" s="544"/>
      <c r="AA391" s="544"/>
      <c r="AB391" s="544"/>
    </row>
    <row r="392" spans="1:28" x14ac:dyDescent="0.2">
      <c r="A392" s="544"/>
      <c r="B392" s="544"/>
      <c r="C392" s="544"/>
      <c r="D392" s="544"/>
      <c r="E392" s="544"/>
      <c r="F392" s="569"/>
      <c r="G392" s="544"/>
      <c r="H392" s="544"/>
      <c r="I392" s="544"/>
      <c r="J392" s="544"/>
      <c r="K392" s="569"/>
      <c r="L392" s="544"/>
      <c r="M392" s="544"/>
      <c r="N392" s="544"/>
      <c r="O392" s="544"/>
      <c r="P392" s="544"/>
      <c r="Q392" s="544"/>
      <c r="R392" s="544"/>
      <c r="S392" s="544"/>
      <c r="T392" s="544"/>
      <c r="U392" s="544"/>
      <c r="V392" s="544"/>
      <c r="W392" s="544"/>
      <c r="X392" s="544"/>
      <c r="Y392" s="544"/>
      <c r="Z392" s="544"/>
      <c r="AA392" s="544"/>
      <c r="AB392" s="544"/>
    </row>
    <row r="393" spans="1:28" x14ac:dyDescent="0.2">
      <c r="A393" s="544"/>
      <c r="B393" s="544"/>
      <c r="C393" s="544"/>
      <c r="D393" s="544"/>
      <c r="E393" s="544"/>
      <c r="F393" s="569"/>
      <c r="G393" s="544"/>
      <c r="H393" s="544"/>
      <c r="I393" s="544"/>
      <c r="J393" s="544"/>
      <c r="K393" s="569"/>
      <c r="L393" s="544"/>
      <c r="M393" s="544"/>
      <c r="N393" s="544"/>
      <c r="O393" s="544"/>
      <c r="P393" s="544"/>
      <c r="Q393" s="544"/>
      <c r="R393" s="544"/>
      <c r="S393" s="544"/>
      <c r="T393" s="544"/>
      <c r="U393" s="544"/>
      <c r="V393" s="544"/>
      <c r="W393" s="544"/>
      <c r="X393" s="544"/>
      <c r="Y393" s="544"/>
      <c r="Z393" s="544"/>
      <c r="AA393" s="544"/>
      <c r="AB393" s="544"/>
    </row>
    <row r="394" spans="1:28" x14ac:dyDescent="0.2">
      <c r="A394" s="544"/>
      <c r="B394" s="544"/>
      <c r="C394" s="544"/>
      <c r="D394" s="544"/>
      <c r="E394" s="544"/>
      <c r="F394" s="569"/>
      <c r="G394" s="544"/>
      <c r="H394" s="544"/>
      <c r="I394" s="544"/>
      <c r="J394" s="544"/>
      <c r="K394" s="569"/>
      <c r="L394" s="544"/>
      <c r="M394" s="544"/>
      <c r="N394" s="544"/>
      <c r="O394" s="544"/>
      <c r="P394" s="544"/>
      <c r="Q394" s="544"/>
      <c r="R394" s="544"/>
      <c r="S394" s="544"/>
      <c r="T394" s="544"/>
      <c r="U394" s="544"/>
      <c r="V394" s="544"/>
      <c r="W394" s="544"/>
      <c r="X394" s="544"/>
      <c r="Y394" s="544"/>
      <c r="Z394" s="544"/>
      <c r="AA394" s="544"/>
      <c r="AB394" s="544"/>
    </row>
    <row r="395" spans="1:28" x14ac:dyDescent="0.2">
      <c r="A395" s="544"/>
      <c r="B395" s="544"/>
      <c r="C395" s="544"/>
      <c r="D395" s="544"/>
      <c r="E395" s="544"/>
      <c r="F395" s="569"/>
      <c r="G395" s="544"/>
      <c r="H395" s="544"/>
      <c r="I395" s="544"/>
      <c r="J395" s="544"/>
      <c r="K395" s="569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44"/>
      <c r="AB395" s="544"/>
    </row>
    <row r="396" spans="1:28" x14ac:dyDescent="0.2">
      <c r="A396" s="544"/>
      <c r="B396" s="544"/>
      <c r="C396" s="544"/>
      <c r="D396" s="544"/>
      <c r="E396" s="544"/>
      <c r="F396" s="569"/>
      <c r="G396" s="544"/>
      <c r="H396" s="544"/>
      <c r="I396" s="544"/>
      <c r="J396" s="544"/>
      <c r="K396" s="569"/>
      <c r="L396" s="544"/>
      <c r="M396" s="544"/>
      <c r="N396" s="544"/>
      <c r="O396" s="544"/>
      <c r="P396" s="544"/>
      <c r="Q396" s="544"/>
      <c r="R396" s="544"/>
      <c r="S396" s="544"/>
      <c r="T396" s="544"/>
      <c r="U396" s="544"/>
      <c r="V396" s="544"/>
      <c r="W396" s="544"/>
      <c r="X396" s="544"/>
      <c r="Y396" s="544"/>
      <c r="Z396" s="544"/>
      <c r="AA396" s="544"/>
      <c r="AB396" s="544"/>
    </row>
    <row r="397" spans="1:28" x14ac:dyDescent="0.2">
      <c r="A397" s="544"/>
      <c r="B397" s="544"/>
      <c r="C397" s="544"/>
      <c r="D397" s="544"/>
      <c r="E397" s="544"/>
      <c r="F397" s="569"/>
      <c r="G397" s="544"/>
      <c r="H397" s="544"/>
      <c r="I397" s="544"/>
      <c r="J397" s="544"/>
      <c r="K397" s="569"/>
      <c r="L397" s="544"/>
      <c r="M397" s="544"/>
      <c r="N397" s="544"/>
      <c r="O397" s="544"/>
      <c r="P397" s="544"/>
      <c r="Q397" s="544"/>
      <c r="R397" s="544"/>
      <c r="S397" s="544"/>
      <c r="T397" s="544"/>
      <c r="U397" s="544"/>
      <c r="V397" s="544"/>
      <c r="W397" s="544"/>
      <c r="X397" s="544"/>
      <c r="Y397" s="544"/>
      <c r="Z397" s="544"/>
      <c r="AA397" s="544"/>
      <c r="AB397" s="544"/>
    </row>
    <row r="398" spans="1:28" x14ac:dyDescent="0.2">
      <c r="A398" s="544"/>
      <c r="B398" s="544"/>
      <c r="C398" s="544"/>
      <c r="D398" s="544"/>
      <c r="E398" s="544"/>
      <c r="F398" s="569"/>
      <c r="G398" s="544"/>
      <c r="H398" s="544"/>
      <c r="I398" s="544"/>
      <c r="J398" s="544"/>
      <c r="K398" s="569"/>
      <c r="L398" s="544"/>
      <c r="M398" s="544"/>
      <c r="N398" s="544"/>
      <c r="O398" s="544"/>
      <c r="P398" s="544"/>
      <c r="Q398" s="544"/>
      <c r="R398" s="544"/>
      <c r="S398" s="544"/>
      <c r="T398" s="544"/>
      <c r="U398" s="544"/>
      <c r="V398" s="544"/>
      <c r="W398" s="544"/>
      <c r="X398" s="544"/>
      <c r="Y398" s="544"/>
      <c r="Z398" s="544"/>
      <c r="AA398" s="544"/>
      <c r="AB398" s="544"/>
    </row>
    <row r="399" spans="1:28" x14ac:dyDescent="0.2">
      <c r="A399" s="544"/>
      <c r="B399" s="544"/>
      <c r="C399" s="544"/>
      <c r="D399" s="544"/>
      <c r="E399" s="544"/>
      <c r="F399" s="569"/>
      <c r="G399" s="544"/>
      <c r="H399" s="544"/>
      <c r="I399" s="544"/>
      <c r="J399" s="544"/>
      <c r="K399" s="569"/>
      <c r="L399" s="544"/>
      <c r="M399" s="544"/>
      <c r="N399" s="544"/>
      <c r="O399" s="544"/>
      <c r="P399" s="544"/>
      <c r="Q399" s="544"/>
      <c r="R399" s="544"/>
      <c r="S399" s="544"/>
      <c r="T399" s="544"/>
      <c r="U399" s="544"/>
      <c r="V399" s="544"/>
      <c r="W399" s="544"/>
      <c r="X399" s="544"/>
      <c r="Y399" s="544"/>
      <c r="Z399" s="544"/>
      <c r="AA399" s="544"/>
      <c r="AB399" s="544"/>
    </row>
    <row r="400" spans="1:28" x14ac:dyDescent="0.2">
      <c r="A400" s="544"/>
      <c r="B400" s="544"/>
      <c r="C400" s="544"/>
      <c r="D400" s="544"/>
      <c r="E400" s="544"/>
      <c r="F400" s="569"/>
      <c r="G400" s="544"/>
      <c r="H400" s="544"/>
      <c r="I400" s="544"/>
      <c r="J400" s="544"/>
      <c r="K400" s="569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44"/>
      <c r="AB400" s="544"/>
    </row>
    <row r="401" spans="1:28" x14ac:dyDescent="0.2">
      <c r="A401" s="544"/>
      <c r="B401" s="544"/>
      <c r="C401" s="544"/>
      <c r="D401" s="544"/>
      <c r="E401" s="544"/>
      <c r="F401" s="569"/>
      <c r="G401" s="544"/>
      <c r="H401" s="544"/>
      <c r="I401" s="544"/>
      <c r="J401" s="544"/>
      <c r="K401" s="569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44"/>
      <c r="AB401" s="544"/>
    </row>
    <row r="402" spans="1:28" x14ac:dyDescent="0.2">
      <c r="A402" s="544"/>
      <c r="B402" s="544"/>
      <c r="C402" s="544"/>
      <c r="D402" s="544"/>
      <c r="E402" s="544"/>
      <c r="F402" s="569"/>
      <c r="G402" s="544"/>
      <c r="H402" s="544"/>
      <c r="I402" s="544"/>
      <c r="J402" s="544"/>
      <c r="K402" s="569"/>
      <c r="L402" s="544"/>
      <c r="M402" s="544"/>
      <c r="N402" s="544"/>
      <c r="O402" s="544"/>
      <c r="P402" s="544"/>
      <c r="Q402" s="544"/>
      <c r="R402" s="544"/>
      <c r="S402" s="544"/>
      <c r="T402" s="544"/>
      <c r="U402" s="544"/>
      <c r="V402" s="544"/>
      <c r="W402" s="544"/>
      <c r="X402" s="544"/>
      <c r="Y402" s="544"/>
      <c r="Z402" s="544"/>
      <c r="AA402" s="544"/>
      <c r="AB402" s="544"/>
    </row>
    <row r="403" spans="1:28" x14ac:dyDescent="0.2">
      <c r="A403" s="544"/>
      <c r="B403" s="544"/>
      <c r="C403" s="544"/>
      <c r="D403" s="544"/>
      <c r="E403" s="544"/>
      <c r="F403" s="569"/>
      <c r="G403" s="544"/>
      <c r="H403" s="544"/>
      <c r="I403" s="544"/>
      <c r="J403" s="544"/>
      <c r="K403" s="569"/>
      <c r="L403" s="544"/>
      <c r="M403" s="544"/>
      <c r="N403" s="544"/>
      <c r="O403" s="544"/>
      <c r="P403" s="544"/>
      <c r="Q403" s="544"/>
      <c r="R403" s="544"/>
      <c r="S403" s="544"/>
      <c r="T403" s="544"/>
      <c r="U403" s="544"/>
      <c r="V403" s="544"/>
      <c r="W403" s="544"/>
      <c r="X403" s="544"/>
      <c r="Y403" s="544"/>
      <c r="Z403" s="544"/>
      <c r="AA403" s="544"/>
      <c r="AB403" s="544"/>
    </row>
    <row r="404" spans="1:28" x14ac:dyDescent="0.2">
      <c r="A404" s="544"/>
      <c r="B404" s="544"/>
      <c r="C404" s="544"/>
      <c r="D404" s="544"/>
      <c r="E404" s="544"/>
      <c r="F404" s="569"/>
      <c r="G404" s="544"/>
      <c r="H404" s="544"/>
      <c r="I404" s="544"/>
      <c r="J404" s="544"/>
      <c r="K404" s="569"/>
      <c r="L404" s="544"/>
      <c r="M404" s="544"/>
      <c r="N404" s="544"/>
      <c r="O404" s="544"/>
      <c r="P404" s="544"/>
      <c r="Q404" s="544"/>
      <c r="R404" s="544"/>
      <c r="S404" s="544"/>
      <c r="T404" s="544"/>
      <c r="U404" s="544"/>
      <c r="V404" s="544"/>
      <c r="W404" s="544"/>
      <c r="X404" s="544"/>
      <c r="Y404" s="544"/>
      <c r="Z404" s="544"/>
      <c r="AA404" s="544"/>
      <c r="AB404" s="544"/>
    </row>
    <row r="405" spans="1:28" x14ac:dyDescent="0.2">
      <c r="A405" s="544"/>
      <c r="B405" s="544"/>
      <c r="C405" s="544"/>
      <c r="D405" s="544"/>
      <c r="E405" s="544"/>
      <c r="F405" s="569"/>
      <c r="G405" s="544"/>
      <c r="H405" s="544"/>
      <c r="I405" s="544"/>
      <c r="J405" s="544"/>
      <c r="K405" s="569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44"/>
      <c r="AB405" s="544"/>
    </row>
    <row r="406" spans="1:28" x14ac:dyDescent="0.2">
      <c r="A406" s="544"/>
      <c r="B406" s="544"/>
      <c r="C406" s="544"/>
      <c r="D406" s="544"/>
      <c r="E406" s="544"/>
      <c r="F406" s="569"/>
      <c r="G406" s="544"/>
      <c r="H406" s="544"/>
      <c r="I406" s="544"/>
      <c r="J406" s="544"/>
      <c r="K406" s="569"/>
      <c r="L406" s="544"/>
      <c r="M406" s="544"/>
      <c r="N406" s="544"/>
      <c r="O406" s="544"/>
      <c r="P406" s="544"/>
      <c r="Q406" s="544"/>
      <c r="R406" s="544"/>
      <c r="S406" s="544"/>
      <c r="T406" s="544"/>
      <c r="U406" s="544"/>
      <c r="V406" s="544"/>
      <c r="W406" s="544"/>
      <c r="X406" s="544"/>
      <c r="Y406" s="544"/>
      <c r="Z406" s="544"/>
      <c r="AA406" s="544"/>
      <c r="AB406" s="544"/>
    </row>
    <row r="407" spans="1:28" x14ac:dyDescent="0.2">
      <c r="A407" s="544"/>
      <c r="B407" s="544"/>
      <c r="C407" s="544"/>
      <c r="D407" s="544"/>
      <c r="E407" s="544"/>
      <c r="F407" s="569"/>
      <c r="G407" s="544"/>
      <c r="H407" s="544"/>
      <c r="I407" s="544"/>
      <c r="J407" s="544"/>
      <c r="K407" s="569"/>
      <c r="L407" s="544"/>
      <c r="M407" s="544"/>
      <c r="N407" s="544"/>
      <c r="O407" s="544"/>
      <c r="P407" s="544"/>
      <c r="Q407" s="544"/>
      <c r="R407" s="544"/>
      <c r="S407" s="544"/>
      <c r="T407" s="544"/>
      <c r="U407" s="544"/>
      <c r="V407" s="544"/>
      <c r="W407" s="544"/>
      <c r="X407" s="544"/>
      <c r="Y407" s="544"/>
      <c r="Z407" s="544"/>
      <c r="AA407" s="544"/>
      <c r="AB407" s="544"/>
    </row>
    <row r="408" spans="1:28" x14ac:dyDescent="0.2">
      <c r="A408" s="544"/>
      <c r="B408" s="544"/>
      <c r="C408" s="544"/>
      <c r="D408" s="544"/>
      <c r="E408" s="544"/>
      <c r="F408" s="569"/>
      <c r="G408" s="544"/>
      <c r="H408" s="544"/>
      <c r="I408" s="544"/>
      <c r="J408" s="544"/>
      <c r="K408" s="569"/>
      <c r="L408" s="544"/>
      <c r="M408" s="544"/>
      <c r="N408" s="544"/>
      <c r="O408" s="544"/>
      <c r="P408" s="544"/>
      <c r="Q408" s="544"/>
      <c r="R408" s="544"/>
      <c r="S408" s="544"/>
      <c r="T408" s="544"/>
      <c r="U408" s="544"/>
      <c r="V408" s="544"/>
      <c r="W408" s="544"/>
      <c r="X408" s="544"/>
      <c r="Y408" s="544"/>
      <c r="Z408" s="544"/>
      <c r="AA408" s="544"/>
      <c r="AB408" s="544"/>
    </row>
    <row r="409" spans="1:28" x14ac:dyDescent="0.2">
      <c r="A409" s="544"/>
      <c r="B409" s="544"/>
      <c r="C409" s="544"/>
      <c r="D409" s="544"/>
      <c r="E409" s="544"/>
      <c r="F409" s="569"/>
      <c r="G409" s="544"/>
      <c r="H409" s="544"/>
      <c r="I409" s="544"/>
      <c r="J409" s="544"/>
      <c r="K409" s="569"/>
      <c r="L409" s="544"/>
      <c r="M409" s="544"/>
      <c r="N409" s="544"/>
      <c r="O409" s="544"/>
      <c r="P409" s="544"/>
      <c r="Q409" s="544"/>
      <c r="R409" s="544"/>
      <c r="S409" s="544"/>
      <c r="T409" s="544"/>
      <c r="U409" s="544"/>
      <c r="V409" s="544"/>
      <c r="W409" s="544"/>
      <c r="X409" s="544"/>
      <c r="Y409" s="544"/>
      <c r="Z409" s="544"/>
      <c r="AA409" s="544"/>
      <c r="AB409" s="544"/>
    </row>
    <row r="410" spans="1:28" x14ac:dyDescent="0.2">
      <c r="A410" s="544"/>
      <c r="B410" s="544"/>
      <c r="C410" s="544"/>
      <c r="D410" s="544"/>
      <c r="E410" s="544"/>
      <c r="F410" s="569"/>
      <c r="G410" s="544"/>
      <c r="H410" s="544"/>
      <c r="I410" s="544"/>
      <c r="J410" s="544"/>
      <c r="K410" s="569"/>
      <c r="L410" s="544"/>
      <c r="M410" s="544"/>
      <c r="N410" s="544"/>
      <c r="O410" s="544"/>
      <c r="P410" s="544"/>
      <c r="Q410" s="544"/>
      <c r="R410" s="544"/>
      <c r="S410" s="544"/>
      <c r="T410" s="544"/>
      <c r="U410" s="544"/>
      <c r="V410" s="544"/>
      <c r="W410" s="544"/>
      <c r="X410" s="544"/>
      <c r="Y410" s="544"/>
      <c r="Z410" s="544"/>
      <c r="AA410" s="544"/>
      <c r="AB410" s="544"/>
    </row>
    <row r="411" spans="1:28" x14ac:dyDescent="0.2">
      <c r="A411" s="544"/>
      <c r="B411" s="544"/>
      <c r="C411" s="544"/>
      <c r="D411" s="544"/>
      <c r="E411" s="544"/>
      <c r="F411" s="569"/>
      <c r="G411" s="544"/>
      <c r="H411" s="544"/>
      <c r="I411" s="544"/>
      <c r="J411" s="544"/>
      <c r="K411" s="569"/>
      <c r="L411" s="544"/>
      <c r="M411" s="544"/>
      <c r="N411" s="544"/>
      <c r="O411" s="544"/>
      <c r="P411" s="544"/>
      <c r="Q411" s="544"/>
      <c r="R411" s="544"/>
      <c r="S411" s="544"/>
      <c r="T411" s="544"/>
      <c r="U411" s="544"/>
      <c r="V411" s="544"/>
      <c r="W411" s="544"/>
      <c r="X411" s="544"/>
      <c r="Y411" s="544"/>
      <c r="Z411" s="544"/>
      <c r="AA411" s="544"/>
      <c r="AB411" s="544"/>
    </row>
    <row r="412" spans="1:28" x14ac:dyDescent="0.2">
      <c r="A412" s="544"/>
      <c r="B412" s="544"/>
      <c r="C412" s="544"/>
      <c r="D412" s="544"/>
      <c r="E412" s="544"/>
      <c r="F412" s="569"/>
      <c r="G412" s="544"/>
      <c r="H412" s="544"/>
      <c r="I412" s="544"/>
      <c r="J412" s="544"/>
      <c r="K412" s="569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44"/>
      <c r="AB412" s="544"/>
    </row>
    <row r="413" spans="1:28" x14ac:dyDescent="0.2">
      <c r="A413" s="544"/>
      <c r="B413" s="544"/>
      <c r="C413" s="544"/>
      <c r="D413" s="544"/>
      <c r="E413" s="544"/>
      <c r="F413" s="569"/>
      <c r="G413" s="544"/>
      <c r="H413" s="544"/>
      <c r="I413" s="544"/>
      <c r="J413" s="544"/>
      <c r="K413" s="569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44"/>
      <c r="AB413" s="544"/>
    </row>
    <row r="414" spans="1:28" x14ac:dyDescent="0.2">
      <c r="A414" s="544"/>
      <c r="B414" s="544"/>
      <c r="C414" s="544"/>
      <c r="D414" s="544"/>
      <c r="E414" s="544"/>
      <c r="F414" s="569"/>
      <c r="G414" s="544"/>
      <c r="H414" s="544"/>
      <c r="I414" s="544"/>
      <c r="J414" s="544"/>
      <c r="K414" s="569"/>
      <c r="L414" s="544"/>
      <c r="M414" s="544"/>
      <c r="N414" s="544"/>
      <c r="O414" s="544"/>
      <c r="P414" s="544"/>
      <c r="Q414" s="544"/>
      <c r="R414" s="544"/>
      <c r="S414" s="544"/>
      <c r="T414" s="544"/>
      <c r="U414" s="544"/>
      <c r="V414" s="544"/>
      <c r="W414" s="544"/>
      <c r="X414" s="544"/>
      <c r="Y414" s="544"/>
      <c r="Z414" s="544"/>
      <c r="AA414" s="544"/>
      <c r="AB414" s="544"/>
    </row>
    <row r="415" spans="1:28" x14ac:dyDescent="0.2">
      <c r="A415" s="544"/>
      <c r="B415" s="544"/>
      <c r="C415" s="544"/>
      <c r="D415" s="544"/>
      <c r="E415" s="544"/>
      <c r="F415" s="569"/>
      <c r="G415" s="544"/>
      <c r="H415" s="544"/>
      <c r="I415" s="544"/>
      <c r="J415" s="544"/>
      <c r="K415" s="569"/>
      <c r="L415" s="544"/>
      <c r="M415" s="544"/>
      <c r="N415" s="544"/>
      <c r="O415" s="544"/>
      <c r="P415" s="544"/>
      <c r="Q415" s="544"/>
      <c r="R415" s="544"/>
      <c r="S415" s="544"/>
      <c r="T415" s="544"/>
      <c r="U415" s="544"/>
      <c r="V415" s="544"/>
      <c r="W415" s="544"/>
      <c r="X415" s="544"/>
      <c r="Y415" s="544"/>
      <c r="Z415" s="544"/>
      <c r="AA415" s="544"/>
      <c r="AB415" s="544"/>
    </row>
    <row r="416" spans="1:28" x14ac:dyDescent="0.2">
      <c r="A416" s="544"/>
      <c r="B416" s="544"/>
      <c r="C416" s="544"/>
      <c r="D416" s="544"/>
      <c r="E416" s="544"/>
      <c r="F416" s="569"/>
      <c r="G416" s="544"/>
      <c r="H416" s="544"/>
      <c r="I416" s="544"/>
      <c r="J416" s="544"/>
      <c r="K416" s="569"/>
      <c r="L416" s="544"/>
      <c r="M416" s="544"/>
      <c r="N416" s="544"/>
      <c r="O416" s="544"/>
      <c r="P416" s="544"/>
      <c r="Q416" s="544"/>
      <c r="R416" s="544"/>
      <c r="S416" s="544"/>
      <c r="T416" s="544"/>
      <c r="U416" s="544"/>
      <c r="V416" s="544"/>
      <c r="W416" s="544"/>
      <c r="X416" s="544"/>
      <c r="Y416" s="544"/>
      <c r="Z416" s="544"/>
      <c r="AA416" s="544"/>
      <c r="AB416" s="544"/>
    </row>
    <row r="417" spans="1:28" x14ac:dyDescent="0.2">
      <c r="A417" s="544"/>
      <c r="B417" s="544"/>
      <c r="C417" s="544"/>
      <c r="D417" s="544"/>
      <c r="E417" s="544"/>
      <c r="F417" s="569"/>
      <c r="G417" s="544"/>
      <c r="H417" s="544"/>
      <c r="I417" s="544"/>
      <c r="J417" s="544"/>
      <c r="K417" s="569"/>
      <c r="L417" s="544"/>
      <c r="M417" s="544"/>
      <c r="N417" s="544"/>
      <c r="O417" s="544"/>
      <c r="P417" s="544"/>
      <c r="Q417" s="544"/>
      <c r="R417" s="544"/>
      <c r="S417" s="544"/>
      <c r="T417" s="544"/>
      <c r="U417" s="544"/>
      <c r="V417" s="544"/>
      <c r="W417" s="544"/>
      <c r="X417" s="544"/>
      <c r="Y417" s="544"/>
      <c r="Z417" s="544"/>
      <c r="AA417" s="544"/>
      <c r="AB417" s="544"/>
    </row>
    <row r="418" spans="1:28" x14ac:dyDescent="0.2">
      <c r="A418" s="544"/>
      <c r="B418" s="544"/>
      <c r="C418" s="544"/>
      <c r="D418" s="544"/>
      <c r="E418" s="544"/>
      <c r="F418" s="569"/>
      <c r="G418" s="544"/>
      <c r="H418" s="544"/>
      <c r="I418" s="544"/>
      <c r="J418" s="544"/>
      <c r="K418" s="569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44"/>
      <c r="AB418" s="544"/>
    </row>
    <row r="419" spans="1:28" x14ac:dyDescent="0.2">
      <c r="A419" s="544"/>
      <c r="B419" s="544"/>
      <c r="C419" s="544"/>
      <c r="D419" s="544"/>
      <c r="E419" s="544"/>
      <c r="F419" s="569"/>
      <c r="G419" s="544"/>
      <c r="H419" s="544"/>
      <c r="I419" s="544"/>
      <c r="J419" s="544"/>
      <c r="K419" s="569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44"/>
      <c r="AB419" s="544"/>
    </row>
    <row r="420" spans="1:28" x14ac:dyDescent="0.2">
      <c r="A420" s="544"/>
      <c r="B420" s="544"/>
      <c r="C420" s="544"/>
      <c r="D420" s="544"/>
      <c r="E420" s="544"/>
      <c r="F420" s="569"/>
      <c r="G420" s="544"/>
      <c r="H420" s="544"/>
      <c r="I420" s="544"/>
      <c r="J420" s="544"/>
      <c r="K420" s="569"/>
      <c r="L420" s="544"/>
      <c r="M420" s="544"/>
      <c r="N420" s="544"/>
      <c r="O420" s="544"/>
      <c r="P420" s="544"/>
      <c r="Q420" s="544"/>
      <c r="R420" s="544"/>
      <c r="S420" s="544"/>
      <c r="T420" s="544"/>
      <c r="U420" s="544"/>
      <c r="V420" s="544"/>
      <c r="W420" s="544"/>
      <c r="X420" s="544"/>
      <c r="Y420" s="544"/>
      <c r="Z420" s="544"/>
      <c r="AA420" s="544"/>
      <c r="AB420" s="544"/>
    </row>
    <row r="421" spans="1:28" x14ac:dyDescent="0.2">
      <c r="A421" s="544"/>
      <c r="B421" s="544"/>
      <c r="C421" s="544"/>
      <c r="D421" s="544"/>
      <c r="E421" s="544"/>
      <c r="F421" s="569"/>
      <c r="G421" s="544"/>
      <c r="H421" s="544"/>
      <c r="I421" s="544"/>
      <c r="J421" s="544"/>
      <c r="K421" s="569"/>
      <c r="L421" s="544"/>
      <c r="M421" s="544"/>
      <c r="N421" s="544"/>
      <c r="O421" s="544"/>
      <c r="P421" s="544"/>
      <c r="Q421" s="544"/>
      <c r="R421" s="544"/>
      <c r="S421" s="544"/>
      <c r="T421" s="544"/>
      <c r="U421" s="544"/>
      <c r="V421" s="544"/>
      <c r="W421" s="544"/>
      <c r="X421" s="544"/>
      <c r="Y421" s="544"/>
      <c r="Z421" s="544"/>
      <c r="AA421" s="544"/>
      <c r="AB421" s="544"/>
    </row>
    <row r="422" spans="1:28" x14ac:dyDescent="0.2">
      <c r="A422" s="544"/>
      <c r="B422" s="544"/>
      <c r="C422" s="544"/>
      <c r="D422" s="544"/>
      <c r="E422" s="544"/>
      <c r="F422" s="569"/>
      <c r="G422" s="544"/>
      <c r="H422" s="544"/>
      <c r="I422" s="544"/>
      <c r="J422" s="544"/>
      <c r="K422" s="569"/>
      <c r="L422" s="544"/>
      <c r="M422" s="544"/>
      <c r="N422" s="544"/>
      <c r="O422" s="544"/>
      <c r="P422" s="544"/>
      <c r="Q422" s="544"/>
      <c r="R422" s="544"/>
      <c r="S422" s="544"/>
      <c r="T422" s="544"/>
      <c r="U422" s="544"/>
      <c r="V422" s="544"/>
      <c r="W422" s="544"/>
      <c r="X422" s="544"/>
      <c r="Y422" s="544"/>
      <c r="Z422" s="544"/>
      <c r="AA422" s="544"/>
      <c r="AB422" s="544"/>
    </row>
    <row r="423" spans="1:28" x14ac:dyDescent="0.2">
      <c r="A423" s="544"/>
      <c r="B423" s="544"/>
      <c r="C423" s="544"/>
      <c r="D423" s="544"/>
      <c r="E423" s="544"/>
      <c r="F423" s="569"/>
      <c r="G423" s="544"/>
      <c r="H423" s="544"/>
      <c r="I423" s="544"/>
      <c r="J423" s="544"/>
      <c r="K423" s="569"/>
      <c r="L423" s="544"/>
      <c r="M423" s="544"/>
      <c r="N423" s="544"/>
      <c r="O423" s="544"/>
      <c r="P423" s="544"/>
      <c r="Q423" s="544"/>
      <c r="R423" s="544"/>
      <c r="S423" s="544"/>
      <c r="T423" s="544"/>
      <c r="U423" s="544"/>
      <c r="V423" s="544"/>
      <c r="W423" s="544"/>
      <c r="X423" s="544"/>
      <c r="Y423" s="544"/>
      <c r="Z423" s="544"/>
      <c r="AA423" s="544"/>
      <c r="AB423" s="544"/>
    </row>
    <row r="424" spans="1:28" x14ac:dyDescent="0.2">
      <c r="A424" s="544"/>
      <c r="B424" s="544"/>
      <c r="C424" s="544"/>
      <c r="D424" s="544"/>
      <c r="E424" s="544"/>
      <c r="F424" s="569"/>
      <c r="G424" s="544"/>
      <c r="H424" s="544"/>
      <c r="I424" s="544"/>
      <c r="J424" s="544"/>
      <c r="K424" s="569"/>
      <c r="L424" s="544"/>
      <c r="M424" s="544"/>
      <c r="N424" s="544"/>
      <c r="O424" s="544"/>
      <c r="P424" s="544"/>
      <c r="Q424" s="544"/>
      <c r="R424" s="544"/>
      <c r="S424" s="544"/>
      <c r="T424" s="544"/>
      <c r="U424" s="544"/>
      <c r="V424" s="544"/>
      <c r="W424" s="544"/>
      <c r="X424" s="544"/>
      <c r="Y424" s="544"/>
      <c r="Z424" s="544"/>
      <c r="AA424" s="544"/>
      <c r="AB424" s="544"/>
    </row>
    <row r="425" spans="1:28" x14ac:dyDescent="0.2">
      <c r="A425" s="544"/>
      <c r="B425" s="544"/>
      <c r="C425" s="544"/>
      <c r="D425" s="544"/>
      <c r="E425" s="544"/>
      <c r="F425" s="569"/>
      <c r="G425" s="544"/>
      <c r="H425" s="544"/>
      <c r="I425" s="544"/>
      <c r="J425" s="544"/>
      <c r="K425" s="569"/>
      <c r="L425" s="544"/>
      <c r="M425" s="544"/>
      <c r="N425" s="544"/>
      <c r="O425" s="544"/>
      <c r="P425" s="544"/>
      <c r="Q425" s="544"/>
      <c r="R425" s="544"/>
      <c r="S425" s="544"/>
      <c r="T425" s="544"/>
      <c r="U425" s="544"/>
      <c r="V425" s="544"/>
      <c r="W425" s="544"/>
      <c r="X425" s="544"/>
      <c r="Y425" s="544"/>
      <c r="Z425" s="544"/>
      <c r="AA425" s="544"/>
      <c r="AB425" s="544"/>
    </row>
    <row r="426" spans="1:28" x14ac:dyDescent="0.2">
      <c r="A426" s="544"/>
      <c r="B426" s="544"/>
      <c r="C426" s="544"/>
      <c r="D426" s="544"/>
      <c r="E426" s="544"/>
      <c r="F426" s="569"/>
      <c r="G426" s="544"/>
      <c r="H426" s="544"/>
      <c r="I426" s="544"/>
      <c r="J426" s="544"/>
      <c r="K426" s="569"/>
      <c r="L426" s="544"/>
      <c r="M426" s="544"/>
      <c r="N426" s="544"/>
      <c r="O426" s="544"/>
      <c r="P426" s="544"/>
      <c r="Q426" s="544"/>
      <c r="R426" s="544"/>
      <c r="S426" s="544"/>
      <c r="T426" s="544"/>
      <c r="U426" s="544"/>
      <c r="V426" s="544"/>
      <c r="W426" s="544"/>
      <c r="X426" s="544"/>
      <c r="Y426" s="544"/>
      <c r="Z426" s="544"/>
      <c r="AA426" s="544"/>
      <c r="AB426" s="544"/>
    </row>
    <row r="427" spans="1:28" x14ac:dyDescent="0.2">
      <c r="A427" s="544"/>
      <c r="B427" s="544"/>
      <c r="C427" s="544"/>
      <c r="D427" s="544"/>
      <c r="E427" s="544"/>
      <c r="F427" s="569"/>
      <c r="G427" s="544"/>
      <c r="H427" s="544"/>
      <c r="I427" s="544"/>
      <c r="J427" s="544"/>
      <c r="K427" s="569"/>
      <c r="L427" s="544"/>
      <c r="M427" s="544"/>
      <c r="N427" s="544"/>
      <c r="O427" s="544"/>
      <c r="P427" s="544"/>
      <c r="Q427" s="544"/>
      <c r="R427" s="544"/>
      <c r="S427" s="544"/>
      <c r="T427" s="544"/>
      <c r="U427" s="544"/>
      <c r="V427" s="544"/>
      <c r="W427" s="544"/>
      <c r="X427" s="544"/>
      <c r="Y427" s="544"/>
      <c r="Z427" s="544"/>
      <c r="AA427" s="544"/>
      <c r="AB427" s="544"/>
    </row>
    <row r="428" spans="1:28" x14ac:dyDescent="0.2">
      <c r="A428" s="544"/>
      <c r="B428" s="544"/>
      <c r="C428" s="544"/>
      <c r="D428" s="544"/>
      <c r="E428" s="544"/>
      <c r="F428" s="569"/>
      <c r="G428" s="544"/>
      <c r="H428" s="544"/>
      <c r="I428" s="544"/>
      <c r="J428" s="544"/>
      <c r="K428" s="569"/>
      <c r="L428" s="544"/>
      <c r="M428" s="544"/>
      <c r="N428" s="544"/>
      <c r="O428" s="544"/>
      <c r="P428" s="544"/>
      <c r="Q428" s="544"/>
      <c r="R428" s="544"/>
      <c r="S428" s="544"/>
      <c r="T428" s="544"/>
      <c r="U428" s="544"/>
      <c r="V428" s="544"/>
      <c r="W428" s="544"/>
      <c r="X428" s="544"/>
      <c r="Y428" s="544"/>
      <c r="Z428" s="544"/>
      <c r="AA428" s="544"/>
      <c r="AB428" s="544"/>
    </row>
    <row r="429" spans="1:28" x14ac:dyDescent="0.2">
      <c r="A429" s="544"/>
      <c r="B429" s="544"/>
      <c r="C429" s="544"/>
      <c r="D429" s="544"/>
      <c r="E429" s="544"/>
      <c r="F429" s="569"/>
      <c r="G429" s="544"/>
      <c r="H429" s="544"/>
      <c r="I429" s="544"/>
      <c r="J429" s="544"/>
      <c r="K429" s="569"/>
      <c r="L429" s="544"/>
      <c r="M429" s="544"/>
      <c r="N429" s="544"/>
      <c r="O429" s="544"/>
      <c r="P429" s="544"/>
      <c r="Q429" s="544"/>
      <c r="R429" s="544"/>
      <c r="S429" s="544"/>
      <c r="T429" s="544"/>
      <c r="U429" s="544"/>
      <c r="V429" s="544"/>
      <c r="W429" s="544"/>
      <c r="X429" s="544"/>
      <c r="Y429" s="544"/>
      <c r="Z429" s="544"/>
      <c r="AA429" s="544"/>
      <c r="AB429" s="544"/>
    </row>
    <row r="430" spans="1:28" x14ac:dyDescent="0.2">
      <c r="A430" s="544"/>
      <c r="B430" s="544"/>
      <c r="C430" s="544"/>
      <c r="D430" s="544"/>
      <c r="E430" s="544"/>
      <c r="F430" s="569"/>
      <c r="G430" s="544"/>
      <c r="H430" s="544"/>
      <c r="I430" s="544"/>
      <c r="J430" s="544"/>
      <c r="K430" s="569"/>
      <c r="L430" s="544"/>
      <c r="M430" s="544"/>
      <c r="N430" s="544"/>
      <c r="O430" s="544"/>
      <c r="P430" s="544"/>
      <c r="Q430" s="544"/>
      <c r="R430" s="544"/>
      <c r="S430" s="544"/>
      <c r="T430" s="544"/>
      <c r="U430" s="544"/>
      <c r="V430" s="544"/>
      <c r="W430" s="544"/>
      <c r="X430" s="544"/>
      <c r="Y430" s="544"/>
      <c r="Z430" s="544"/>
      <c r="AA430" s="544"/>
      <c r="AB430" s="544"/>
    </row>
    <row r="431" spans="1:28" x14ac:dyDescent="0.2">
      <c r="A431" s="544"/>
      <c r="B431" s="544"/>
      <c r="C431" s="544"/>
      <c r="D431" s="544"/>
      <c r="E431" s="544"/>
      <c r="F431" s="569"/>
      <c r="G431" s="544"/>
      <c r="H431" s="544"/>
      <c r="I431" s="544"/>
      <c r="J431" s="544"/>
      <c r="K431" s="569"/>
      <c r="L431" s="544"/>
      <c r="M431" s="544"/>
      <c r="N431" s="544"/>
      <c r="O431" s="544"/>
      <c r="P431" s="544"/>
      <c r="Q431" s="544"/>
      <c r="R431" s="544"/>
      <c r="S431" s="544"/>
      <c r="T431" s="544"/>
      <c r="U431" s="544"/>
      <c r="V431" s="544"/>
      <c r="W431" s="544"/>
      <c r="X431" s="544"/>
      <c r="Y431" s="544"/>
      <c r="Z431" s="544"/>
      <c r="AA431" s="544"/>
      <c r="AB431" s="544"/>
    </row>
    <row r="432" spans="1:28" x14ac:dyDescent="0.2">
      <c r="A432" s="544"/>
      <c r="B432" s="544"/>
      <c r="C432" s="544"/>
      <c r="D432" s="544"/>
      <c r="E432" s="544"/>
      <c r="F432" s="569"/>
      <c r="G432" s="544"/>
      <c r="H432" s="544"/>
      <c r="I432" s="544"/>
      <c r="J432" s="544"/>
      <c r="K432" s="569"/>
      <c r="L432" s="544"/>
      <c r="M432" s="544"/>
      <c r="N432" s="544"/>
      <c r="O432" s="544"/>
      <c r="P432" s="544"/>
      <c r="Q432" s="544"/>
      <c r="R432" s="544"/>
      <c r="S432" s="544"/>
      <c r="T432" s="544"/>
      <c r="U432" s="544"/>
      <c r="V432" s="544"/>
      <c r="W432" s="544"/>
      <c r="X432" s="544"/>
      <c r="Y432" s="544"/>
      <c r="Z432" s="544"/>
      <c r="AA432" s="544"/>
      <c r="AB432" s="544"/>
    </row>
    <row r="433" spans="1:28" x14ac:dyDescent="0.2">
      <c r="A433" s="544"/>
      <c r="B433" s="544"/>
      <c r="C433" s="544"/>
      <c r="D433" s="544"/>
      <c r="E433" s="544"/>
      <c r="F433" s="569"/>
      <c r="G433" s="544"/>
      <c r="H433" s="544"/>
      <c r="I433" s="544"/>
      <c r="J433" s="544"/>
      <c r="K433" s="569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44"/>
      <c r="AB433" s="544"/>
    </row>
    <row r="434" spans="1:28" x14ac:dyDescent="0.2">
      <c r="A434" s="544"/>
      <c r="B434" s="544"/>
      <c r="C434" s="544"/>
      <c r="D434" s="544"/>
      <c r="E434" s="544"/>
      <c r="F434" s="569"/>
      <c r="G434" s="544"/>
      <c r="H434" s="544"/>
      <c r="I434" s="544"/>
      <c r="J434" s="544"/>
      <c r="K434" s="569"/>
      <c r="L434" s="544"/>
      <c r="M434" s="544"/>
      <c r="N434" s="544"/>
      <c r="O434" s="544"/>
      <c r="P434" s="544"/>
      <c r="Q434" s="544"/>
      <c r="R434" s="544"/>
      <c r="S434" s="544"/>
      <c r="T434" s="544"/>
      <c r="U434" s="544"/>
      <c r="V434" s="544"/>
      <c r="W434" s="544"/>
      <c r="X434" s="544"/>
      <c r="Y434" s="544"/>
      <c r="Z434" s="544"/>
      <c r="AA434" s="544"/>
      <c r="AB434" s="544"/>
    </row>
    <row r="435" spans="1:28" x14ac:dyDescent="0.2">
      <c r="A435" s="544"/>
      <c r="B435" s="544"/>
      <c r="C435" s="544"/>
      <c r="D435" s="544"/>
      <c r="E435" s="544"/>
      <c r="F435" s="569"/>
      <c r="G435" s="544"/>
      <c r="H435" s="544"/>
      <c r="I435" s="544"/>
      <c r="J435" s="544"/>
      <c r="K435" s="569"/>
      <c r="L435" s="544"/>
      <c r="M435" s="544"/>
      <c r="N435" s="544"/>
      <c r="O435" s="544"/>
      <c r="P435" s="544"/>
      <c r="Q435" s="544"/>
      <c r="R435" s="544"/>
      <c r="S435" s="544"/>
      <c r="T435" s="544"/>
      <c r="U435" s="544"/>
      <c r="V435" s="544"/>
      <c r="W435" s="544"/>
      <c r="X435" s="544"/>
      <c r="Y435" s="544"/>
      <c r="Z435" s="544"/>
      <c r="AA435" s="544"/>
      <c r="AB435" s="544"/>
    </row>
    <row r="436" spans="1:28" x14ac:dyDescent="0.2">
      <c r="A436" s="544"/>
      <c r="B436" s="544"/>
      <c r="C436" s="544"/>
      <c r="D436" s="544"/>
      <c r="E436" s="544"/>
      <c r="F436" s="569"/>
      <c r="G436" s="544"/>
      <c r="H436" s="544"/>
      <c r="I436" s="544"/>
      <c r="J436" s="544"/>
      <c r="K436" s="569"/>
      <c r="L436" s="544"/>
      <c r="M436" s="544"/>
      <c r="N436" s="544"/>
      <c r="O436" s="544"/>
      <c r="P436" s="544"/>
      <c r="Q436" s="544"/>
      <c r="R436" s="544"/>
      <c r="S436" s="544"/>
      <c r="T436" s="544"/>
      <c r="U436" s="544"/>
      <c r="V436" s="544"/>
      <c r="W436" s="544"/>
      <c r="X436" s="544"/>
      <c r="Y436" s="544"/>
      <c r="Z436" s="544"/>
      <c r="AA436" s="544"/>
      <c r="AB436" s="544"/>
    </row>
    <row r="437" spans="1:28" x14ac:dyDescent="0.2">
      <c r="A437" s="544"/>
      <c r="B437" s="544"/>
      <c r="C437" s="544"/>
      <c r="D437" s="544"/>
      <c r="E437" s="544"/>
      <c r="F437" s="569"/>
      <c r="G437" s="544"/>
      <c r="H437" s="544"/>
      <c r="I437" s="544"/>
      <c r="J437" s="544"/>
      <c r="K437" s="569"/>
      <c r="L437" s="544"/>
      <c r="M437" s="544"/>
      <c r="N437" s="544"/>
      <c r="O437" s="544"/>
      <c r="P437" s="544"/>
      <c r="Q437" s="544"/>
      <c r="R437" s="544"/>
      <c r="S437" s="544"/>
      <c r="T437" s="544"/>
      <c r="U437" s="544"/>
      <c r="V437" s="544"/>
      <c r="W437" s="544"/>
      <c r="X437" s="544"/>
      <c r="Y437" s="544"/>
      <c r="Z437" s="544"/>
      <c r="AA437" s="544"/>
      <c r="AB437" s="544"/>
    </row>
    <row r="438" spans="1:28" x14ac:dyDescent="0.2">
      <c r="A438" s="544"/>
      <c r="B438" s="544"/>
      <c r="C438" s="544"/>
      <c r="D438" s="544"/>
      <c r="E438" s="544"/>
      <c r="F438" s="569"/>
      <c r="G438" s="544"/>
      <c r="H438" s="544"/>
      <c r="I438" s="544"/>
      <c r="J438" s="544"/>
      <c r="K438" s="569"/>
      <c r="L438" s="544"/>
      <c r="M438" s="544"/>
      <c r="N438" s="544"/>
      <c r="O438" s="544"/>
      <c r="P438" s="544"/>
      <c r="Q438" s="544"/>
      <c r="R438" s="544"/>
      <c r="S438" s="544"/>
      <c r="T438" s="544"/>
      <c r="U438" s="544"/>
      <c r="V438" s="544"/>
      <c r="W438" s="544"/>
      <c r="X438" s="544"/>
      <c r="Y438" s="544"/>
      <c r="Z438" s="544"/>
      <c r="AA438" s="544"/>
      <c r="AB438" s="544"/>
    </row>
    <row r="439" spans="1:28" x14ac:dyDescent="0.2">
      <c r="A439" s="544"/>
      <c r="B439" s="544"/>
      <c r="C439" s="544"/>
      <c r="D439" s="544"/>
      <c r="E439" s="544"/>
      <c r="F439" s="569"/>
      <c r="G439" s="544"/>
      <c r="H439" s="544"/>
      <c r="I439" s="544"/>
      <c r="J439" s="544"/>
      <c r="K439" s="569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44"/>
      <c r="AB439" s="544"/>
    </row>
    <row r="440" spans="1:28" x14ac:dyDescent="0.2">
      <c r="A440" s="544"/>
      <c r="B440" s="544"/>
      <c r="C440" s="544"/>
      <c r="D440" s="544"/>
      <c r="E440" s="544"/>
      <c r="F440" s="569"/>
      <c r="G440" s="544"/>
      <c r="H440" s="544"/>
      <c r="I440" s="544"/>
      <c r="J440" s="544"/>
      <c r="K440" s="569"/>
      <c r="L440" s="544"/>
      <c r="M440" s="544"/>
      <c r="N440" s="544"/>
      <c r="O440" s="544"/>
      <c r="P440" s="544"/>
      <c r="Q440" s="544"/>
      <c r="R440" s="544"/>
      <c r="S440" s="544"/>
      <c r="T440" s="544"/>
      <c r="U440" s="544"/>
      <c r="V440" s="544"/>
      <c r="W440" s="544"/>
      <c r="X440" s="544"/>
      <c r="Y440" s="544"/>
      <c r="Z440" s="544"/>
      <c r="AA440" s="544"/>
      <c r="AB440" s="544"/>
    </row>
    <row r="441" spans="1:28" x14ac:dyDescent="0.2">
      <c r="A441" s="544"/>
      <c r="B441" s="544"/>
      <c r="C441" s="544"/>
      <c r="D441" s="544"/>
      <c r="E441" s="544"/>
      <c r="F441" s="569"/>
      <c r="G441" s="544"/>
      <c r="H441" s="544"/>
      <c r="I441" s="544"/>
      <c r="J441" s="544"/>
      <c r="K441" s="569"/>
      <c r="L441" s="544"/>
      <c r="M441" s="544"/>
      <c r="N441" s="544"/>
      <c r="O441" s="544"/>
      <c r="P441" s="544"/>
      <c r="Q441" s="544"/>
      <c r="R441" s="544"/>
      <c r="S441" s="544"/>
      <c r="T441" s="544"/>
      <c r="U441" s="544"/>
      <c r="V441" s="544"/>
      <c r="W441" s="544"/>
      <c r="X441" s="544"/>
      <c r="Y441" s="544"/>
      <c r="Z441" s="544"/>
      <c r="AA441" s="544"/>
      <c r="AB441" s="544"/>
    </row>
    <row r="442" spans="1:28" x14ac:dyDescent="0.2">
      <c r="A442" s="544"/>
      <c r="B442" s="544"/>
      <c r="C442" s="544"/>
      <c r="D442" s="544"/>
      <c r="E442" s="544"/>
      <c r="F442" s="569"/>
      <c r="G442" s="544"/>
      <c r="H442" s="544"/>
      <c r="I442" s="544"/>
      <c r="J442" s="544"/>
      <c r="K442" s="569"/>
      <c r="L442" s="544"/>
      <c r="M442" s="544"/>
      <c r="N442" s="544"/>
      <c r="O442" s="544"/>
      <c r="P442" s="544"/>
      <c r="Q442" s="544"/>
      <c r="R442" s="544"/>
      <c r="S442" s="544"/>
      <c r="T442" s="544"/>
      <c r="U442" s="544"/>
      <c r="V442" s="544"/>
      <c r="W442" s="544"/>
      <c r="X442" s="544"/>
      <c r="Y442" s="544"/>
      <c r="Z442" s="544"/>
      <c r="AA442" s="544"/>
      <c r="AB442" s="544"/>
    </row>
    <row r="443" spans="1:28" x14ac:dyDescent="0.2">
      <c r="A443" s="544"/>
      <c r="B443" s="544"/>
      <c r="C443" s="544"/>
      <c r="D443" s="544"/>
      <c r="E443" s="544"/>
      <c r="F443" s="569"/>
      <c r="G443" s="544"/>
      <c r="H443" s="544"/>
      <c r="I443" s="544"/>
      <c r="J443" s="544"/>
      <c r="K443" s="569"/>
      <c r="L443" s="544"/>
      <c r="M443" s="544"/>
      <c r="N443" s="544"/>
      <c r="O443" s="544"/>
      <c r="P443" s="544"/>
      <c r="Q443" s="544"/>
      <c r="R443" s="544"/>
      <c r="S443" s="544"/>
      <c r="T443" s="544"/>
      <c r="U443" s="544"/>
      <c r="V443" s="544"/>
      <c r="W443" s="544"/>
      <c r="X443" s="544"/>
      <c r="Y443" s="544"/>
      <c r="Z443" s="544"/>
      <c r="AA443" s="544"/>
      <c r="AB443" s="544"/>
    </row>
    <row r="444" spans="1:28" x14ac:dyDescent="0.2">
      <c r="A444" s="544"/>
      <c r="B444" s="544"/>
      <c r="C444" s="544"/>
      <c r="D444" s="544"/>
      <c r="E444" s="544"/>
      <c r="F444" s="569"/>
      <c r="G444" s="544"/>
      <c r="H444" s="544"/>
      <c r="I444" s="544"/>
      <c r="J444" s="544"/>
      <c r="K444" s="569"/>
      <c r="L444" s="544"/>
      <c r="M444" s="544"/>
      <c r="N444" s="544"/>
      <c r="O444" s="544"/>
      <c r="P444" s="544"/>
      <c r="Q444" s="544"/>
      <c r="R444" s="544"/>
      <c r="S444" s="544"/>
      <c r="T444" s="544"/>
      <c r="U444" s="544"/>
      <c r="V444" s="544"/>
      <c r="W444" s="544"/>
      <c r="X444" s="544"/>
      <c r="Y444" s="544"/>
      <c r="Z444" s="544"/>
      <c r="AA444" s="544"/>
      <c r="AB444" s="544"/>
    </row>
    <row r="445" spans="1:28" x14ac:dyDescent="0.2">
      <c r="A445" s="544"/>
      <c r="B445" s="544"/>
      <c r="C445" s="544"/>
      <c r="D445" s="544"/>
      <c r="E445" s="544"/>
      <c r="F445" s="569"/>
      <c r="G445" s="544"/>
      <c r="H445" s="544"/>
      <c r="I445" s="544"/>
      <c r="J445" s="544"/>
      <c r="K445" s="569"/>
      <c r="L445" s="544"/>
      <c r="M445" s="544"/>
      <c r="N445" s="544"/>
      <c r="O445" s="544"/>
      <c r="P445" s="544"/>
      <c r="Q445" s="544"/>
      <c r="R445" s="544"/>
      <c r="S445" s="544"/>
      <c r="T445" s="544"/>
      <c r="U445" s="544"/>
      <c r="V445" s="544"/>
      <c r="W445" s="544"/>
      <c r="X445" s="544"/>
      <c r="Y445" s="544"/>
      <c r="Z445" s="544"/>
      <c r="AA445" s="544"/>
      <c r="AB445" s="544"/>
    </row>
    <row r="446" spans="1:28" x14ac:dyDescent="0.2">
      <c r="A446" s="544"/>
      <c r="B446" s="544"/>
      <c r="C446" s="544"/>
      <c r="D446" s="544"/>
      <c r="E446" s="544"/>
      <c r="F446" s="569"/>
      <c r="G446" s="544"/>
      <c r="H446" s="544"/>
      <c r="I446" s="544"/>
      <c r="J446" s="544"/>
      <c r="K446" s="569"/>
      <c r="L446" s="544"/>
      <c r="M446" s="544"/>
      <c r="N446" s="544"/>
      <c r="O446" s="544"/>
      <c r="P446" s="544"/>
      <c r="Q446" s="544"/>
      <c r="R446" s="544"/>
      <c r="S446" s="544"/>
      <c r="T446" s="544"/>
      <c r="U446" s="544"/>
      <c r="V446" s="544"/>
      <c r="W446" s="544"/>
      <c r="X446" s="544"/>
      <c r="Y446" s="544"/>
      <c r="Z446" s="544"/>
      <c r="AA446" s="544"/>
      <c r="AB446" s="544"/>
    </row>
    <row r="447" spans="1:28" x14ac:dyDescent="0.2">
      <c r="A447" s="544"/>
      <c r="B447" s="544"/>
      <c r="C447" s="544"/>
      <c r="D447" s="544"/>
      <c r="E447" s="544"/>
      <c r="F447" s="569"/>
      <c r="G447" s="544"/>
      <c r="H447" s="544"/>
      <c r="I447" s="544"/>
      <c r="J447" s="544"/>
      <c r="K447" s="569"/>
      <c r="L447" s="544"/>
      <c r="M447" s="544"/>
      <c r="N447" s="544"/>
      <c r="O447" s="544"/>
      <c r="P447" s="544"/>
      <c r="Q447" s="544"/>
      <c r="R447" s="544"/>
      <c r="S447" s="544"/>
      <c r="T447" s="544"/>
      <c r="U447" s="544"/>
      <c r="V447" s="544"/>
      <c r="W447" s="544"/>
      <c r="X447" s="544"/>
      <c r="Y447" s="544"/>
      <c r="Z447" s="544"/>
      <c r="AA447" s="544"/>
      <c r="AB447" s="544"/>
    </row>
    <row r="448" spans="1:28" x14ac:dyDescent="0.2">
      <c r="A448" s="544"/>
      <c r="B448" s="544"/>
      <c r="C448" s="544"/>
      <c r="D448" s="544"/>
      <c r="E448" s="544"/>
      <c r="F448" s="569"/>
      <c r="G448" s="544"/>
      <c r="H448" s="544"/>
      <c r="I448" s="544"/>
      <c r="J448" s="544"/>
      <c r="K448" s="569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44"/>
      <c r="AB448" s="544"/>
    </row>
    <row r="449" spans="1:28" x14ac:dyDescent="0.2">
      <c r="A449" s="544"/>
      <c r="B449" s="544"/>
      <c r="C449" s="544"/>
      <c r="D449" s="544"/>
      <c r="E449" s="544"/>
      <c r="F449" s="569"/>
      <c r="G449" s="544"/>
      <c r="H449" s="544"/>
      <c r="I449" s="544"/>
      <c r="J449" s="544"/>
      <c r="K449" s="569"/>
      <c r="L449" s="544"/>
      <c r="M449" s="544"/>
      <c r="N449" s="544"/>
      <c r="O449" s="544"/>
      <c r="P449" s="544"/>
      <c r="Q449" s="544"/>
      <c r="R449" s="544"/>
      <c r="S449" s="544"/>
      <c r="T449" s="544"/>
      <c r="U449" s="544"/>
      <c r="V449" s="544"/>
      <c r="W449" s="544"/>
      <c r="X449" s="544"/>
      <c r="Y449" s="544"/>
      <c r="Z449" s="544"/>
      <c r="AA449" s="544"/>
      <c r="AB449" s="544"/>
    </row>
    <row r="450" spans="1:28" x14ac:dyDescent="0.2">
      <c r="A450" s="544"/>
      <c r="B450" s="544"/>
      <c r="C450" s="544"/>
      <c r="D450" s="544"/>
      <c r="E450" s="544"/>
      <c r="F450" s="569"/>
      <c r="G450" s="544"/>
      <c r="H450" s="544"/>
      <c r="I450" s="544"/>
      <c r="J450" s="544"/>
      <c r="K450" s="569"/>
      <c r="L450" s="544"/>
      <c r="M450" s="544"/>
      <c r="N450" s="544"/>
      <c r="O450" s="544"/>
      <c r="P450" s="544"/>
      <c r="Q450" s="544"/>
      <c r="R450" s="544"/>
      <c r="S450" s="544"/>
      <c r="T450" s="544"/>
      <c r="U450" s="544"/>
      <c r="V450" s="544"/>
      <c r="W450" s="544"/>
      <c r="X450" s="544"/>
      <c r="Y450" s="544"/>
      <c r="Z450" s="544"/>
      <c r="AA450" s="544"/>
      <c r="AB450" s="544"/>
    </row>
    <row r="451" spans="1:28" x14ac:dyDescent="0.2">
      <c r="A451" s="544"/>
      <c r="B451" s="544"/>
      <c r="C451" s="544"/>
      <c r="D451" s="544"/>
      <c r="E451" s="544"/>
      <c r="F451" s="569"/>
      <c r="G451" s="544"/>
      <c r="H451" s="544"/>
      <c r="I451" s="544"/>
      <c r="J451" s="544"/>
      <c r="K451" s="569"/>
      <c r="L451" s="544"/>
      <c r="M451" s="544"/>
      <c r="N451" s="544"/>
      <c r="O451" s="544"/>
      <c r="P451" s="544"/>
      <c r="Q451" s="544"/>
      <c r="R451" s="544"/>
      <c r="S451" s="544"/>
      <c r="T451" s="544"/>
      <c r="U451" s="544"/>
      <c r="V451" s="544"/>
      <c r="W451" s="544"/>
      <c r="X451" s="544"/>
      <c r="Y451" s="544"/>
      <c r="Z451" s="544"/>
      <c r="AA451" s="544"/>
      <c r="AB451" s="544"/>
    </row>
    <row r="452" spans="1:28" x14ac:dyDescent="0.2">
      <c r="A452" s="544"/>
      <c r="B452" s="544"/>
      <c r="C452" s="544"/>
      <c r="D452" s="544"/>
      <c r="E452" s="544"/>
      <c r="F452" s="569"/>
      <c r="G452" s="544"/>
      <c r="H452" s="544"/>
      <c r="I452" s="544"/>
      <c r="J452" s="544"/>
      <c r="K452" s="569"/>
      <c r="L452" s="544"/>
      <c r="M452" s="544"/>
      <c r="N452" s="544"/>
      <c r="O452" s="544"/>
      <c r="P452" s="544"/>
      <c r="Q452" s="544"/>
      <c r="R452" s="544"/>
      <c r="S452" s="544"/>
      <c r="T452" s="544"/>
      <c r="U452" s="544"/>
      <c r="V452" s="544"/>
      <c r="W452" s="544"/>
      <c r="X452" s="544"/>
      <c r="Y452" s="544"/>
      <c r="Z452" s="544"/>
      <c r="AA452" s="544"/>
      <c r="AB452" s="544"/>
    </row>
    <row r="453" spans="1:28" x14ac:dyDescent="0.2">
      <c r="A453" s="544"/>
      <c r="B453" s="544"/>
      <c r="C453" s="544"/>
      <c r="D453" s="544"/>
      <c r="E453" s="544"/>
      <c r="F453" s="569"/>
      <c r="G453" s="544"/>
      <c r="H453" s="544"/>
      <c r="I453" s="544"/>
      <c r="J453" s="544"/>
      <c r="K453" s="569"/>
      <c r="L453" s="544"/>
      <c r="M453" s="544"/>
      <c r="N453" s="544"/>
      <c r="O453" s="544"/>
      <c r="P453" s="544"/>
      <c r="Q453" s="544"/>
      <c r="R453" s="544"/>
      <c r="S453" s="544"/>
      <c r="T453" s="544"/>
      <c r="U453" s="544"/>
      <c r="V453" s="544"/>
      <c r="W453" s="544"/>
      <c r="X453" s="544"/>
      <c r="Y453" s="544"/>
      <c r="Z453" s="544"/>
      <c r="AA453" s="544"/>
      <c r="AB453" s="544"/>
    </row>
    <row r="454" spans="1:28" x14ac:dyDescent="0.2">
      <c r="A454" s="544"/>
      <c r="B454" s="544"/>
      <c r="C454" s="544"/>
      <c r="D454" s="544"/>
      <c r="E454" s="544"/>
      <c r="F454" s="569"/>
      <c r="G454" s="544"/>
      <c r="H454" s="544"/>
      <c r="I454" s="544"/>
      <c r="J454" s="544"/>
      <c r="K454" s="569"/>
      <c r="L454" s="544"/>
      <c r="M454" s="544"/>
      <c r="N454" s="544"/>
      <c r="O454" s="544"/>
      <c r="P454" s="544"/>
      <c r="Q454" s="544"/>
      <c r="R454" s="544"/>
      <c r="S454" s="544"/>
      <c r="T454" s="544"/>
      <c r="U454" s="544"/>
      <c r="V454" s="544"/>
      <c r="W454" s="544"/>
      <c r="X454" s="544"/>
      <c r="Y454" s="544"/>
      <c r="Z454" s="544"/>
      <c r="AA454" s="544"/>
      <c r="AB454" s="544"/>
    </row>
    <row r="455" spans="1:28" x14ac:dyDescent="0.2">
      <c r="A455" s="544"/>
      <c r="B455" s="544"/>
      <c r="C455" s="544"/>
      <c r="D455" s="544"/>
      <c r="E455" s="544"/>
      <c r="F455" s="569"/>
      <c r="G455" s="544"/>
      <c r="H455" s="544"/>
      <c r="I455" s="544"/>
      <c r="J455" s="544"/>
      <c r="K455" s="569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44"/>
      <c r="AB455" s="544"/>
    </row>
    <row r="456" spans="1:28" x14ac:dyDescent="0.2">
      <c r="A456" s="544"/>
      <c r="B456" s="544"/>
      <c r="C456" s="544"/>
      <c r="D456" s="544"/>
      <c r="E456" s="544"/>
      <c r="F456" s="569"/>
      <c r="G456" s="544"/>
      <c r="H456" s="544"/>
      <c r="I456" s="544"/>
      <c r="J456" s="544"/>
      <c r="K456" s="569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44"/>
      <c r="AB456" s="544"/>
    </row>
    <row r="457" spans="1:28" x14ac:dyDescent="0.2">
      <c r="A457" s="544"/>
      <c r="B457" s="544"/>
      <c r="C457" s="544"/>
      <c r="D457" s="544"/>
      <c r="E457" s="544"/>
      <c r="F457" s="569"/>
      <c r="G457" s="544"/>
      <c r="H457" s="544"/>
      <c r="I457" s="544"/>
      <c r="J457" s="544"/>
      <c r="K457" s="569"/>
      <c r="L457" s="544"/>
      <c r="M457" s="544"/>
      <c r="N457" s="544"/>
      <c r="O457" s="544"/>
      <c r="P457" s="544"/>
      <c r="Q457" s="544"/>
      <c r="R457" s="544"/>
      <c r="S457" s="544"/>
      <c r="T457" s="544"/>
      <c r="U457" s="544"/>
      <c r="V457" s="544"/>
      <c r="W457" s="544"/>
      <c r="X457" s="544"/>
      <c r="Y457" s="544"/>
      <c r="Z457" s="544"/>
      <c r="AA457" s="544"/>
      <c r="AB457" s="544"/>
    </row>
    <row r="458" spans="1:28" x14ac:dyDescent="0.2">
      <c r="A458" s="544"/>
      <c r="B458" s="544"/>
      <c r="C458" s="544"/>
      <c r="D458" s="544"/>
      <c r="E458" s="544"/>
      <c r="F458" s="569"/>
      <c r="G458" s="544"/>
      <c r="H458" s="544"/>
      <c r="I458" s="544"/>
      <c r="J458" s="544"/>
      <c r="K458" s="569"/>
      <c r="L458" s="544"/>
      <c r="M458" s="544"/>
      <c r="N458" s="544"/>
      <c r="O458" s="544"/>
      <c r="P458" s="544"/>
      <c r="Q458" s="544"/>
      <c r="R458" s="544"/>
      <c r="S458" s="544"/>
      <c r="T458" s="544"/>
      <c r="U458" s="544"/>
      <c r="V458" s="544"/>
      <c r="W458" s="544"/>
      <c r="X458" s="544"/>
      <c r="Y458" s="544"/>
      <c r="Z458" s="544"/>
      <c r="AA458" s="544"/>
      <c r="AB458" s="544"/>
    </row>
    <row r="459" spans="1:28" x14ac:dyDescent="0.2">
      <c r="A459" s="544"/>
      <c r="B459" s="544"/>
      <c r="C459" s="544"/>
      <c r="D459" s="544"/>
      <c r="E459" s="544"/>
      <c r="F459" s="569"/>
      <c r="G459" s="544"/>
      <c r="H459" s="544"/>
      <c r="I459" s="544"/>
      <c r="J459" s="544"/>
      <c r="K459" s="569"/>
      <c r="L459" s="544"/>
      <c r="M459" s="544"/>
      <c r="N459" s="544"/>
      <c r="O459" s="544"/>
      <c r="P459" s="544"/>
      <c r="Q459" s="544"/>
      <c r="R459" s="544"/>
      <c r="S459" s="544"/>
      <c r="T459" s="544"/>
      <c r="U459" s="544"/>
      <c r="V459" s="544"/>
      <c r="W459" s="544"/>
      <c r="X459" s="544"/>
      <c r="Y459" s="544"/>
      <c r="Z459" s="544"/>
      <c r="AA459" s="544"/>
      <c r="AB459" s="544"/>
    </row>
    <row r="460" spans="1:28" x14ac:dyDescent="0.2">
      <c r="A460" s="544"/>
      <c r="B460" s="544"/>
      <c r="C460" s="544"/>
      <c r="D460" s="544"/>
      <c r="E460" s="544"/>
      <c r="F460" s="569"/>
      <c r="G460" s="544"/>
      <c r="H460" s="544"/>
      <c r="I460" s="544"/>
      <c r="J460" s="544"/>
      <c r="K460" s="569"/>
      <c r="L460" s="544"/>
      <c r="M460" s="544"/>
      <c r="N460" s="544"/>
      <c r="O460" s="544"/>
      <c r="P460" s="544"/>
      <c r="Q460" s="544"/>
      <c r="R460" s="544"/>
      <c r="S460" s="544"/>
      <c r="T460" s="544"/>
      <c r="U460" s="544"/>
      <c r="V460" s="544"/>
      <c r="W460" s="544"/>
      <c r="X460" s="544"/>
      <c r="Y460" s="544"/>
      <c r="Z460" s="544"/>
      <c r="AA460" s="544"/>
      <c r="AB460" s="544"/>
    </row>
    <row r="461" spans="1:28" x14ac:dyDescent="0.2">
      <c r="A461" s="544"/>
      <c r="B461" s="544"/>
      <c r="C461" s="544"/>
      <c r="D461" s="544"/>
      <c r="E461" s="544"/>
      <c r="F461" s="569"/>
      <c r="G461" s="544"/>
      <c r="H461" s="544"/>
      <c r="I461" s="544"/>
      <c r="J461" s="544"/>
      <c r="K461" s="569"/>
      <c r="L461" s="544"/>
      <c r="M461" s="544"/>
      <c r="N461" s="544"/>
      <c r="O461" s="544"/>
      <c r="P461" s="544"/>
      <c r="Q461" s="544"/>
      <c r="R461" s="544"/>
      <c r="S461" s="544"/>
      <c r="T461" s="544"/>
      <c r="U461" s="544"/>
      <c r="V461" s="544"/>
      <c r="W461" s="544"/>
      <c r="X461" s="544"/>
      <c r="Y461" s="544"/>
      <c r="Z461" s="544"/>
      <c r="AA461" s="544"/>
      <c r="AB461" s="544"/>
    </row>
    <row r="462" spans="1:28" x14ac:dyDescent="0.2">
      <c r="A462" s="544"/>
      <c r="B462" s="544"/>
      <c r="C462" s="544"/>
      <c r="D462" s="544"/>
      <c r="E462" s="544"/>
      <c r="F462" s="569"/>
      <c r="G462" s="544"/>
      <c r="H462" s="544"/>
      <c r="I462" s="544"/>
      <c r="J462" s="544"/>
      <c r="K462" s="569"/>
      <c r="L462" s="544"/>
      <c r="M462" s="544"/>
      <c r="N462" s="544"/>
      <c r="O462" s="544"/>
      <c r="P462" s="544"/>
      <c r="Q462" s="544"/>
      <c r="R462" s="544"/>
      <c r="S462" s="544"/>
      <c r="T462" s="544"/>
      <c r="U462" s="544"/>
      <c r="V462" s="544"/>
      <c r="W462" s="544"/>
      <c r="X462" s="544"/>
      <c r="Y462" s="544"/>
      <c r="Z462" s="544"/>
      <c r="AA462" s="544"/>
      <c r="AB462" s="544"/>
    </row>
    <row r="463" spans="1:28" x14ac:dyDescent="0.2">
      <c r="A463" s="544"/>
      <c r="B463" s="544"/>
      <c r="C463" s="544"/>
      <c r="D463" s="544"/>
      <c r="E463" s="544"/>
      <c r="F463" s="569"/>
      <c r="G463" s="544"/>
      <c r="H463" s="544"/>
      <c r="I463" s="544"/>
      <c r="J463" s="544"/>
      <c r="K463" s="569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44"/>
      <c r="AB463" s="544"/>
    </row>
    <row r="464" spans="1:28" x14ac:dyDescent="0.2">
      <c r="A464" s="544"/>
      <c r="B464" s="544"/>
      <c r="C464" s="544"/>
      <c r="D464" s="544"/>
      <c r="E464" s="544"/>
      <c r="F464" s="569"/>
      <c r="G464" s="544"/>
      <c r="H464" s="544"/>
      <c r="I464" s="544"/>
      <c r="J464" s="544"/>
      <c r="K464" s="569"/>
      <c r="L464" s="544"/>
      <c r="M464" s="544"/>
      <c r="N464" s="544"/>
      <c r="O464" s="544"/>
      <c r="P464" s="544"/>
      <c r="Q464" s="544"/>
      <c r="R464" s="544"/>
      <c r="S464" s="544"/>
      <c r="T464" s="544"/>
      <c r="U464" s="544"/>
      <c r="V464" s="544"/>
      <c r="W464" s="544"/>
      <c r="X464" s="544"/>
      <c r="Y464" s="544"/>
      <c r="Z464" s="544"/>
      <c r="AA464" s="544"/>
      <c r="AB464" s="544"/>
    </row>
    <row r="465" spans="1:28" x14ac:dyDescent="0.2">
      <c r="A465" s="544"/>
      <c r="B465" s="544"/>
      <c r="C465" s="544"/>
      <c r="D465" s="544"/>
      <c r="E465" s="544"/>
      <c r="F465" s="569"/>
      <c r="G465" s="544"/>
      <c r="H465" s="544"/>
      <c r="I465" s="544"/>
      <c r="J465" s="544"/>
      <c r="K465" s="569"/>
      <c r="L465" s="544"/>
      <c r="M465" s="544"/>
      <c r="N465" s="544"/>
      <c r="O465" s="544"/>
      <c r="P465" s="544"/>
      <c r="Q465" s="544"/>
      <c r="R465" s="544"/>
      <c r="S465" s="544"/>
      <c r="T465" s="544"/>
      <c r="U465" s="544"/>
      <c r="V465" s="544"/>
      <c r="W465" s="544"/>
      <c r="X465" s="544"/>
      <c r="Y465" s="544"/>
      <c r="Z465" s="544"/>
      <c r="AA465" s="544"/>
      <c r="AB465" s="544"/>
    </row>
    <row r="466" spans="1:28" x14ac:dyDescent="0.2">
      <c r="A466" s="544"/>
      <c r="B466" s="544"/>
      <c r="C466" s="544"/>
      <c r="D466" s="544"/>
      <c r="E466" s="544"/>
      <c r="F466" s="569"/>
      <c r="G466" s="544"/>
      <c r="H466" s="544"/>
      <c r="I466" s="544"/>
      <c r="J466" s="544"/>
      <c r="K466" s="569"/>
      <c r="L466" s="544"/>
      <c r="M466" s="544"/>
      <c r="N466" s="544"/>
      <c r="O466" s="544"/>
      <c r="P466" s="544"/>
      <c r="Q466" s="544"/>
      <c r="R466" s="544"/>
      <c r="S466" s="544"/>
      <c r="T466" s="544"/>
      <c r="U466" s="544"/>
      <c r="V466" s="544"/>
      <c r="W466" s="544"/>
      <c r="X466" s="544"/>
      <c r="Y466" s="544"/>
      <c r="Z466" s="544"/>
      <c r="AA466" s="544"/>
      <c r="AB466" s="544"/>
    </row>
    <row r="467" spans="1:28" x14ac:dyDescent="0.2">
      <c r="A467" s="544"/>
      <c r="B467" s="544"/>
      <c r="C467" s="544"/>
      <c r="D467" s="544"/>
      <c r="E467" s="544"/>
      <c r="F467" s="569"/>
      <c r="G467" s="544"/>
      <c r="H467" s="544"/>
      <c r="I467" s="544"/>
      <c r="J467" s="544"/>
      <c r="K467" s="569"/>
      <c r="L467" s="544"/>
      <c r="M467" s="544"/>
      <c r="N467" s="544"/>
      <c r="O467" s="544"/>
      <c r="P467" s="544"/>
      <c r="Q467" s="544"/>
      <c r="R467" s="544"/>
      <c r="S467" s="544"/>
      <c r="T467" s="544"/>
      <c r="U467" s="544"/>
      <c r="V467" s="544"/>
      <c r="W467" s="544"/>
      <c r="X467" s="544"/>
      <c r="Y467" s="544"/>
      <c r="Z467" s="544"/>
      <c r="AA467" s="544"/>
      <c r="AB467" s="544"/>
    </row>
    <row r="468" spans="1:28" x14ac:dyDescent="0.2">
      <c r="A468" s="544"/>
      <c r="B468" s="544"/>
      <c r="C468" s="544"/>
      <c r="D468" s="544"/>
      <c r="E468" s="544"/>
      <c r="F468" s="569"/>
      <c r="G468" s="544"/>
      <c r="H468" s="544"/>
      <c r="I468" s="544"/>
      <c r="J468" s="544"/>
      <c r="K468" s="569"/>
      <c r="L468" s="544"/>
      <c r="M468" s="544"/>
      <c r="N468" s="544"/>
      <c r="O468" s="544"/>
      <c r="P468" s="544"/>
      <c r="Q468" s="544"/>
      <c r="R468" s="544"/>
      <c r="S468" s="544"/>
      <c r="T468" s="544"/>
      <c r="U468" s="544"/>
      <c r="V468" s="544"/>
      <c r="W468" s="544"/>
      <c r="X468" s="544"/>
      <c r="Y468" s="544"/>
      <c r="Z468" s="544"/>
      <c r="AA468" s="544"/>
      <c r="AB468" s="544"/>
    </row>
    <row r="469" spans="1:28" x14ac:dyDescent="0.2">
      <c r="A469" s="544"/>
      <c r="B469" s="544"/>
      <c r="C469" s="544"/>
      <c r="D469" s="544"/>
      <c r="E469" s="544"/>
      <c r="F469" s="569"/>
      <c r="G469" s="544"/>
      <c r="H469" s="544"/>
      <c r="I469" s="544"/>
      <c r="J469" s="544"/>
      <c r="K469" s="569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44"/>
      <c r="AB469" s="544"/>
    </row>
    <row r="470" spans="1:28" x14ac:dyDescent="0.2">
      <c r="A470" s="544"/>
      <c r="B470" s="544"/>
      <c r="C470" s="544"/>
      <c r="D470" s="544"/>
      <c r="E470" s="544"/>
      <c r="F470" s="569"/>
      <c r="G470" s="544"/>
      <c r="H470" s="544"/>
      <c r="I470" s="544"/>
      <c r="J470" s="544"/>
      <c r="K470" s="569"/>
      <c r="L470" s="544"/>
      <c r="M470" s="544"/>
      <c r="N470" s="544"/>
      <c r="O470" s="544"/>
      <c r="P470" s="544"/>
      <c r="Q470" s="544"/>
      <c r="R470" s="544"/>
      <c r="S470" s="544"/>
      <c r="T470" s="544"/>
      <c r="U470" s="544"/>
      <c r="V470" s="544"/>
      <c r="W470" s="544"/>
      <c r="X470" s="544"/>
      <c r="Y470" s="544"/>
      <c r="Z470" s="544"/>
      <c r="AA470" s="544"/>
      <c r="AB470" s="544"/>
    </row>
    <row r="471" spans="1:28" x14ac:dyDescent="0.2">
      <c r="A471" s="544"/>
      <c r="B471" s="544"/>
      <c r="C471" s="544"/>
      <c r="D471" s="544"/>
      <c r="E471" s="544"/>
      <c r="F471" s="569"/>
      <c r="G471" s="544"/>
      <c r="H471" s="544"/>
      <c r="I471" s="544"/>
      <c r="J471" s="544"/>
      <c r="K471" s="569"/>
      <c r="L471" s="544"/>
      <c r="M471" s="544"/>
      <c r="N471" s="544"/>
      <c r="O471" s="544"/>
      <c r="P471" s="544"/>
      <c r="Q471" s="544"/>
      <c r="R471" s="544"/>
      <c r="S471" s="544"/>
      <c r="T471" s="544"/>
      <c r="U471" s="544"/>
      <c r="V471" s="544"/>
      <c r="W471" s="544"/>
      <c r="X471" s="544"/>
      <c r="Y471" s="544"/>
      <c r="Z471" s="544"/>
      <c r="AA471" s="544"/>
      <c r="AB471" s="544"/>
    </row>
    <row r="472" spans="1:28" x14ac:dyDescent="0.2">
      <c r="A472" s="544"/>
      <c r="B472" s="544"/>
      <c r="C472" s="544"/>
      <c r="D472" s="544"/>
      <c r="E472" s="544"/>
      <c r="F472" s="569"/>
      <c r="G472" s="544"/>
      <c r="H472" s="544"/>
      <c r="I472" s="544"/>
      <c r="J472" s="544"/>
      <c r="K472" s="569"/>
      <c r="L472" s="544"/>
      <c r="M472" s="544"/>
      <c r="N472" s="544"/>
      <c r="O472" s="544"/>
      <c r="P472" s="544"/>
      <c r="Q472" s="544"/>
      <c r="R472" s="544"/>
      <c r="S472" s="544"/>
      <c r="T472" s="544"/>
      <c r="U472" s="544"/>
      <c r="V472" s="544"/>
      <c r="W472" s="544"/>
      <c r="X472" s="544"/>
      <c r="Y472" s="544"/>
      <c r="Z472" s="544"/>
      <c r="AA472" s="544"/>
      <c r="AB472" s="544"/>
    </row>
    <row r="473" spans="1:28" x14ac:dyDescent="0.2">
      <c r="A473" s="544"/>
      <c r="B473" s="544"/>
      <c r="C473" s="544"/>
      <c r="D473" s="544"/>
      <c r="E473" s="544"/>
      <c r="F473" s="569"/>
      <c r="G473" s="544"/>
      <c r="H473" s="544"/>
      <c r="I473" s="544"/>
      <c r="J473" s="544"/>
      <c r="K473" s="569"/>
      <c r="L473" s="544"/>
      <c r="M473" s="544"/>
      <c r="N473" s="544"/>
      <c r="O473" s="544"/>
      <c r="P473" s="544"/>
      <c r="Q473" s="544"/>
      <c r="R473" s="544"/>
      <c r="S473" s="544"/>
      <c r="T473" s="544"/>
      <c r="U473" s="544"/>
      <c r="V473" s="544"/>
      <c r="W473" s="544"/>
      <c r="X473" s="544"/>
      <c r="Y473" s="544"/>
      <c r="Z473" s="544"/>
      <c r="AA473" s="544"/>
      <c r="AB473" s="544"/>
    </row>
    <row r="474" spans="1:28" x14ac:dyDescent="0.2">
      <c r="A474" s="544"/>
      <c r="B474" s="544"/>
      <c r="C474" s="544"/>
      <c r="D474" s="544"/>
      <c r="E474" s="544"/>
      <c r="F474" s="569"/>
      <c r="G474" s="544"/>
      <c r="H474" s="544"/>
      <c r="I474" s="544"/>
      <c r="J474" s="544"/>
      <c r="K474" s="569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44"/>
      <c r="AB474" s="544"/>
    </row>
    <row r="475" spans="1:28" x14ac:dyDescent="0.2">
      <c r="A475" s="544"/>
      <c r="B475" s="544"/>
      <c r="C475" s="544"/>
      <c r="D475" s="544"/>
      <c r="E475" s="544"/>
      <c r="F475" s="569"/>
      <c r="G475" s="544"/>
      <c r="H475" s="544"/>
      <c r="I475" s="544"/>
      <c r="J475" s="544"/>
      <c r="K475" s="569"/>
      <c r="L475" s="544"/>
      <c r="M475" s="544"/>
      <c r="N475" s="544"/>
      <c r="O475" s="544"/>
      <c r="P475" s="544"/>
      <c r="Q475" s="544"/>
      <c r="R475" s="544"/>
      <c r="S475" s="544"/>
      <c r="T475" s="544"/>
      <c r="U475" s="544"/>
      <c r="V475" s="544"/>
      <c r="W475" s="544"/>
      <c r="X475" s="544"/>
      <c r="Y475" s="544"/>
      <c r="Z475" s="544"/>
      <c r="AA475" s="544"/>
      <c r="AB475" s="544"/>
    </row>
    <row r="476" spans="1:28" x14ac:dyDescent="0.2">
      <c r="A476" s="544"/>
      <c r="B476" s="544"/>
      <c r="C476" s="544"/>
      <c r="D476" s="544"/>
      <c r="E476" s="544"/>
      <c r="F476" s="569"/>
      <c r="G476" s="544"/>
      <c r="H476" s="544"/>
      <c r="I476" s="544"/>
      <c r="J476" s="544"/>
      <c r="K476" s="569"/>
      <c r="L476" s="544"/>
      <c r="M476" s="544"/>
      <c r="N476" s="544"/>
      <c r="O476" s="544"/>
      <c r="P476" s="544"/>
      <c r="Q476" s="544"/>
      <c r="R476" s="544"/>
      <c r="S476" s="544"/>
      <c r="T476" s="544"/>
      <c r="U476" s="544"/>
      <c r="V476" s="544"/>
      <c r="W476" s="544"/>
      <c r="X476" s="544"/>
      <c r="Y476" s="544"/>
      <c r="Z476" s="544"/>
      <c r="AA476" s="544"/>
      <c r="AB476" s="544"/>
    </row>
    <row r="477" spans="1:28" x14ac:dyDescent="0.2">
      <c r="A477" s="544"/>
      <c r="B477" s="544"/>
      <c r="C477" s="544"/>
      <c r="D477" s="544"/>
      <c r="E477" s="544"/>
      <c r="F477" s="569"/>
      <c r="G477" s="544"/>
      <c r="H477" s="544"/>
      <c r="I477" s="544"/>
      <c r="J477" s="544"/>
      <c r="K477" s="569"/>
      <c r="L477" s="544"/>
      <c r="M477" s="544"/>
      <c r="N477" s="544"/>
      <c r="O477" s="544"/>
      <c r="P477" s="544"/>
      <c r="Q477" s="544"/>
      <c r="R477" s="544"/>
      <c r="S477" s="544"/>
      <c r="T477" s="544"/>
      <c r="U477" s="544"/>
      <c r="V477" s="544"/>
      <c r="W477" s="544"/>
      <c r="X477" s="544"/>
      <c r="Y477" s="544"/>
      <c r="Z477" s="544"/>
      <c r="AA477" s="544"/>
      <c r="AB477" s="544"/>
    </row>
    <row r="478" spans="1:28" x14ac:dyDescent="0.2">
      <c r="A478" s="544"/>
      <c r="B478" s="544"/>
      <c r="C478" s="544"/>
      <c r="D478" s="544"/>
      <c r="E478" s="544"/>
      <c r="F478" s="569"/>
      <c r="G478" s="544"/>
      <c r="H478" s="544"/>
      <c r="I478" s="544"/>
      <c r="J478" s="544"/>
      <c r="K478" s="569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44"/>
      <c r="AB478" s="544"/>
    </row>
    <row r="479" spans="1:28" x14ac:dyDescent="0.2">
      <c r="A479" s="544"/>
      <c r="B479" s="544"/>
      <c r="C479" s="544"/>
      <c r="D479" s="544"/>
      <c r="E479" s="544"/>
      <c r="F479" s="569"/>
      <c r="G479" s="544"/>
      <c r="H479" s="544"/>
      <c r="I479" s="544"/>
      <c r="J479" s="544"/>
      <c r="K479" s="569"/>
      <c r="L479" s="544"/>
      <c r="M479" s="544"/>
      <c r="N479" s="544"/>
      <c r="O479" s="544"/>
      <c r="P479" s="544"/>
      <c r="Q479" s="544"/>
      <c r="R479" s="544"/>
      <c r="S479" s="544"/>
      <c r="T479" s="544"/>
      <c r="U479" s="544"/>
      <c r="V479" s="544"/>
      <c r="W479" s="544"/>
      <c r="X479" s="544"/>
      <c r="Y479" s="544"/>
      <c r="Z479" s="544"/>
      <c r="AA479" s="544"/>
      <c r="AB479" s="544"/>
    </row>
    <row r="480" spans="1:28" x14ac:dyDescent="0.2">
      <c r="A480" s="544"/>
      <c r="B480" s="544"/>
      <c r="C480" s="544"/>
      <c r="D480" s="544"/>
      <c r="E480" s="544"/>
      <c r="F480" s="569"/>
      <c r="G480" s="544"/>
      <c r="H480" s="544"/>
      <c r="I480" s="544"/>
      <c r="J480" s="544"/>
      <c r="K480" s="569"/>
      <c r="L480" s="544"/>
      <c r="M480" s="544"/>
      <c r="N480" s="544"/>
      <c r="O480" s="544"/>
      <c r="P480" s="544"/>
      <c r="Q480" s="544"/>
      <c r="R480" s="544"/>
      <c r="S480" s="544"/>
      <c r="T480" s="544"/>
      <c r="U480" s="544"/>
      <c r="V480" s="544"/>
      <c r="W480" s="544"/>
      <c r="X480" s="544"/>
      <c r="Y480" s="544"/>
      <c r="Z480" s="544"/>
      <c r="AA480" s="544"/>
      <c r="AB480" s="544"/>
    </row>
    <row r="481" spans="1:28" x14ac:dyDescent="0.2">
      <c r="A481" s="544"/>
      <c r="B481" s="544"/>
      <c r="C481" s="544"/>
      <c r="D481" s="544"/>
      <c r="E481" s="544"/>
      <c r="F481" s="569"/>
      <c r="G481" s="544"/>
      <c r="H481" s="544"/>
      <c r="I481" s="544"/>
      <c r="J481" s="544"/>
      <c r="K481" s="569"/>
      <c r="L481" s="544"/>
      <c r="M481" s="544"/>
      <c r="N481" s="544"/>
      <c r="O481" s="544"/>
      <c r="P481" s="544"/>
      <c r="Q481" s="544"/>
      <c r="R481" s="544"/>
      <c r="S481" s="544"/>
      <c r="T481" s="544"/>
      <c r="U481" s="544"/>
      <c r="V481" s="544"/>
      <c r="W481" s="544"/>
      <c r="X481" s="544"/>
      <c r="Y481" s="544"/>
      <c r="Z481" s="544"/>
      <c r="AA481" s="544"/>
      <c r="AB481" s="544"/>
    </row>
    <row r="482" spans="1:28" x14ac:dyDescent="0.2">
      <c r="A482" s="544"/>
      <c r="B482" s="544"/>
      <c r="C482" s="544"/>
      <c r="D482" s="544"/>
      <c r="E482" s="544"/>
      <c r="F482" s="569"/>
      <c r="G482" s="544"/>
      <c r="H482" s="544"/>
      <c r="I482" s="544"/>
      <c r="J482" s="544"/>
      <c r="K482" s="569"/>
      <c r="L482" s="544"/>
      <c r="M482" s="544"/>
      <c r="N482" s="544"/>
      <c r="O482" s="544"/>
      <c r="P482" s="544"/>
      <c r="Q482" s="544"/>
      <c r="R482" s="544"/>
      <c r="S482" s="544"/>
      <c r="T482" s="544"/>
      <c r="U482" s="544"/>
      <c r="V482" s="544"/>
      <c r="W482" s="544"/>
      <c r="X482" s="544"/>
      <c r="Y482" s="544"/>
      <c r="Z482" s="544"/>
      <c r="AA482" s="544"/>
      <c r="AB482" s="544"/>
    </row>
    <row r="483" spans="1:28" x14ac:dyDescent="0.2">
      <c r="A483" s="544"/>
      <c r="B483" s="544"/>
      <c r="C483" s="544"/>
      <c r="D483" s="544"/>
      <c r="E483" s="544"/>
      <c r="F483" s="569"/>
      <c r="G483" s="544"/>
      <c r="H483" s="544"/>
      <c r="I483" s="544"/>
      <c r="J483" s="544"/>
      <c r="K483" s="569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44"/>
      <c r="AB483" s="544"/>
    </row>
    <row r="484" spans="1:28" x14ac:dyDescent="0.2">
      <c r="A484" s="544"/>
      <c r="B484" s="544"/>
      <c r="C484" s="544"/>
      <c r="D484" s="544"/>
      <c r="E484" s="544"/>
      <c r="F484" s="569"/>
      <c r="G484" s="544"/>
      <c r="H484" s="544"/>
      <c r="I484" s="544"/>
      <c r="J484" s="544"/>
      <c r="K484" s="569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44"/>
      <c r="AB484" s="544"/>
    </row>
    <row r="485" spans="1:28" x14ac:dyDescent="0.2">
      <c r="A485" s="544"/>
      <c r="B485" s="544"/>
      <c r="C485" s="544"/>
      <c r="D485" s="544"/>
      <c r="E485" s="544"/>
      <c r="F485" s="569"/>
      <c r="G485" s="544"/>
      <c r="H485" s="544"/>
      <c r="I485" s="544"/>
      <c r="J485" s="544"/>
      <c r="K485" s="569"/>
      <c r="L485" s="544"/>
      <c r="M485" s="544"/>
      <c r="N485" s="544"/>
      <c r="O485" s="544"/>
      <c r="P485" s="544"/>
      <c r="Q485" s="544"/>
      <c r="R485" s="544"/>
      <c r="S485" s="544"/>
      <c r="T485" s="544"/>
      <c r="U485" s="544"/>
      <c r="V485" s="544"/>
      <c r="W485" s="544"/>
      <c r="X485" s="544"/>
      <c r="Y485" s="544"/>
      <c r="Z485" s="544"/>
      <c r="AA485" s="544"/>
      <c r="AB485" s="544"/>
    </row>
    <row r="486" spans="1:28" x14ac:dyDescent="0.2">
      <c r="A486" s="544"/>
      <c r="B486" s="544"/>
      <c r="C486" s="544"/>
      <c r="D486" s="544"/>
      <c r="E486" s="544"/>
      <c r="F486" s="569"/>
      <c r="G486" s="544"/>
      <c r="H486" s="544"/>
      <c r="I486" s="544"/>
      <c r="J486" s="544"/>
      <c r="K486" s="569"/>
      <c r="L486" s="544"/>
      <c r="M486" s="544"/>
      <c r="N486" s="544"/>
      <c r="O486" s="544"/>
      <c r="P486" s="544"/>
      <c r="Q486" s="544"/>
      <c r="R486" s="544"/>
      <c r="S486" s="544"/>
      <c r="T486" s="544"/>
      <c r="U486" s="544"/>
      <c r="V486" s="544"/>
      <c r="W486" s="544"/>
      <c r="X486" s="544"/>
      <c r="Y486" s="544"/>
      <c r="Z486" s="544"/>
      <c r="AA486" s="544"/>
      <c r="AB486" s="544"/>
    </row>
    <row r="487" spans="1:28" x14ac:dyDescent="0.2">
      <c r="A487" s="544"/>
      <c r="B487" s="544"/>
      <c r="C487" s="544"/>
      <c r="D487" s="544"/>
      <c r="E487" s="544"/>
      <c r="F487" s="569"/>
      <c r="G487" s="544"/>
      <c r="H487" s="544"/>
      <c r="I487" s="544"/>
      <c r="J487" s="544"/>
      <c r="K487" s="569"/>
      <c r="L487" s="544"/>
      <c r="M487" s="544"/>
      <c r="N487" s="544"/>
      <c r="O487" s="544"/>
      <c r="P487" s="544"/>
      <c r="Q487" s="544"/>
      <c r="R487" s="544"/>
      <c r="S487" s="544"/>
      <c r="T487" s="544"/>
      <c r="U487" s="544"/>
      <c r="V487" s="544"/>
      <c r="W487" s="544"/>
      <c r="X487" s="544"/>
      <c r="Y487" s="544"/>
      <c r="Z487" s="544"/>
      <c r="AA487" s="544"/>
      <c r="AB487" s="544"/>
    </row>
    <row r="488" spans="1:28" x14ac:dyDescent="0.2">
      <c r="A488" s="544"/>
      <c r="B488" s="544"/>
      <c r="C488" s="544"/>
      <c r="D488" s="544"/>
      <c r="E488" s="544"/>
      <c r="F488" s="569"/>
      <c r="G488" s="544"/>
      <c r="H488" s="544"/>
      <c r="I488" s="544"/>
      <c r="J488" s="544"/>
      <c r="K488" s="569"/>
      <c r="L488" s="544"/>
      <c r="M488" s="544"/>
      <c r="N488" s="544"/>
      <c r="O488" s="544"/>
      <c r="P488" s="544"/>
      <c r="Q488" s="544"/>
      <c r="R488" s="544"/>
      <c r="S488" s="544"/>
      <c r="T488" s="544"/>
      <c r="U488" s="544"/>
      <c r="V488" s="544"/>
      <c r="W488" s="544"/>
      <c r="X488" s="544"/>
      <c r="Y488" s="544"/>
      <c r="Z488" s="544"/>
      <c r="AA488" s="544"/>
      <c r="AB488" s="544"/>
    </row>
    <row r="489" spans="1:28" x14ac:dyDescent="0.2">
      <c r="A489" s="544"/>
      <c r="B489" s="544"/>
      <c r="C489" s="544"/>
      <c r="D489" s="544"/>
      <c r="E489" s="544"/>
      <c r="F489" s="569"/>
      <c r="G489" s="544"/>
      <c r="H489" s="544"/>
      <c r="I489" s="544"/>
      <c r="J489" s="544"/>
      <c r="K489" s="569"/>
      <c r="L489" s="544"/>
      <c r="M489" s="544"/>
      <c r="N489" s="544"/>
      <c r="O489" s="544"/>
      <c r="P489" s="544"/>
      <c r="Q489" s="544"/>
      <c r="R489" s="544"/>
      <c r="S489" s="544"/>
      <c r="T489" s="544"/>
      <c r="U489" s="544"/>
      <c r="V489" s="544"/>
      <c r="W489" s="544"/>
      <c r="X489" s="544"/>
      <c r="Y489" s="544"/>
      <c r="Z489" s="544"/>
      <c r="AA489" s="544"/>
      <c r="AB489" s="544"/>
    </row>
    <row r="490" spans="1:28" x14ac:dyDescent="0.2">
      <c r="A490" s="544"/>
      <c r="B490" s="544"/>
      <c r="C490" s="544"/>
      <c r="D490" s="544"/>
      <c r="E490" s="544"/>
      <c r="F490" s="569"/>
      <c r="G490" s="544"/>
      <c r="H490" s="544"/>
      <c r="I490" s="544"/>
      <c r="J490" s="544"/>
      <c r="K490" s="569"/>
      <c r="L490" s="544"/>
      <c r="M490" s="544"/>
      <c r="N490" s="544"/>
      <c r="O490" s="544"/>
      <c r="P490" s="544"/>
      <c r="Q490" s="544"/>
      <c r="R490" s="544"/>
      <c r="S490" s="544"/>
      <c r="T490" s="544"/>
      <c r="U490" s="544"/>
      <c r="V490" s="544"/>
      <c r="W490" s="544"/>
      <c r="X490" s="544"/>
      <c r="Y490" s="544"/>
      <c r="Z490" s="544"/>
      <c r="AA490" s="544"/>
      <c r="AB490" s="544"/>
    </row>
    <row r="491" spans="1:28" x14ac:dyDescent="0.2">
      <c r="A491" s="544"/>
      <c r="B491" s="544"/>
      <c r="C491" s="544"/>
      <c r="D491" s="544"/>
      <c r="E491" s="544"/>
      <c r="F491" s="569"/>
      <c r="G491" s="544"/>
      <c r="H491" s="544"/>
      <c r="I491" s="544"/>
      <c r="J491" s="544"/>
      <c r="K491" s="569"/>
      <c r="L491" s="544"/>
      <c r="M491" s="544"/>
      <c r="N491" s="544"/>
      <c r="O491" s="544"/>
      <c r="P491" s="544"/>
      <c r="Q491" s="544"/>
      <c r="R491" s="544"/>
      <c r="S491" s="544"/>
      <c r="T491" s="544"/>
      <c r="U491" s="544"/>
      <c r="V491" s="544"/>
      <c r="W491" s="544"/>
      <c r="X491" s="544"/>
      <c r="Y491" s="544"/>
      <c r="Z491" s="544"/>
      <c r="AA491" s="544"/>
      <c r="AB491" s="544"/>
    </row>
    <row r="492" spans="1:28" x14ac:dyDescent="0.2">
      <c r="A492" s="544"/>
      <c r="B492" s="544"/>
      <c r="C492" s="544"/>
      <c r="D492" s="544"/>
      <c r="E492" s="544"/>
      <c r="F492" s="569"/>
      <c r="G492" s="544"/>
      <c r="H492" s="544"/>
      <c r="I492" s="544"/>
      <c r="J492" s="544"/>
      <c r="K492" s="569"/>
      <c r="L492" s="544"/>
      <c r="M492" s="544"/>
      <c r="N492" s="544"/>
      <c r="O492" s="544"/>
      <c r="P492" s="544"/>
      <c r="Q492" s="544"/>
      <c r="R492" s="544"/>
      <c r="S492" s="544"/>
      <c r="T492" s="544"/>
      <c r="U492" s="544"/>
      <c r="V492" s="544"/>
      <c r="W492" s="544"/>
      <c r="X492" s="544"/>
      <c r="Y492" s="544"/>
      <c r="Z492" s="544"/>
      <c r="AA492" s="544"/>
      <c r="AB492" s="544"/>
    </row>
    <row r="493" spans="1:28" x14ac:dyDescent="0.2">
      <c r="A493" s="544"/>
      <c r="B493" s="544"/>
      <c r="C493" s="544"/>
      <c r="D493" s="544"/>
      <c r="E493" s="544"/>
      <c r="F493" s="569"/>
      <c r="G493" s="544"/>
      <c r="H493" s="544"/>
      <c r="I493" s="544"/>
      <c r="J493" s="544"/>
      <c r="K493" s="569"/>
      <c r="L493" s="544"/>
      <c r="M493" s="544"/>
      <c r="N493" s="544"/>
      <c r="O493" s="544"/>
      <c r="P493" s="544"/>
      <c r="Q493" s="544"/>
      <c r="R493" s="544"/>
      <c r="S493" s="544"/>
      <c r="T493" s="544"/>
      <c r="U493" s="544"/>
      <c r="V493" s="544"/>
      <c r="W493" s="544"/>
      <c r="X493" s="544"/>
      <c r="Y493" s="544"/>
      <c r="Z493" s="544"/>
      <c r="AA493" s="544"/>
      <c r="AB493" s="544"/>
    </row>
    <row r="494" spans="1:28" x14ac:dyDescent="0.2">
      <c r="A494" s="544"/>
      <c r="B494" s="544"/>
      <c r="C494" s="544"/>
      <c r="D494" s="544"/>
      <c r="E494" s="544"/>
      <c r="F494" s="569"/>
      <c r="G494" s="544"/>
      <c r="H494" s="544"/>
      <c r="I494" s="544"/>
      <c r="J494" s="544"/>
      <c r="K494" s="569"/>
      <c r="L494" s="544"/>
      <c r="M494" s="544"/>
      <c r="N494" s="544"/>
      <c r="O494" s="544"/>
      <c r="P494" s="544"/>
      <c r="Q494" s="544"/>
      <c r="R494" s="544"/>
      <c r="S494" s="544"/>
      <c r="T494" s="544"/>
      <c r="U494" s="544"/>
      <c r="V494" s="544"/>
      <c r="W494" s="544"/>
      <c r="X494" s="544"/>
      <c r="Y494" s="544"/>
      <c r="Z494" s="544"/>
      <c r="AA494" s="544"/>
      <c r="AB494" s="544"/>
    </row>
    <row r="495" spans="1:28" x14ac:dyDescent="0.2">
      <c r="A495" s="544"/>
      <c r="B495" s="544"/>
      <c r="C495" s="544"/>
      <c r="D495" s="544"/>
      <c r="E495" s="544"/>
      <c r="F495" s="569"/>
      <c r="G495" s="544"/>
      <c r="H495" s="544"/>
      <c r="I495" s="544"/>
      <c r="J495" s="544"/>
      <c r="K495" s="569"/>
      <c r="L495" s="544"/>
      <c r="M495" s="544"/>
      <c r="N495" s="544"/>
      <c r="O495" s="544"/>
      <c r="P495" s="544"/>
      <c r="Q495" s="544"/>
      <c r="R495" s="544"/>
      <c r="S495" s="544"/>
      <c r="T495" s="544"/>
      <c r="U495" s="544"/>
      <c r="V495" s="544"/>
      <c r="W495" s="544"/>
      <c r="X495" s="544"/>
      <c r="Y495" s="544"/>
      <c r="Z495" s="544"/>
      <c r="AA495" s="544"/>
      <c r="AB495" s="544"/>
    </row>
    <row r="496" spans="1:28" x14ac:dyDescent="0.2">
      <c r="A496" s="544"/>
      <c r="B496" s="544"/>
      <c r="C496" s="544"/>
      <c r="D496" s="544"/>
      <c r="E496" s="544"/>
      <c r="F496" s="569"/>
      <c r="G496" s="544"/>
      <c r="H496" s="544"/>
      <c r="I496" s="544"/>
      <c r="J496" s="544"/>
      <c r="K496" s="569"/>
      <c r="L496" s="544"/>
      <c r="M496" s="544"/>
      <c r="N496" s="544"/>
      <c r="O496" s="544"/>
      <c r="P496" s="544"/>
      <c r="Q496" s="544"/>
      <c r="R496" s="544"/>
      <c r="S496" s="544"/>
      <c r="T496" s="544"/>
      <c r="U496" s="544"/>
      <c r="V496" s="544"/>
      <c r="W496" s="544"/>
      <c r="X496" s="544"/>
      <c r="Y496" s="544"/>
      <c r="Z496" s="544"/>
      <c r="AA496" s="544"/>
      <c r="AB496" s="544"/>
    </row>
    <row r="497" spans="1:28" x14ac:dyDescent="0.2">
      <c r="A497" s="544"/>
      <c r="B497" s="544"/>
      <c r="C497" s="544"/>
      <c r="D497" s="544"/>
      <c r="E497" s="544"/>
      <c r="F497" s="569"/>
      <c r="G497" s="544"/>
      <c r="H497" s="544"/>
      <c r="I497" s="544"/>
      <c r="J497" s="544"/>
      <c r="K497" s="569"/>
      <c r="L497" s="544"/>
      <c r="M497" s="544"/>
      <c r="N497" s="544"/>
      <c r="O497" s="544"/>
      <c r="P497" s="544"/>
      <c r="Q497" s="544"/>
      <c r="R497" s="544"/>
      <c r="S497" s="544"/>
      <c r="T497" s="544"/>
      <c r="U497" s="544"/>
      <c r="V497" s="544"/>
      <c r="W497" s="544"/>
      <c r="X497" s="544"/>
      <c r="Y497" s="544"/>
      <c r="Z497" s="544"/>
      <c r="AA497" s="544"/>
      <c r="AB497" s="544"/>
    </row>
    <row r="498" spans="1:28" x14ac:dyDescent="0.2">
      <c r="A498" s="544"/>
      <c r="B498" s="544"/>
      <c r="C498" s="544"/>
      <c r="D498" s="544"/>
      <c r="E498" s="544"/>
      <c r="F498" s="569"/>
      <c r="G498" s="544"/>
      <c r="H498" s="544"/>
      <c r="I498" s="544"/>
      <c r="J498" s="544"/>
      <c r="K498" s="569"/>
      <c r="L498" s="544"/>
      <c r="M498" s="544"/>
      <c r="N498" s="544"/>
      <c r="O498" s="544"/>
      <c r="P498" s="544"/>
      <c r="Q498" s="544"/>
      <c r="R498" s="544"/>
      <c r="S498" s="544"/>
      <c r="T498" s="544"/>
      <c r="U498" s="544"/>
      <c r="V498" s="544"/>
      <c r="W498" s="544"/>
      <c r="X498" s="544"/>
      <c r="Y498" s="544"/>
      <c r="Z498" s="544"/>
      <c r="AA498" s="544"/>
      <c r="AB498" s="544"/>
    </row>
    <row r="499" spans="1:28" x14ac:dyDescent="0.2">
      <c r="A499" s="544"/>
      <c r="B499" s="544"/>
      <c r="C499" s="544"/>
      <c r="D499" s="544"/>
      <c r="E499" s="544"/>
      <c r="F499" s="569"/>
      <c r="G499" s="544"/>
      <c r="H499" s="544"/>
      <c r="I499" s="544"/>
      <c r="J499" s="544"/>
      <c r="K499" s="569"/>
      <c r="L499" s="544"/>
      <c r="M499" s="544"/>
      <c r="N499" s="544"/>
      <c r="O499" s="544"/>
      <c r="P499" s="544"/>
      <c r="Q499" s="544"/>
      <c r="R499" s="544"/>
      <c r="S499" s="544"/>
      <c r="T499" s="544"/>
      <c r="U499" s="544"/>
      <c r="V499" s="544"/>
      <c r="W499" s="544"/>
      <c r="X499" s="544"/>
      <c r="Y499" s="544"/>
      <c r="Z499" s="544"/>
      <c r="AA499" s="544"/>
      <c r="AB499" s="544"/>
    </row>
    <row r="500" spans="1:28" x14ac:dyDescent="0.2">
      <c r="A500" s="544"/>
      <c r="B500" s="544"/>
      <c r="C500" s="544"/>
      <c r="D500" s="544"/>
      <c r="E500" s="544"/>
      <c r="F500" s="569"/>
      <c r="G500" s="544"/>
      <c r="H500" s="544"/>
      <c r="I500" s="544"/>
      <c r="J500" s="544"/>
      <c r="K500" s="569"/>
      <c r="L500" s="544"/>
      <c r="M500" s="544"/>
      <c r="N500" s="544"/>
      <c r="O500" s="544"/>
      <c r="P500" s="544"/>
      <c r="Q500" s="544"/>
      <c r="R500" s="544"/>
      <c r="S500" s="544"/>
      <c r="T500" s="544"/>
      <c r="U500" s="544"/>
      <c r="V500" s="544"/>
      <c r="W500" s="544"/>
      <c r="X500" s="544"/>
      <c r="Y500" s="544"/>
      <c r="Z500" s="544"/>
      <c r="AA500" s="544"/>
      <c r="AB500" s="544"/>
    </row>
    <row r="501" spans="1:28" x14ac:dyDescent="0.2">
      <c r="A501" s="544"/>
      <c r="B501" s="544"/>
      <c r="C501" s="544"/>
      <c r="D501" s="544"/>
      <c r="E501" s="544"/>
      <c r="F501" s="569"/>
      <c r="G501" s="544"/>
      <c r="H501" s="544"/>
      <c r="I501" s="544"/>
      <c r="J501" s="544"/>
      <c r="K501" s="569"/>
      <c r="L501" s="544"/>
      <c r="M501" s="544"/>
      <c r="N501" s="544"/>
      <c r="O501" s="544"/>
      <c r="P501" s="544"/>
      <c r="Q501" s="544"/>
      <c r="R501" s="544"/>
      <c r="S501" s="544"/>
      <c r="T501" s="544"/>
      <c r="U501" s="544"/>
      <c r="V501" s="544"/>
      <c r="W501" s="544"/>
      <c r="X501" s="544"/>
      <c r="Y501" s="544"/>
      <c r="Z501" s="544"/>
      <c r="AA501" s="544"/>
      <c r="AB501" s="544"/>
    </row>
    <row r="502" spans="1:28" x14ac:dyDescent="0.2">
      <c r="A502" s="544"/>
      <c r="B502" s="544"/>
      <c r="C502" s="544"/>
      <c r="D502" s="544"/>
      <c r="E502" s="544"/>
      <c r="F502" s="569"/>
      <c r="G502" s="544"/>
      <c r="H502" s="544"/>
      <c r="I502" s="544"/>
      <c r="J502" s="544"/>
      <c r="K502" s="569"/>
      <c r="L502" s="544"/>
      <c r="M502" s="544"/>
      <c r="N502" s="544"/>
      <c r="O502" s="544"/>
      <c r="P502" s="544"/>
      <c r="Q502" s="544"/>
      <c r="R502" s="544"/>
      <c r="S502" s="544"/>
      <c r="T502" s="544"/>
      <c r="U502" s="544"/>
      <c r="V502" s="544"/>
      <c r="W502" s="544"/>
      <c r="X502" s="544"/>
      <c r="Y502" s="544"/>
      <c r="Z502" s="544"/>
      <c r="AA502" s="544"/>
      <c r="AB502" s="544"/>
    </row>
    <row r="503" spans="1:28" x14ac:dyDescent="0.2">
      <c r="A503" s="544"/>
      <c r="B503" s="544"/>
      <c r="C503" s="544"/>
      <c r="D503" s="544"/>
      <c r="E503" s="544"/>
      <c r="F503" s="569"/>
      <c r="G503" s="544"/>
      <c r="H503" s="544"/>
      <c r="I503" s="544"/>
      <c r="J503" s="544"/>
      <c r="K503" s="569"/>
      <c r="L503" s="544"/>
      <c r="M503" s="544"/>
      <c r="N503" s="544"/>
      <c r="O503" s="544"/>
      <c r="P503" s="544"/>
      <c r="Q503" s="544"/>
      <c r="R503" s="544"/>
      <c r="S503" s="544"/>
      <c r="T503" s="544"/>
      <c r="U503" s="544"/>
      <c r="V503" s="544"/>
      <c r="W503" s="544"/>
      <c r="X503" s="544"/>
      <c r="Y503" s="544"/>
      <c r="Z503" s="544"/>
      <c r="AA503" s="544"/>
      <c r="AB503" s="544"/>
    </row>
    <row r="504" spans="1:28" x14ac:dyDescent="0.2">
      <c r="A504" s="544"/>
      <c r="B504" s="544"/>
      <c r="C504" s="544"/>
      <c r="D504" s="544"/>
      <c r="E504" s="544"/>
      <c r="F504" s="569"/>
      <c r="G504" s="544"/>
      <c r="H504" s="544"/>
      <c r="I504" s="544"/>
      <c r="J504" s="544"/>
      <c r="K504" s="569"/>
      <c r="L504" s="544"/>
      <c r="M504" s="544"/>
      <c r="N504" s="544"/>
      <c r="O504" s="544"/>
      <c r="P504" s="544"/>
      <c r="Q504" s="544"/>
      <c r="R504" s="544"/>
      <c r="S504" s="544"/>
      <c r="T504" s="544"/>
      <c r="U504" s="544"/>
      <c r="V504" s="544"/>
      <c r="W504" s="544"/>
      <c r="X504" s="544"/>
      <c r="Y504" s="544"/>
      <c r="Z504" s="544"/>
      <c r="AA504" s="544"/>
      <c r="AB504" s="544"/>
    </row>
    <row r="505" spans="1:28" x14ac:dyDescent="0.2">
      <c r="A505" s="544"/>
      <c r="B505" s="544"/>
      <c r="C505" s="544"/>
      <c r="D505" s="544"/>
      <c r="E505" s="544"/>
      <c r="F505" s="569"/>
      <c r="G505" s="544"/>
      <c r="H505" s="544"/>
      <c r="I505" s="544"/>
      <c r="J505" s="544"/>
      <c r="K505" s="569"/>
      <c r="L505" s="544"/>
      <c r="M505" s="544"/>
      <c r="N505" s="544"/>
      <c r="O505" s="544"/>
      <c r="P505" s="544"/>
      <c r="Q505" s="544"/>
      <c r="R505" s="544"/>
      <c r="S505" s="544"/>
      <c r="T505" s="544"/>
      <c r="U505" s="544"/>
      <c r="V505" s="544"/>
      <c r="W505" s="544"/>
      <c r="X505" s="544"/>
      <c r="Y505" s="544"/>
      <c r="Z505" s="544"/>
      <c r="AA505" s="544"/>
      <c r="AB505" s="544"/>
    </row>
    <row r="506" spans="1:28" x14ac:dyDescent="0.2">
      <c r="A506" s="544"/>
      <c r="B506" s="544"/>
      <c r="C506" s="544"/>
      <c r="D506" s="544"/>
      <c r="E506" s="544"/>
      <c r="F506" s="569"/>
      <c r="G506" s="544"/>
      <c r="H506" s="544"/>
      <c r="I506" s="544"/>
      <c r="J506" s="544"/>
      <c r="K506" s="569"/>
      <c r="L506" s="544"/>
      <c r="M506" s="544"/>
      <c r="N506" s="544"/>
      <c r="O506" s="544"/>
      <c r="P506" s="544"/>
      <c r="Q506" s="544"/>
      <c r="R506" s="544"/>
      <c r="S506" s="544"/>
      <c r="T506" s="544"/>
      <c r="U506" s="544"/>
      <c r="V506" s="544"/>
      <c r="W506" s="544"/>
      <c r="X506" s="544"/>
      <c r="Y506" s="544"/>
      <c r="Z506" s="544"/>
      <c r="AA506" s="544"/>
      <c r="AB506" s="544"/>
    </row>
    <row r="507" spans="1:28" x14ac:dyDescent="0.2">
      <c r="A507" s="544"/>
      <c r="B507" s="544"/>
      <c r="C507" s="544"/>
      <c r="D507" s="544"/>
      <c r="E507" s="544"/>
      <c r="F507" s="569"/>
      <c r="G507" s="544"/>
      <c r="H507" s="544"/>
      <c r="I507" s="544"/>
      <c r="J507" s="544"/>
      <c r="K507" s="569"/>
      <c r="L507" s="544"/>
      <c r="M507" s="544"/>
      <c r="N507" s="544"/>
      <c r="O507" s="544"/>
      <c r="P507" s="544"/>
      <c r="Q507" s="544"/>
      <c r="R507" s="544"/>
      <c r="S507" s="544"/>
      <c r="T507" s="544"/>
      <c r="U507" s="544"/>
      <c r="V507" s="544"/>
      <c r="W507" s="544"/>
      <c r="X507" s="544"/>
      <c r="Y507" s="544"/>
      <c r="Z507" s="544"/>
      <c r="AA507" s="544"/>
      <c r="AB507" s="544"/>
    </row>
    <row r="508" spans="1:28" x14ac:dyDescent="0.2">
      <c r="A508" s="544"/>
      <c r="B508" s="544"/>
      <c r="C508" s="544"/>
      <c r="D508" s="544"/>
      <c r="E508" s="544"/>
      <c r="F508" s="569"/>
      <c r="G508" s="544"/>
      <c r="H508" s="544"/>
      <c r="I508" s="544"/>
      <c r="J508" s="544"/>
      <c r="K508" s="569"/>
      <c r="L508" s="544"/>
      <c r="M508" s="544"/>
      <c r="N508" s="544"/>
      <c r="O508" s="544"/>
      <c r="P508" s="544"/>
      <c r="Q508" s="544"/>
      <c r="R508" s="544"/>
      <c r="S508" s="544"/>
      <c r="T508" s="544"/>
      <c r="U508" s="544"/>
      <c r="V508" s="544"/>
      <c r="W508" s="544"/>
      <c r="X508" s="544"/>
      <c r="Y508" s="544"/>
      <c r="Z508" s="544"/>
      <c r="AA508" s="544"/>
      <c r="AB508" s="544"/>
    </row>
    <row r="509" spans="1:28" x14ac:dyDescent="0.2">
      <c r="A509" s="544"/>
      <c r="B509" s="544"/>
      <c r="C509" s="544"/>
      <c r="D509" s="544"/>
      <c r="E509" s="544"/>
      <c r="F509" s="569"/>
      <c r="G509" s="544"/>
      <c r="H509" s="544"/>
      <c r="I509" s="544"/>
      <c r="J509" s="544"/>
      <c r="K509" s="569"/>
      <c r="L509" s="544"/>
      <c r="M509" s="544"/>
      <c r="N509" s="544"/>
      <c r="O509" s="544"/>
      <c r="P509" s="544"/>
      <c r="Q509" s="544"/>
      <c r="R509" s="544"/>
      <c r="S509" s="544"/>
      <c r="T509" s="544"/>
      <c r="U509" s="544"/>
      <c r="V509" s="544"/>
      <c r="W509" s="544"/>
      <c r="X509" s="544"/>
      <c r="Y509" s="544"/>
      <c r="Z509" s="544"/>
      <c r="AA509" s="544"/>
      <c r="AB509" s="544"/>
    </row>
    <row r="510" spans="1:28" x14ac:dyDescent="0.2">
      <c r="A510" s="544"/>
      <c r="B510" s="544"/>
      <c r="C510" s="544"/>
      <c r="D510" s="544"/>
      <c r="E510" s="544"/>
      <c r="F510" s="569"/>
      <c r="G510" s="544"/>
      <c r="H510" s="544"/>
      <c r="I510" s="544"/>
      <c r="J510" s="544"/>
      <c r="K510" s="569"/>
      <c r="L510" s="544"/>
      <c r="M510" s="544"/>
      <c r="N510" s="544"/>
      <c r="O510" s="544"/>
      <c r="P510" s="544"/>
      <c r="Q510" s="544"/>
      <c r="R510" s="544"/>
      <c r="S510" s="544"/>
      <c r="T510" s="544"/>
      <c r="U510" s="544"/>
      <c r="V510" s="544"/>
      <c r="W510" s="544"/>
      <c r="X510" s="544"/>
      <c r="Y510" s="544"/>
      <c r="Z510" s="544"/>
      <c r="AA510" s="544"/>
      <c r="AB510" s="544"/>
    </row>
    <row r="511" spans="1:28" x14ac:dyDescent="0.2">
      <c r="A511" s="544"/>
      <c r="B511" s="544"/>
      <c r="C511" s="544"/>
      <c r="D511" s="544"/>
      <c r="E511" s="544"/>
      <c r="F511" s="569"/>
      <c r="G511" s="544"/>
      <c r="H511" s="544"/>
      <c r="I511" s="544"/>
      <c r="J511" s="544"/>
      <c r="K511" s="569"/>
      <c r="L511" s="544"/>
      <c r="M511" s="544"/>
      <c r="N511" s="544"/>
      <c r="O511" s="544"/>
      <c r="P511" s="544"/>
      <c r="Q511" s="544"/>
      <c r="R511" s="544"/>
      <c r="S511" s="544"/>
      <c r="T511" s="544"/>
      <c r="U511" s="544"/>
      <c r="V511" s="544"/>
      <c r="W511" s="544"/>
      <c r="X511" s="544"/>
      <c r="Y511" s="544"/>
      <c r="Z511" s="544"/>
      <c r="AA511" s="544"/>
      <c r="AB511" s="544"/>
    </row>
    <row r="512" spans="1:28" x14ac:dyDescent="0.2">
      <c r="A512" s="544"/>
      <c r="B512" s="544"/>
      <c r="C512" s="544"/>
      <c r="D512" s="544"/>
      <c r="E512" s="544"/>
      <c r="F512" s="569"/>
      <c r="G512" s="544"/>
      <c r="H512" s="544"/>
      <c r="I512" s="544"/>
      <c r="J512" s="544"/>
      <c r="K512" s="569"/>
      <c r="L512" s="544"/>
      <c r="M512" s="544"/>
      <c r="N512" s="544"/>
      <c r="O512" s="544"/>
      <c r="P512" s="544"/>
      <c r="Q512" s="544"/>
      <c r="R512" s="544"/>
      <c r="S512" s="544"/>
      <c r="T512" s="544"/>
      <c r="U512" s="544"/>
      <c r="V512" s="544"/>
      <c r="W512" s="544"/>
      <c r="X512" s="544"/>
      <c r="Y512" s="544"/>
      <c r="Z512" s="544"/>
      <c r="AA512" s="544"/>
      <c r="AB512" s="544"/>
    </row>
    <row r="513" spans="1:28" x14ac:dyDescent="0.2">
      <c r="A513" s="544"/>
      <c r="B513" s="544"/>
      <c r="C513" s="544"/>
      <c r="D513" s="544"/>
      <c r="E513" s="544"/>
      <c r="F513" s="569"/>
      <c r="G513" s="544"/>
      <c r="H513" s="544"/>
      <c r="I513" s="544"/>
      <c r="J513" s="544"/>
      <c r="K513" s="569"/>
      <c r="L513" s="544"/>
      <c r="M513" s="544"/>
      <c r="N513" s="544"/>
      <c r="O513" s="544"/>
      <c r="P513" s="544"/>
      <c r="Q513" s="544"/>
      <c r="R513" s="544"/>
      <c r="S513" s="544"/>
      <c r="T513" s="544"/>
      <c r="U513" s="544"/>
      <c r="V513" s="544"/>
      <c r="W513" s="544"/>
      <c r="X513" s="544"/>
      <c r="Y513" s="544"/>
      <c r="Z513" s="544"/>
      <c r="AA513" s="544"/>
      <c r="AB513" s="544"/>
    </row>
    <row r="514" spans="1:28" x14ac:dyDescent="0.2">
      <c r="A514" s="544"/>
      <c r="B514" s="544"/>
      <c r="C514" s="544"/>
      <c r="D514" s="544"/>
      <c r="E514" s="544"/>
      <c r="F514" s="569"/>
      <c r="G514" s="544"/>
      <c r="H514" s="544"/>
      <c r="I514" s="544"/>
      <c r="J514" s="544"/>
      <c r="K514" s="569"/>
      <c r="L514" s="544"/>
      <c r="M514" s="544"/>
      <c r="N514" s="544"/>
      <c r="O514" s="544"/>
      <c r="P514" s="544"/>
      <c r="Q514" s="544"/>
      <c r="R514" s="544"/>
      <c r="S514" s="544"/>
      <c r="T514" s="544"/>
      <c r="U514" s="544"/>
      <c r="V514" s="544"/>
      <c r="W514" s="544"/>
      <c r="X514" s="544"/>
      <c r="Y514" s="544"/>
      <c r="Z514" s="544"/>
      <c r="AA514" s="544"/>
      <c r="AB514" s="544"/>
    </row>
    <row r="515" spans="1:28" x14ac:dyDescent="0.2">
      <c r="A515" s="544"/>
      <c r="B515" s="544"/>
      <c r="C515" s="544"/>
      <c r="D515" s="544"/>
      <c r="E515" s="544"/>
      <c r="F515" s="569"/>
      <c r="G515" s="544"/>
      <c r="H515" s="544"/>
      <c r="I515" s="544"/>
      <c r="J515" s="544"/>
      <c r="K515" s="569"/>
      <c r="L515" s="544"/>
      <c r="M515" s="544"/>
      <c r="N515" s="544"/>
      <c r="O515" s="544"/>
      <c r="P515" s="544"/>
      <c r="Q515" s="544"/>
      <c r="R515" s="544"/>
      <c r="S515" s="544"/>
      <c r="T515" s="544"/>
      <c r="U515" s="544"/>
      <c r="V515" s="544"/>
      <c r="W515" s="544"/>
      <c r="X515" s="544"/>
      <c r="Y515" s="544"/>
      <c r="Z515" s="544"/>
      <c r="AA515" s="544"/>
      <c r="AB515" s="544"/>
    </row>
    <row r="516" spans="1:28" x14ac:dyDescent="0.2">
      <c r="A516" s="544"/>
      <c r="B516" s="544"/>
      <c r="C516" s="544"/>
      <c r="D516" s="544"/>
      <c r="E516" s="544"/>
      <c r="F516" s="569"/>
      <c r="G516" s="544"/>
      <c r="H516" s="544"/>
      <c r="I516" s="544"/>
      <c r="J516" s="544"/>
      <c r="K516" s="569"/>
      <c r="L516" s="544"/>
      <c r="M516" s="544"/>
      <c r="N516" s="544"/>
      <c r="O516" s="544"/>
      <c r="P516" s="544"/>
      <c r="Q516" s="544"/>
      <c r="R516" s="544"/>
      <c r="S516" s="544"/>
      <c r="T516" s="544"/>
      <c r="U516" s="544"/>
      <c r="V516" s="544"/>
      <c r="W516" s="544"/>
      <c r="X516" s="544"/>
      <c r="Y516" s="544"/>
      <c r="Z516" s="544"/>
      <c r="AA516" s="544"/>
      <c r="AB516" s="544"/>
    </row>
    <row r="517" spans="1:28" x14ac:dyDescent="0.2">
      <c r="A517" s="544"/>
      <c r="B517" s="544"/>
      <c r="C517" s="544"/>
      <c r="D517" s="544"/>
      <c r="E517" s="544"/>
      <c r="F517" s="569"/>
      <c r="G517" s="544"/>
      <c r="H517" s="544"/>
      <c r="I517" s="544"/>
      <c r="J517" s="544"/>
      <c r="K517" s="569"/>
      <c r="L517" s="544"/>
      <c r="M517" s="544"/>
      <c r="N517" s="544"/>
      <c r="O517" s="544"/>
      <c r="P517" s="544"/>
      <c r="Q517" s="544"/>
      <c r="R517" s="544"/>
      <c r="S517" s="544"/>
      <c r="T517" s="544"/>
      <c r="U517" s="544"/>
      <c r="V517" s="544"/>
      <c r="W517" s="544"/>
      <c r="X517" s="544"/>
      <c r="Y517" s="544"/>
      <c r="Z517" s="544"/>
      <c r="AA517" s="544"/>
      <c r="AB517" s="544"/>
    </row>
    <row r="518" spans="1:28" x14ac:dyDescent="0.2">
      <c r="A518" s="544"/>
      <c r="B518" s="544"/>
      <c r="C518" s="544"/>
      <c r="D518" s="544"/>
      <c r="E518" s="544"/>
      <c r="F518" s="569"/>
      <c r="G518" s="544"/>
      <c r="H518" s="544"/>
      <c r="I518" s="544"/>
      <c r="J518" s="544"/>
      <c r="K518" s="569"/>
      <c r="L518" s="544"/>
      <c r="M518" s="544"/>
      <c r="N518" s="544"/>
      <c r="O518" s="544"/>
      <c r="P518" s="544"/>
      <c r="Q518" s="544"/>
      <c r="R518" s="544"/>
      <c r="S518" s="544"/>
      <c r="T518" s="544"/>
      <c r="U518" s="544"/>
      <c r="V518" s="544"/>
      <c r="W518" s="544"/>
      <c r="X518" s="544"/>
      <c r="Y518" s="544"/>
      <c r="Z518" s="544"/>
      <c r="AA518" s="544"/>
      <c r="AB518" s="544"/>
    </row>
    <row r="519" spans="1:28" x14ac:dyDescent="0.2">
      <c r="A519" s="544"/>
      <c r="B519" s="544"/>
      <c r="C519" s="544"/>
      <c r="D519" s="544"/>
      <c r="E519" s="544"/>
      <c r="F519" s="569"/>
      <c r="G519" s="544"/>
      <c r="H519" s="544"/>
      <c r="I519" s="544"/>
      <c r="J519" s="544"/>
      <c r="K519" s="569"/>
      <c r="L519" s="544"/>
      <c r="M519" s="544"/>
      <c r="N519" s="544"/>
      <c r="O519" s="544"/>
      <c r="P519" s="544"/>
      <c r="Q519" s="544"/>
      <c r="R519" s="544"/>
      <c r="S519" s="544"/>
      <c r="T519" s="544"/>
      <c r="U519" s="544"/>
      <c r="V519" s="544"/>
      <c r="W519" s="544"/>
      <c r="X519" s="544"/>
      <c r="Y519" s="544"/>
      <c r="Z519" s="544"/>
      <c r="AA519" s="544"/>
      <c r="AB519" s="544"/>
    </row>
    <row r="520" spans="1:28" x14ac:dyDescent="0.2">
      <c r="A520" s="544"/>
      <c r="B520" s="544"/>
      <c r="C520" s="544"/>
      <c r="D520" s="544"/>
      <c r="E520" s="544"/>
      <c r="F520" s="569"/>
      <c r="G520" s="544"/>
      <c r="H520" s="544"/>
      <c r="I520" s="544"/>
      <c r="J520" s="544"/>
      <c r="K520" s="569"/>
      <c r="L520" s="544"/>
      <c r="M520" s="544"/>
      <c r="N520" s="544"/>
      <c r="O520" s="544"/>
      <c r="P520" s="544"/>
      <c r="Q520" s="544"/>
      <c r="R520" s="544"/>
      <c r="S520" s="544"/>
      <c r="T520" s="544"/>
      <c r="U520" s="544"/>
      <c r="V520" s="544"/>
      <c r="W520" s="544"/>
      <c r="X520" s="544"/>
      <c r="Y520" s="544"/>
      <c r="Z520" s="544"/>
      <c r="AA520" s="544"/>
      <c r="AB520" s="544"/>
    </row>
    <row r="521" spans="1:28" x14ac:dyDescent="0.2">
      <c r="A521" s="544"/>
      <c r="B521" s="544"/>
      <c r="C521" s="544"/>
      <c r="D521" s="544"/>
      <c r="E521" s="544"/>
      <c r="F521" s="569"/>
      <c r="G521" s="544"/>
      <c r="H521" s="544"/>
      <c r="I521" s="544"/>
      <c r="J521" s="544"/>
      <c r="K521" s="569"/>
      <c r="L521" s="544"/>
      <c r="M521" s="544"/>
      <c r="N521" s="544"/>
      <c r="O521" s="544"/>
      <c r="P521" s="544"/>
      <c r="Q521" s="544"/>
      <c r="R521" s="544"/>
      <c r="S521" s="544"/>
      <c r="T521" s="544"/>
      <c r="U521" s="544"/>
      <c r="V521" s="544"/>
      <c r="W521" s="544"/>
      <c r="X521" s="544"/>
      <c r="Y521" s="544"/>
      <c r="Z521" s="544"/>
      <c r="AA521" s="544"/>
      <c r="AB521" s="544"/>
    </row>
    <row r="522" spans="1:28" x14ac:dyDescent="0.2">
      <c r="A522" s="544"/>
      <c r="B522" s="544"/>
      <c r="C522" s="544"/>
      <c r="D522" s="544"/>
      <c r="E522" s="544"/>
      <c r="F522" s="569"/>
      <c r="G522" s="544"/>
      <c r="H522" s="544"/>
      <c r="I522" s="544"/>
      <c r="J522" s="544"/>
      <c r="K522" s="569"/>
      <c r="L522" s="544"/>
      <c r="M522" s="544"/>
      <c r="N522" s="544"/>
      <c r="O522" s="544"/>
      <c r="P522" s="544"/>
      <c r="Q522" s="544"/>
      <c r="R522" s="544"/>
      <c r="S522" s="544"/>
      <c r="T522" s="544"/>
      <c r="U522" s="544"/>
      <c r="V522" s="544"/>
      <c r="W522" s="544"/>
      <c r="X522" s="544"/>
      <c r="Y522" s="544"/>
      <c r="Z522" s="544"/>
      <c r="AA522" s="544"/>
      <c r="AB522" s="544"/>
    </row>
    <row r="523" spans="1:28" x14ac:dyDescent="0.2">
      <c r="A523" s="544"/>
      <c r="B523" s="544"/>
      <c r="C523" s="544"/>
      <c r="D523" s="544"/>
      <c r="E523" s="544"/>
      <c r="F523" s="569"/>
      <c r="G523" s="544"/>
      <c r="H523" s="544"/>
      <c r="I523" s="544"/>
      <c r="J523" s="544"/>
      <c r="K523" s="569"/>
      <c r="L523" s="544"/>
      <c r="M523" s="544"/>
      <c r="N523" s="544"/>
      <c r="O523" s="544"/>
      <c r="P523" s="544"/>
      <c r="Q523" s="544"/>
      <c r="R523" s="544"/>
      <c r="S523" s="544"/>
      <c r="T523" s="544"/>
      <c r="U523" s="544"/>
      <c r="V523" s="544"/>
      <c r="W523" s="544"/>
      <c r="X523" s="544"/>
      <c r="Y523" s="544"/>
      <c r="Z523" s="544"/>
      <c r="AA523" s="544"/>
      <c r="AB523" s="544"/>
    </row>
    <row r="524" spans="1:28" x14ac:dyDescent="0.2">
      <c r="A524" s="544"/>
      <c r="B524" s="544"/>
      <c r="C524" s="544"/>
      <c r="D524" s="544"/>
      <c r="E524" s="544"/>
      <c r="F524" s="569"/>
      <c r="G524" s="544"/>
      <c r="H524" s="544"/>
      <c r="I524" s="544"/>
      <c r="J524" s="544"/>
      <c r="K524" s="569"/>
      <c r="L524" s="544"/>
      <c r="M524" s="544"/>
      <c r="N524" s="544"/>
      <c r="O524" s="544"/>
      <c r="P524" s="544"/>
      <c r="Q524" s="544"/>
      <c r="R524" s="544"/>
      <c r="S524" s="544"/>
      <c r="T524" s="544"/>
      <c r="U524" s="544"/>
      <c r="V524" s="544"/>
      <c r="W524" s="544"/>
      <c r="X524" s="544"/>
      <c r="Y524" s="544"/>
      <c r="Z524" s="544"/>
      <c r="AA524" s="544"/>
      <c r="AB524" s="544"/>
    </row>
    <row r="525" spans="1:28" x14ac:dyDescent="0.2">
      <c r="A525" s="544"/>
      <c r="B525" s="544"/>
      <c r="C525" s="544"/>
      <c r="D525" s="544"/>
      <c r="E525" s="544"/>
      <c r="F525" s="569"/>
      <c r="G525" s="544"/>
      <c r="H525" s="544"/>
      <c r="I525" s="544"/>
      <c r="J525" s="544"/>
      <c r="K525" s="569"/>
      <c r="L525" s="544"/>
      <c r="M525" s="544"/>
      <c r="N525" s="544"/>
      <c r="O525" s="544"/>
      <c r="P525" s="544"/>
      <c r="Q525" s="544"/>
      <c r="R525" s="544"/>
      <c r="S525" s="544"/>
      <c r="T525" s="544"/>
      <c r="U525" s="544"/>
      <c r="V525" s="544"/>
      <c r="W525" s="544"/>
      <c r="X525" s="544"/>
      <c r="Y525" s="544"/>
      <c r="Z525" s="544"/>
      <c r="AA525" s="544"/>
      <c r="AB525" s="544"/>
    </row>
    <row r="526" spans="1:28" x14ac:dyDescent="0.2">
      <c r="A526" s="544"/>
      <c r="B526" s="544"/>
      <c r="C526" s="544"/>
      <c r="D526" s="544"/>
      <c r="E526" s="544"/>
      <c r="F526" s="569"/>
      <c r="G526" s="544"/>
      <c r="H526" s="544"/>
      <c r="I526" s="544"/>
      <c r="J526" s="544"/>
      <c r="K526" s="569"/>
      <c r="L526" s="544"/>
      <c r="M526" s="544"/>
      <c r="N526" s="544"/>
      <c r="O526" s="544"/>
      <c r="P526" s="544"/>
      <c r="Q526" s="544"/>
      <c r="R526" s="544"/>
      <c r="S526" s="544"/>
      <c r="T526" s="544"/>
      <c r="U526" s="544"/>
      <c r="V526" s="544"/>
      <c r="W526" s="544"/>
      <c r="X526" s="544"/>
      <c r="Y526" s="544"/>
      <c r="Z526" s="544"/>
      <c r="AA526" s="544"/>
      <c r="AB526" s="544"/>
    </row>
    <row r="527" spans="1:28" x14ac:dyDescent="0.2">
      <c r="A527" s="544"/>
      <c r="B527" s="544"/>
      <c r="C527" s="544"/>
      <c r="D527" s="544"/>
      <c r="E527" s="544"/>
      <c r="F527" s="569"/>
      <c r="G527" s="544"/>
      <c r="H527" s="544"/>
      <c r="I527" s="544"/>
      <c r="J527" s="544"/>
      <c r="K527" s="569"/>
      <c r="L527" s="544"/>
      <c r="M527" s="544"/>
      <c r="N527" s="544"/>
      <c r="O527" s="544"/>
      <c r="P527" s="544"/>
      <c r="Q527" s="544"/>
      <c r="R527" s="544"/>
      <c r="S527" s="544"/>
      <c r="T527" s="544"/>
      <c r="U527" s="544"/>
      <c r="V527" s="544"/>
      <c r="W527" s="544"/>
      <c r="X527" s="544"/>
      <c r="Y527" s="544"/>
      <c r="Z527" s="544"/>
      <c r="AA527" s="544"/>
      <c r="AB527" s="544"/>
    </row>
    <row r="528" spans="1:28" x14ac:dyDescent="0.2">
      <c r="A528" s="544"/>
      <c r="B528" s="544"/>
      <c r="C528" s="544"/>
      <c r="D528" s="544"/>
      <c r="E528" s="544"/>
      <c r="F528" s="569"/>
      <c r="G528" s="544"/>
      <c r="H528" s="544"/>
      <c r="I528" s="544"/>
      <c r="J528" s="544"/>
      <c r="K528" s="569"/>
      <c r="L528" s="544"/>
      <c r="M528" s="544"/>
      <c r="N528" s="544"/>
      <c r="O528" s="544"/>
      <c r="P528" s="544"/>
      <c r="Q528" s="544"/>
      <c r="R528" s="544"/>
      <c r="S528" s="544"/>
      <c r="T528" s="544"/>
      <c r="U528" s="544"/>
      <c r="V528" s="544"/>
      <c r="W528" s="544"/>
      <c r="X528" s="544"/>
      <c r="Y528" s="544"/>
      <c r="Z528" s="544"/>
      <c r="AA528" s="544"/>
      <c r="AB528" s="544"/>
    </row>
    <row r="529" spans="1:28" x14ac:dyDescent="0.2">
      <c r="A529" s="544"/>
      <c r="B529" s="544"/>
      <c r="C529" s="544"/>
      <c r="D529" s="544"/>
      <c r="E529" s="544"/>
      <c r="F529" s="569"/>
      <c r="G529" s="544"/>
      <c r="H529" s="544"/>
      <c r="I529" s="544"/>
      <c r="J529" s="544"/>
      <c r="K529" s="569"/>
      <c r="L529" s="544"/>
      <c r="M529" s="544"/>
      <c r="N529" s="544"/>
      <c r="O529" s="544"/>
      <c r="P529" s="544"/>
      <c r="Q529" s="544"/>
      <c r="R529" s="544"/>
      <c r="S529" s="544"/>
      <c r="T529" s="544"/>
      <c r="U529" s="544"/>
      <c r="V529" s="544"/>
      <c r="W529" s="544"/>
      <c r="X529" s="544"/>
      <c r="Y529" s="544"/>
      <c r="Z529" s="544"/>
      <c r="AA529" s="544"/>
      <c r="AB529" s="544"/>
    </row>
    <row r="530" spans="1:28" x14ac:dyDescent="0.2">
      <c r="A530" s="544"/>
      <c r="B530" s="544"/>
      <c r="C530" s="544"/>
      <c r="D530" s="544"/>
      <c r="E530" s="544"/>
      <c r="F530" s="569"/>
      <c r="G530" s="544"/>
      <c r="H530" s="544"/>
      <c r="I530" s="544"/>
      <c r="J530" s="544"/>
      <c r="K530" s="569"/>
      <c r="L530" s="544"/>
      <c r="M530" s="544"/>
      <c r="N530" s="544"/>
      <c r="O530" s="544"/>
      <c r="P530" s="544"/>
      <c r="Q530" s="544"/>
      <c r="R530" s="544"/>
      <c r="S530" s="544"/>
      <c r="T530" s="544"/>
      <c r="U530" s="544"/>
      <c r="V530" s="544"/>
      <c r="W530" s="544"/>
      <c r="X530" s="544"/>
      <c r="Y530" s="544"/>
      <c r="Z530" s="544"/>
      <c r="AA530" s="544"/>
      <c r="AB530" s="544"/>
    </row>
    <row r="531" spans="1:28" x14ac:dyDescent="0.2">
      <c r="A531" s="544"/>
      <c r="B531" s="544"/>
      <c r="C531" s="544"/>
      <c r="D531" s="544"/>
      <c r="E531" s="544"/>
      <c r="F531" s="569"/>
      <c r="G531" s="544"/>
      <c r="H531" s="544"/>
      <c r="I531" s="544"/>
      <c r="J531" s="544"/>
      <c r="K531" s="569"/>
      <c r="L531" s="544"/>
      <c r="M531" s="544"/>
      <c r="N531" s="544"/>
      <c r="O531" s="544"/>
      <c r="P531" s="544"/>
      <c r="Q531" s="544"/>
      <c r="R531" s="544"/>
      <c r="S531" s="544"/>
      <c r="T531" s="544"/>
      <c r="U531" s="544"/>
      <c r="V531" s="544"/>
      <c r="W531" s="544"/>
      <c r="X531" s="544"/>
      <c r="Y531" s="544"/>
      <c r="Z531" s="544"/>
      <c r="AA531" s="544"/>
      <c r="AB531" s="544"/>
    </row>
    <row r="532" spans="1:28" x14ac:dyDescent="0.2">
      <c r="A532" s="544"/>
      <c r="B532" s="544"/>
      <c r="C532" s="544"/>
      <c r="D532" s="544"/>
      <c r="E532" s="544"/>
      <c r="F532" s="569"/>
      <c r="G532" s="544"/>
      <c r="H532" s="544"/>
      <c r="I532" s="544"/>
      <c r="J532" s="544"/>
      <c r="K532" s="569"/>
      <c r="L532" s="544"/>
      <c r="M532" s="544"/>
      <c r="N532" s="544"/>
      <c r="O532" s="544"/>
      <c r="P532" s="544"/>
      <c r="Q532" s="544"/>
      <c r="R532" s="544"/>
      <c r="S532" s="544"/>
      <c r="T532" s="544"/>
      <c r="U532" s="544"/>
      <c r="V532" s="544"/>
      <c r="W532" s="544"/>
      <c r="X532" s="544"/>
      <c r="Y532" s="544"/>
      <c r="Z532" s="544"/>
      <c r="AA532" s="544"/>
      <c r="AB532" s="544"/>
    </row>
    <row r="533" spans="1:28" x14ac:dyDescent="0.2">
      <c r="A533" s="544"/>
      <c r="B533" s="544"/>
      <c r="C533" s="544"/>
      <c r="D533" s="544"/>
      <c r="E533" s="544"/>
      <c r="F533" s="569"/>
      <c r="G533" s="544"/>
      <c r="H533" s="544"/>
      <c r="I533" s="544"/>
      <c r="J533" s="544"/>
      <c r="K533" s="569"/>
      <c r="L533" s="544"/>
      <c r="M533" s="544"/>
      <c r="N533" s="544"/>
      <c r="O533" s="544"/>
      <c r="P533" s="544"/>
      <c r="Q533" s="544"/>
      <c r="R533" s="544"/>
      <c r="S533" s="544"/>
      <c r="T533" s="544"/>
      <c r="U533" s="544"/>
      <c r="V533" s="544"/>
      <c r="W533" s="544"/>
      <c r="X533" s="544"/>
      <c r="Y533" s="544"/>
      <c r="Z533" s="544"/>
      <c r="AA533" s="544"/>
      <c r="AB533" s="544"/>
    </row>
    <row r="534" spans="1:28" x14ac:dyDescent="0.2">
      <c r="A534" s="544"/>
      <c r="B534" s="544"/>
      <c r="C534" s="544"/>
      <c r="D534" s="544"/>
      <c r="E534" s="544"/>
      <c r="F534" s="569"/>
      <c r="G534" s="544"/>
      <c r="H534" s="544"/>
      <c r="I534" s="544"/>
      <c r="J534" s="544"/>
      <c r="K534" s="569"/>
      <c r="L534" s="544"/>
      <c r="M534" s="544"/>
      <c r="N534" s="544"/>
      <c r="O534" s="544"/>
      <c r="P534" s="544"/>
      <c r="Q534" s="544"/>
      <c r="R534" s="544"/>
      <c r="S534" s="544"/>
      <c r="T534" s="544"/>
      <c r="U534" s="544"/>
      <c r="V534" s="544"/>
      <c r="W534" s="544"/>
      <c r="X534" s="544"/>
      <c r="Y534" s="544"/>
      <c r="Z534" s="544"/>
      <c r="AA534" s="544"/>
      <c r="AB534" s="544"/>
    </row>
    <row r="535" spans="1:28" x14ac:dyDescent="0.2">
      <c r="A535" s="544"/>
      <c r="B535" s="544"/>
      <c r="C535" s="544"/>
      <c r="D535" s="544"/>
      <c r="E535" s="544"/>
      <c r="F535" s="569"/>
      <c r="G535" s="544"/>
      <c r="H535" s="544"/>
      <c r="I535" s="544"/>
      <c r="J535" s="544"/>
      <c r="K535" s="569"/>
      <c r="L535" s="544"/>
      <c r="M535" s="544"/>
      <c r="N535" s="544"/>
      <c r="O535" s="544"/>
      <c r="P535" s="544"/>
      <c r="Q535" s="544"/>
      <c r="R535" s="544"/>
      <c r="S535" s="544"/>
      <c r="T535" s="544"/>
      <c r="U535" s="544"/>
      <c r="V535" s="544"/>
      <c r="W535" s="544"/>
      <c r="X535" s="544"/>
      <c r="Y535" s="544"/>
      <c r="Z535" s="544"/>
      <c r="AA535" s="544"/>
      <c r="AB535" s="544"/>
    </row>
    <row r="536" spans="1:28" x14ac:dyDescent="0.2">
      <c r="A536" s="544"/>
      <c r="B536" s="544"/>
      <c r="C536" s="544"/>
      <c r="D536" s="544"/>
      <c r="E536" s="544"/>
      <c r="F536" s="569"/>
      <c r="G536" s="544"/>
      <c r="H536" s="544"/>
      <c r="I536" s="544"/>
      <c r="J536" s="544"/>
      <c r="K536" s="569"/>
      <c r="L536" s="544"/>
      <c r="M536" s="544"/>
      <c r="N536" s="544"/>
      <c r="O536" s="544"/>
      <c r="P536" s="544"/>
      <c r="Q536" s="544"/>
      <c r="R536" s="544"/>
      <c r="S536" s="544"/>
      <c r="T536" s="544"/>
      <c r="U536" s="544"/>
      <c r="V536" s="544"/>
      <c r="W536" s="544"/>
      <c r="X536" s="544"/>
      <c r="Y536" s="544"/>
      <c r="Z536" s="544"/>
      <c r="AA536" s="544"/>
      <c r="AB536" s="544"/>
    </row>
    <row r="537" spans="1:28" x14ac:dyDescent="0.2">
      <c r="A537" s="544"/>
      <c r="B537" s="544"/>
      <c r="C537" s="544"/>
      <c r="D537" s="544"/>
      <c r="E537" s="544"/>
      <c r="F537" s="569"/>
      <c r="G537" s="544"/>
      <c r="H537" s="544"/>
      <c r="I537" s="544"/>
      <c r="J537" s="544"/>
      <c r="K537" s="569"/>
      <c r="L537" s="544"/>
      <c r="M537" s="544"/>
      <c r="N537" s="544"/>
      <c r="O537" s="544"/>
      <c r="P537" s="544"/>
      <c r="Q537" s="544"/>
      <c r="R537" s="544"/>
      <c r="S537" s="544"/>
      <c r="T537" s="544"/>
      <c r="U537" s="544"/>
      <c r="V537" s="544"/>
      <c r="W537" s="544"/>
      <c r="X537" s="544"/>
      <c r="Y537" s="544"/>
      <c r="Z537" s="544"/>
      <c r="AA537" s="544"/>
      <c r="AB537" s="544"/>
    </row>
    <row r="538" spans="1:28" x14ac:dyDescent="0.2">
      <c r="A538" s="544"/>
      <c r="B538" s="544"/>
      <c r="C538" s="544"/>
      <c r="D538" s="544"/>
      <c r="E538" s="544"/>
      <c r="F538" s="569"/>
      <c r="G538" s="544"/>
      <c r="H538" s="544"/>
      <c r="I538" s="544"/>
      <c r="J538" s="544"/>
      <c r="K538" s="569"/>
      <c r="L538" s="544"/>
      <c r="M538" s="544"/>
      <c r="N538" s="544"/>
      <c r="O538" s="544"/>
      <c r="P538" s="544"/>
      <c r="Q538" s="544"/>
      <c r="R538" s="544"/>
      <c r="S538" s="544"/>
      <c r="T538" s="544"/>
      <c r="U538" s="544"/>
      <c r="V538" s="544"/>
      <c r="W538" s="544"/>
      <c r="X538" s="544"/>
      <c r="Y538" s="544"/>
      <c r="Z538" s="544"/>
      <c r="AA538" s="544"/>
      <c r="AB538" s="544"/>
    </row>
    <row r="539" spans="1:28" x14ac:dyDescent="0.2">
      <c r="A539" s="544"/>
      <c r="B539" s="544"/>
      <c r="C539" s="544"/>
      <c r="D539" s="544"/>
      <c r="E539" s="544"/>
      <c r="F539" s="569"/>
      <c r="G539" s="544"/>
      <c r="H539" s="544"/>
      <c r="I539" s="544"/>
      <c r="J539" s="544"/>
      <c r="K539" s="569"/>
      <c r="L539" s="544"/>
      <c r="M539" s="544"/>
      <c r="N539" s="544"/>
      <c r="O539" s="544"/>
      <c r="P539" s="544"/>
      <c r="Q539" s="544"/>
      <c r="R539" s="544"/>
      <c r="S539" s="544"/>
      <c r="T539" s="544"/>
      <c r="U539" s="544"/>
      <c r="V539" s="544"/>
      <c r="W539" s="544"/>
      <c r="X539" s="544"/>
      <c r="Y539" s="544"/>
      <c r="Z539" s="544"/>
      <c r="AA539" s="544"/>
      <c r="AB539" s="544"/>
    </row>
    <row r="540" spans="1:28" x14ac:dyDescent="0.2">
      <c r="A540" s="544"/>
      <c r="B540" s="544"/>
      <c r="C540" s="544"/>
      <c r="D540" s="544"/>
      <c r="E540" s="544"/>
      <c r="F540" s="569"/>
      <c r="G540" s="544"/>
      <c r="H540" s="544"/>
      <c r="I540" s="544"/>
      <c r="J540" s="544"/>
      <c r="K540" s="569"/>
      <c r="L540" s="544"/>
      <c r="M540" s="544"/>
      <c r="N540" s="544"/>
      <c r="O540" s="544"/>
      <c r="P540" s="544"/>
      <c r="Q540" s="544"/>
      <c r="R540" s="544"/>
      <c r="S540" s="544"/>
      <c r="T540" s="544"/>
      <c r="U540" s="544"/>
      <c r="V540" s="544"/>
      <c r="W540" s="544"/>
      <c r="X540" s="544"/>
      <c r="Y540" s="544"/>
      <c r="Z540" s="544"/>
      <c r="AA540" s="544"/>
      <c r="AB540" s="544"/>
    </row>
    <row r="541" spans="1:28" x14ac:dyDescent="0.2">
      <c r="A541" s="544"/>
      <c r="B541" s="544"/>
      <c r="C541" s="544"/>
      <c r="D541" s="544"/>
      <c r="E541" s="544"/>
      <c r="F541" s="569"/>
      <c r="G541" s="544"/>
      <c r="H541" s="544"/>
      <c r="I541" s="544"/>
      <c r="J541" s="544"/>
      <c r="K541" s="569"/>
      <c r="L541" s="544"/>
      <c r="M541" s="544"/>
      <c r="N541" s="544"/>
      <c r="O541" s="544"/>
      <c r="P541" s="544"/>
      <c r="Q541" s="544"/>
      <c r="R541" s="544"/>
      <c r="S541" s="544"/>
      <c r="T541" s="544"/>
      <c r="U541" s="544"/>
      <c r="V541" s="544"/>
      <c r="W541" s="544"/>
      <c r="X541" s="544"/>
      <c r="Y541" s="544"/>
      <c r="Z541" s="544"/>
      <c r="AA541" s="544"/>
      <c r="AB541" s="544"/>
    </row>
    <row r="542" spans="1:28" x14ac:dyDescent="0.2">
      <c r="A542" s="544"/>
      <c r="B542" s="544"/>
      <c r="C542" s="544"/>
      <c r="D542" s="544"/>
      <c r="E542" s="544"/>
      <c r="F542" s="569"/>
      <c r="G542" s="544"/>
      <c r="H542" s="544"/>
      <c r="I542" s="544"/>
      <c r="J542" s="544"/>
      <c r="K542" s="569"/>
      <c r="L542" s="544"/>
      <c r="M542" s="544"/>
      <c r="N542" s="544"/>
      <c r="O542" s="544"/>
      <c r="P542" s="544"/>
      <c r="Q542" s="544"/>
      <c r="R542" s="544"/>
      <c r="S542" s="544"/>
      <c r="T542" s="544"/>
      <c r="U542" s="544"/>
      <c r="V542" s="544"/>
      <c r="W542" s="544"/>
      <c r="X542" s="544"/>
      <c r="Y542" s="544"/>
      <c r="Z542" s="544"/>
      <c r="AA542" s="544"/>
      <c r="AB542" s="544"/>
    </row>
    <row r="543" spans="1:28" x14ac:dyDescent="0.2">
      <c r="A543" s="544"/>
      <c r="B543" s="544"/>
      <c r="C543" s="544"/>
      <c r="D543" s="544"/>
      <c r="E543" s="544"/>
      <c r="F543" s="569"/>
      <c r="G543" s="544"/>
      <c r="H543" s="544"/>
      <c r="I543" s="544"/>
      <c r="J543" s="544"/>
      <c r="K543" s="569"/>
      <c r="L543" s="544"/>
      <c r="M543" s="544"/>
      <c r="N543" s="544"/>
      <c r="O543" s="544"/>
      <c r="P543" s="544"/>
      <c r="Q543" s="544"/>
      <c r="R543" s="544"/>
      <c r="S543" s="544"/>
      <c r="T543" s="544"/>
      <c r="U543" s="544"/>
      <c r="V543" s="544"/>
      <c r="W543" s="544"/>
      <c r="X543" s="544"/>
      <c r="Y543" s="544"/>
      <c r="Z543" s="544"/>
      <c r="AA543" s="544"/>
      <c r="AB543" s="544"/>
    </row>
    <row r="544" spans="1:28" x14ac:dyDescent="0.2">
      <c r="A544" s="544"/>
      <c r="B544" s="544"/>
      <c r="C544" s="544"/>
      <c r="D544" s="544"/>
      <c r="E544" s="544"/>
      <c r="F544" s="569"/>
      <c r="G544" s="544"/>
      <c r="H544" s="544"/>
      <c r="I544" s="544"/>
      <c r="J544" s="544"/>
      <c r="K544" s="569"/>
      <c r="L544" s="544"/>
      <c r="M544" s="544"/>
      <c r="N544" s="544"/>
      <c r="O544" s="544"/>
      <c r="P544" s="544"/>
      <c r="Q544" s="544"/>
      <c r="R544" s="544"/>
      <c r="S544" s="544"/>
      <c r="T544" s="544"/>
      <c r="U544" s="544"/>
      <c r="V544" s="544"/>
      <c r="W544" s="544"/>
      <c r="X544" s="544"/>
      <c r="Y544" s="544"/>
      <c r="Z544" s="544"/>
      <c r="AA544" s="544"/>
      <c r="AB544" s="544"/>
    </row>
    <row r="545" spans="1:28" x14ac:dyDescent="0.2">
      <c r="A545" s="544"/>
      <c r="B545" s="544"/>
      <c r="C545" s="544"/>
      <c r="D545" s="544"/>
      <c r="E545" s="544"/>
      <c r="F545" s="569"/>
      <c r="G545" s="544"/>
      <c r="H545" s="544"/>
      <c r="I545" s="544"/>
      <c r="J545" s="544"/>
      <c r="K545" s="569"/>
      <c r="L545" s="544"/>
      <c r="M545" s="544"/>
      <c r="N545" s="544"/>
      <c r="O545" s="544"/>
      <c r="P545" s="544"/>
      <c r="Q545" s="544"/>
      <c r="R545" s="544"/>
      <c r="S545" s="544"/>
      <c r="T545" s="544"/>
      <c r="U545" s="544"/>
      <c r="V545" s="544"/>
      <c r="W545" s="544"/>
      <c r="X545" s="544"/>
      <c r="Y545" s="544"/>
      <c r="Z545" s="544"/>
      <c r="AA545" s="544"/>
      <c r="AB545" s="544"/>
    </row>
    <row r="546" spans="1:28" x14ac:dyDescent="0.2">
      <c r="A546" s="544"/>
      <c r="B546" s="544"/>
      <c r="C546" s="544"/>
      <c r="D546" s="544"/>
      <c r="E546" s="544"/>
      <c r="F546" s="569"/>
      <c r="G546" s="544"/>
      <c r="H546" s="544"/>
      <c r="I546" s="544"/>
      <c r="J546" s="544"/>
      <c r="K546" s="569"/>
      <c r="L546" s="544"/>
      <c r="M546" s="544"/>
      <c r="N546" s="544"/>
      <c r="O546" s="544"/>
      <c r="P546" s="544"/>
      <c r="Q546" s="544"/>
      <c r="R546" s="544"/>
      <c r="S546" s="544"/>
      <c r="T546" s="544"/>
      <c r="U546" s="544"/>
      <c r="V546" s="544"/>
      <c r="W546" s="544"/>
      <c r="X546" s="544"/>
      <c r="Y546" s="544"/>
      <c r="Z546" s="544"/>
      <c r="AA546" s="544"/>
      <c r="AB546" s="544"/>
    </row>
    <row r="547" spans="1:28" x14ac:dyDescent="0.2">
      <c r="A547" s="544"/>
      <c r="B547" s="544"/>
      <c r="C547" s="544"/>
      <c r="D547" s="544"/>
      <c r="E547" s="544"/>
      <c r="F547" s="569"/>
      <c r="G547" s="544"/>
      <c r="H547" s="544"/>
      <c r="I547" s="544"/>
      <c r="J547" s="544"/>
      <c r="K547" s="569"/>
      <c r="L547" s="544"/>
      <c r="M547" s="544"/>
      <c r="N547" s="544"/>
      <c r="O547" s="544"/>
      <c r="P547" s="544"/>
      <c r="Q547" s="544"/>
      <c r="R547" s="544"/>
      <c r="S547" s="544"/>
      <c r="T547" s="544"/>
      <c r="U547" s="544"/>
      <c r="V547" s="544"/>
      <c r="W547" s="544"/>
      <c r="X547" s="544"/>
      <c r="Y547" s="544"/>
      <c r="Z547" s="544"/>
      <c r="AA547" s="544"/>
      <c r="AB547" s="544"/>
    </row>
    <row r="548" spans="1:28" x14ac:dyDescent="0.2">
      <c r="A548" s="544"/>
      <c r="B548" s="544"/>
      <c r="C548" s="544"/>
      <c r="D548" s="544"/>
      <c r="E548" s="544"/>
      <c r="F548" s="569"/>
      <c r="G548" s="544"/>
      <c r="H548" s="544"/>
      <c r="I548" s="544"/>
      <c r="J548" s="544"/>
      <c r="K548" s="569"/>
      <c r="L548" s="544"/>
      <c r="M548" s="544"/>
      <c r="N548" s="544"/>
      <c r="O548" s="544"/>
      <c r="P548" s="544"/>
      <c r="Q548" s="544"/>
      <c r="R548" s="544"/>
      <c r="S548" s="544"/>
      <c r="T548" s="544"/>
      <c r="U548" s="544"/>
      <c r="V548" s="544"/>
      <c r="W548" s="544"/>
      <c r="X548" s="544"/>
      <c r="Y548" s="544"/>
      <c r="Z548" s="544"/>
      <c r="AA548" s="544"/>
      <c r="AB548" s="544"/>
    </row>
    <row r="549" spans="1:28" x14ac:dyDescent="0.2">
      <c r="A549" s="544"/>
      <c r="B549" s="544"/>
      <c r="C549" s="544"/>
      <c r="D549" s="544"/>
      <c r="E549" s="544"/>
      <c r="F549" s="569"/>
      <c r="G549" s="544"/>
      <c r="H549" s="544"/>
      <c r="I549" s="544"/>
      <c r="J549" s="544"/>
      <c r="K549" s="569"/>
      <c r="L549" s="544"/>
      <c r="M549" s="544"/>
      <c r="N549" s="544"/>
      <c r="O549" s="544"/>
      <c r="P549" s="544"/>
      <c r="Q549" s="544"/>
      <c r="R549" s="544"/>
      <c r="S549" s="544"/>
      <c r="T549" s="544"/>
      <c r="U549" s="544"/>
      <c r="V549" s="544"/>
      <c r="W549" s="544"/>
      <c r="X549" s="544"/>
      <c r="Y549" s="544"/>
      <c r="Z549" s="544"/>
      <c r="AA549" s="544"/>
      <c r="AB549" s="544"/>
    </row>
    <row r="550" spans="1:28" x14ac:dyDescent="0.2">
      <c r="A550" s="544"/>
      <c r="B550" s="544"/>
      <c r="C550" s="544"/>
      <c r="D550" s="544"/>
      <c r="E550" s="544"/>
      <c r="F550" s="569"/>
      <c r="G550" s="544"/>
      <c r="H550" s="544"/>
      <c r="I550" s="544"/>
      <c r="J550" s="544"/>
      <c r="K550" s="569"/>
      <c r="L550" s="544"/>
      <c r="M550" s="544"/>
      <c r="N550" s="544"/>
      <c r="O550" s="544"/>
      <c r="P550" s="544"/>
      <c r="Q550" s="544"/>
      <c r="R550" s="544"/>
      <c r="S550" s="544"/>
      <c r="T550" s="544"/>
      <c r="U550" s="544"/>
      <c r="V550" s="544"/>
      <c r="W550" s="544"/>
      <c r="X550" s="544"/>
      <c r="Y550" s="544"/>
      <c r="Z550" s="544"/>
      <c r="AA550" s="544"/>
      <c r="AB550" s="544"/>
    </row>
    <row r="551" spans="1:28" x14ac:dyDescent="0.2">
      <c r="A551" s="544"/>
      <c r="B551" s="544"/>
      <c r="C551" s="544"/>
      <c r="D551" s="544"/>
      <c r="E551" s="544"/>
      <c r="F551" s="569"/>
      <c r="G551" s="544"/>
      <c r="H551" s="544"/>
      <c r="I551" s="544"/>
      <c r="J551" s="544"/>
      <c r="K551" s="569"/>
      <c r="L551" s="544"/>
      <c r="M551" s="544"/>
      <c r="N551" s="544"/>
      <c r="O551" s="544"/>
      <c r="P551" s="544"/>
      <c r="Q551" s="544"/>
      <c r="R551" s="544"/>
      <c r="S551" s="544"/>
      <c r="T551" s="544"/>
      <c r="U551" s="544"/>
      <c r="V551" s="544"/>
      <c r="W551" s="544"/>
      <c r="X551" s="544"/>
      <c r="Y551" s="544"/>
      <c r="Z551" s="544"/>
      <c r="AA551" s="544"/>
      <c r="AB551" s="544"/>
    </row>
    <row r="552" spans="1:28" x14ac:dyDescent="0.2">
      <c r="A552" s="544"/>
      <c r="B552" s="544"/>
      <c r="C552" s="544"/>
      <c r="D552" s="544"/>
      <c r="E552" s="544"/>
      <c r="F552" s="569"/>
      <c r="G552" s="544"/>
      <c r="H552" s="544"/>
      <c r="I552" s="544"/>
      <c r="J552" s="544"/>
      <c r="K552" s="569"/>
      <c r="L552" s="544"/>
      <c r="M552" s="544"/>
      <c r="N552" s="544"/>
      <c r="O552" s="544"/>
      <c r="P552" s="544"/>
      <c r="Q552" s="544"/>
      <c r="R552" s="544"/>
      <c r="S552" s="544"/>
      <c r="T552" s="544"/>
      <c r="U552" s="544"/>
      <c r="V552" s="544"/>
      <c r="W552" s="544"/>
      <c r="X552" s="544"/>
      <c r="Y552" s="544"/>
      <c r="Z552" s="544"/>
      <c r="AA552" s="544"/>
      <c r="AB552" s="544"/>
    </row>
    <row r="553" spans="1:28" x14ac:dyDescent="0.2">
      <c r="A553" s="544"/>
      <c r="B553" s="544"/>
      <c r="C553" s="544"/>
      <c r="D553" s="544"/>
      <c r="E553" s="544"/>
      <c r="F553" s="569"/>
      <c r="G553" s="544"/>
      <c r="H553" s="544"/>
      <c r="I553" s="544"/>
      <c r="J553" s="544"/>
      <c r="K553" s="569"/>
      <c r="L553" s="544"/>
      <c r="M553" s="544"/>
      <c r="N553" s="544"/>
      <c r="O553" s="544"/>
      <c r="P553" s="544"/>
      <c r="Q553" s="544"/>
      <c r="R553" s="544"/>
      <c r="S553" s="544"/>
      <c r="T553" s="544"/>
      <c r="U553" s="544"/>
      <c r="V553" s="544"/>
      <c r="W553" s="544"/>
      <c r="X553" s="544"/>
      <c r="Y553" s="544"/>
      <c r="Z553" s="544"/>
      <c r="AA553" s="544"/>
      <c r="AB553" s="544"/>
    </row>
    <row r="554" spans="1:28" x14ac:dyDescent="0.2">
      <c r="A554" s="544"/>
      <c r="B554" s="544"/>
      <c r="C554" s="544"/>
      <c r="D554" s="544"/>
      <c r="E554" s="544"/>
      <c r="F554" s="569"/>
      <c r="G554" s="544"/>
      <c r="H554" s="544"/>
      <c r="I554" s="544"/>
      <c r="J554" s="544"/>
      <c r="K554" s="569"/>
      <c r="L554" s="544"/>
      <c r="M554" s="544"/>
      <c r="N554" s="544"/>
      <c r="O554" s="544"/>
      <c r="P554" s="544"/>
      <c r="Q554" s="544"/>
      <c r="R554" s="544"/>
      <c r="S554" s="544"/>
      <c r="T554" s="544"/>
      <c r="U554" s="544"/>
      <c r="V554" s="544"/>
      <c r="W554" s="544"/>
      <c r="X554" s="544"/>
      <c r="Y554" s="544"/>
      <c r="Z554" s="544"/>
      <c r="AA554" s="544"/>
      <c r="AB554" s="544"/>
    </row>
    <row r="555" spans="1:28" x14ac:dyDescent="0.2">
      <c r="A555" s="544"/>
      <c r="B555" s="544"/>
      <c r="C555" s="544"/>
      <c r="D555" s="544"/>
      <c r="E555" s="544"/>
      <c r="F555" s="569"/>
      <c r="G555" s="544"/>
      <c r="H555" s="544"/>
      <c r="I555" s="544"/>
      <c r="J555" s="544"/>
      <c r="K555" s="569"/>
      <c r="L555" s="544"/>
      <c r="M555" s="544"/>
      <c r="N555" s="544"/>
      <c r="O555" s="544"/>
      <c r="P555" s="544"/>
      <c r="Q555" s="544"/>
      <c r="R555" s="544"/>
      <c r="S555" s="544"/>
      <c r="T555" s="544"/>
      <c r="U555" s="544"/>
      <c r="V555" s="544"/>
      <c r="W555" s="544"/>
      <c r="X555" s="544"/>
      <c r="Y555" s="544"/>
      <c r="Z555" s="544"/>
      <c r="AA555" s="544"/>
      <c r="AB555" s="544"/>
    </row>
    <row r="556" spans="1:28" x14ac:dyDescent="0.2">
      <c r="A556" s="544"/>
      <c r="B556" s="544"/>
      <c r="C556" s="544"/>
      <c r="D556" s="544"/>
      <c r="E556" s="544"/>
      <c r="F556" s="569"/>
      <c r="G556" s="544"/>
      <c r="H556" s="544"/>
      <c r="I556" s="544"/>
      <c r="J556" s="544"/>
      <c r="K556" s="569"/>
      <c r="L556" s="544"/>
      <c r="M556" s="544"/>
      <c r="N556" s="544"/>
      <c r="O556" s="544"/>
      <c r="P556" s="544"/>
      <c r="Q556" s="544"/>
      <c r="R556" s="544"/>
      <c r="S556" s="544"/>
      <c r="T556" s="544"/>
      <c r="U556" s="544"/>
      <c r="V556" s="544"/>
      <c r="W556" s="544"/>
      <c r="X556" s="544"/>
      <c r="Y556" s="544"/>
      <c r="Z556" s="544"/>
      <c r="AA556" s="544"/>
      <c r="AB556" s="544"/>
    </row>
    <row r="557" spans="1:28" x14ac:dyDescent="0.2">
      <c r="A557" s="544"/>
      <c r="B557" s="544"/>
      <c r="C557" s="544"/>
      <c r="D557" s="544"/>
      <c r="E557" s="544"/>
      <c r="F557" s="569"/>
      <c r="G557" s="544"/>
      <c r="H557" s="544"/>
      <c r="I557" s="544"/>
      <c r="J557" s="544"/>
      <c r="K557" s="569"/>
      <c r="L557" s="544"/>
      <c r="M557" s="544"/>
      <c r="N557" s="544"/>
      <c r="O557" s="544"/>
      <c r="P557" s="544"/>
      <c r="Q557" s="544"/>
      <c r="R557" s="544"/>
      <c r="S557" s="544"/>
      <c r="T557" s="544"/>
      <c r="U557" s="544"/>
      <c r="V557" s="544"/>
      <c r="W557" s="544"/>
      <c r="X557" s="544"/>
      <c r="Y557" s="544"/>
      <c r="Z557" s="544"/>
      <c r="AA557" s="544"/>
      <c r="AB557" s="544"/>
    </row>
    <row r="558" spans="1:28" x14ac:dyDescent="0.2">
      <c r="A558" s="544"/>
      <c r="B558" s="544"/>
      <c r="C558" s="544"/>
      <c r="D558" s="544"/>
      <c r="E558" s="544"/>
      <c r="F558" s="569"/>
      <c r="G558" s="544"/>
      <c r="H558" s="544"/>
      <c r="I558" s="544"/>
      <c r="J558" s="544"/>
      <c r="K558" s="569"/>
      <c r="L558" s="544"/>
      <c r="M558" s="544"/>
      <c r="N558" s="544"/>
      <c r="O558" s="544"/>
      <c r="P558" s="544"/>
      <c r="Q558" s="544"/>
      <c r="R558" s="544"/>
      <c r="S558" s="544"/>
      <c r="T558" s="544"/>
      <c r="U558" s="544"/>
      <c r="V558" s="544"/>
      <c r="W558" s="544"/>
      <c r="X558" s="544"/>
      <c r="Y558" s="544"/>
      <c r="Z558" s="544"/>
      <c r="AA558" s="544"/>
      <c r="AB558" s="544"/>
    </row>
    <row r="559" spans="1:28" x14ac:dyDescent="0.2">
      <c r="A559" s="544"/>
      <c r="B559" s="544"/>
      <c r="C559" s="544"/>
      <c r="D559" s="544"/>
      <c r="E559" s="544"/>
      <c r="F559" s="569"/>
      <c r="G559" s="544"/>
      <c r="H559" s="544"/>
      <c r="I559" s="544"/>
      <c r="J559" s="544"/>
      <c r="K559" s="569"/>
      <c r="L559" s="544"/>
      <c r="M559" s="544"/>
      <c r="N559" s="544"/>
      <c r="O559" s="544"/>
      <c r="P559" s="544"/>
      <c r="Q559" s="544"/>
      <c r="R559" s="544"/>
      <c r="S559" s="544"/>
      <c r="T559" s="544"/>
      <c r="U559" s="544"/>
      <c r="V559" s="544"/>
      <c r="W559" s="544"/>
      <c r="X559" s="544"/>
      <c r="Y559" s="544"/>
      <c r="Z559" s="544"/>
      <c r="AA559" s="544"/>
      <c r="AB559" s="544"/>
    </row>
    <row r="560" spans="1:28" x14ac:dyDescent="0.2">
      <c r="A560" s="544"/>
      <c r="B560" s="544"/>
      <c r="C560" s="544"/>
      <c r="D560" s="544"/>
      <c r="E560" s="544"/>
      <c r="F560" s="569"/>
      <c r="G560" s="544"/>
      <c r="H560" s="544"/>
      <c r="I560" s="544"/>
      <c r="J560" s="544"/>
      <c r="K560" s="569"/>
      <c r="L560" s="544"/>
      <c r="M560" s="544"/>
      <c r="N560" s="544"/>
      <c r="O560" s="544"/>
      <c r="P560" s="544"/>
      <c r="Q560" s="544"/>
      <c r="R560" s="544"/>
      <c r="S560" s="544"/>
      <c r="T560" s="544"/>
      <c r="U560" s="544"/>
      <c r="V560" s="544"/>
      <c r="W560" s="544"/>
      <c r="X560" s="544"/>
      <c r="Y560" s="544"/>
      <c r="Z560" s="544"/>
      <c r="AA560" s="544"/>
      <c r="AB560" s="544"/>
    </row>
    <row r="561" spans="1:28" x14ac:dyDescent="0.2">
      <c r="A561" s="544"/>
      <c r="B561" s="544"/>
      <c r="C561" s="544"/>
      <c r="D561" s="544"/>
      <c r="E561" s="544"/>
      <c r="F561" s="569"/>
      <c r="G561" s="544"/>
      <c r="H561" s="544"/>
      <c r="I561" s="544"/>
      <c r="J561" s="544"/>
      <c r="K561" s="569"/>
      <c r="L561" s="544"/>
      <c r="M561" s="544"/>
      <c r="N561" s="544"/>
      <c r="O561" s="544"/>
      <c r="P561" s="544"/>
      <c r="Q561" s="544"/>
      <c r="R561" s="544"/>
      <c r="S561" s="544"/>
      <c r="T561" s="544"/>
      <c r="U561" s="544"/>
      <c r="V561" s="544"/>
      <c r="W561" s="544"/>
      <c r="X561" s="544"/>
      <c r="Y561" s="544"/>
      <c r="Z561" s="544"/>
      <c r="AA561" s="544"/>
      <c r="AB561" s="544"/>
    </row>
    <row r="562" spans="1:28" x14ac:dyDescent="0.2">
      <c r="A562" s="544"/>
      <c r="B562" s="544"/>
      <c r="C562" s="544"/>
      <c r="D562" s="544"/>
      <c r="E562" s="544"/>
      <c r="F562" s="569"/>
      <c r="G562" s="544"/>
      <c r="H562" s="544"/>
      <c r="I562" s="544"/>
      <c r="J562" s="544"/>
      <c r="K562" s="569"/>
      <c r="L562" s="544"/>
      <c r="M562" s="544"/>
      <c r="N562" s="544"/>
      <c r="O562" s="544"/>
      <c r="P562" s="544"/>
      <c r="Q562" s="544"/>
      <c r="R562" s="544"/>
      <c r="S562" s="544"/>
      <c r="T562" s="544"/>
      <c r="U562" s="544"/>
      <c r="V562" s="544"/>
      <c r="W562" s="544"/>
      <c r="X562" s="544"/>
      <c r="Y562" s="544"/>
      <c r="Z562" s="544"/>
      <c r="AA562" s="544"/>
      <c r="AB562" s="544"/>
    </row>
    <row r="563" spans="1:28" x14ac:dyDescent="0.2">
      <c r="A563" s="544"/>
      <c r="B563" s="544"/>
      <c r="C563" s="544"/>
      <c r="D563" s="544"/>
      <c r="E563" s="544"/>
      <c r="F563" s="569"/>
      <c r="G563" s="544"/>
      <c r="H563" s="544"/>
      <c r="I563" s="544"/>
      <c r="J563" s="544"/>
      <c r="K563" s="569"/>
      <c r="L563" s="544"/>
      <c r="M563" s="544"/>
      <c r="N563" s="544"/>
      <c r="O563" s="544"/>
      <c r="P563" s="544"/>
      <c r="Q563" s="544"/>
      <c r="R563" s="544"/>
      <c r="S563" s="544"/>
      <c r="T563" s="544"/>
      <c r="U563" s="544"/>
      <c r="V563" s="544"/>
      <c r="W563" s="544"/>
      <c r="X563" s="544"/>
      <c r="Y563" s="544"/>
      <c r="Z563" s="544"/>
      <c r="AA563" s="544"/>
      <c r="AB563" s="544"/>
    </row>
    <row r="564" spans="1:28" x14ac:dyDescent="0.2">
      <c r="A564" s="544"/>
      <c r="B564" s="544"/>
      <c r="C564" s="544"/>
      <c r="D564" s="544"/>
      <c r="E564" s="544"/>
      <c r="F564" s="569"/>
      <c r="G564" s="544"/>
      <c r="H564" s="544"/>
      <c r="I564" s="544"/>
      <c r="J564" s="544"/>
      <c r="K564" s="569"/>
      <c r="L564" s="544"/>
      <c r="M564" s="544"/>
      <c r="N564" s="544"/>
      <c r="O564" s="544"/>
      <c r="P564" s="544"/>
      <c r="Q564" s="544"/>
      <c r="R564" s="544"/>
      <c r="S564" s="544"/>
      <c r="T564" s="544"/>
      <c r="U564" s="544"/>
      <c r="V564" s="544"/>
      <c r="W564" s="544"/>
      <c r="X564" s="544"/>
      <c r="Y564" s="544"/>
      <c r="Z564" s="544"/>
      <c r="AA564" s="544"/>
      <c r="AB564" s="544"/>
    </row>
    <row r="565" spans="1:28" x14ac:dyDescent="0.2">
      <c r="A565" s="544"/>
      <c r="B565" s="544"/>
      <c r="C565" s="544"/>
      <c r="D565" s="544"/>
      <c r="E565" s="544"/>
      <c r="F565" s="569"/>
      <c r="G565" s="544"/>
      <c r="H565" s="544"/>
      <c r="I565" s="544"/>
      <c r="J565" s="544"/>
      <c r="K565" s="569"/>
      <c r="L565" s="544"/>
      <c r="M565" s="544"/>
      <c r="N565" s="544"/>
      <c r="O565" s="544"/>
      <c r="P565" s="544"/>
      <c r="Q565" s="544"/>
      <c r="R565" s="544"/>
      <c r="S565" s="544"/>
      <c r="T565" s="544"/>
      <c r="U565" s="544"/>
      <c r="V565" s="544"/>
      <c r="W565" s="544"/>
      <c r="X565" s="544"/>
      <c r="Y565" s="544"/>
      <c r="Z565" s="544"/>
      <c r="AA565" s="544"/>
      <c r="AB565" s="544"/>
    </row>
    <row r="566" spans="1:28" x14ac:dyDescent="0.2">
      <c r="A566" s="544"/>
      <c r="B566" s="544"/>
      <c r="C566" s="544"/>
      <c r="D566" s="544"/>
      <c r="E566" s="544"/>
      <c r="F566" s="569"/>
      <c r="G566" s="544"/>
      <c r="H566" s="544"/>
      <c r="I566" s="544"/>
      <c r="J566" s="544"/>
      <c r="K566" s="569"/>
      <c r="L566" s="544"/>
      <c r="M566" s="544"/>
      <c r="N566" s="544"/>
      <c r="O566" s="544"/>
      <c r="P566" s="544"/>
      <c r="Q566" s="544"/>
      <c r="R566" s="544"/>
      <c r="S566" s="544"/>
      <c r="T566" s="544"/>
      <c r="U566" s="544"/>
      <c r="V566" s="544"/>
      <c r="W566" s="544"/>
      <c r="X566" s="544"/>
      <c r="Y566" s="544"/>
      <c r="Z566" s="544"/>
      <c r="AA566" s="544"/>
      <c r="AB566" s="544"/>
    </row>
    <row r="567" spans="1:28" x14ac:dyDescent="0.2">
      <c r="A567" s="544"/>
      <c r="B567" s="544"/>
      <c r="C567" s="544"/>
      <c r="D567" s="544"/>
      <c r="E567" s="544"/>
      <c r="F567" s="569"/>
      <c r="G567" s="544"/>
      <c r="H567" s="544"/>
      <c r="I567" s="544"/>
      <c r="J567" s="544"/>
      <c r="K567" s="569"/>
      <c r="L567" s="544"/>
      <c r="M567" s="544"/>
      <c r="N567" s="544"/>
      <c r="O567" s="544"/>
      <c r="P567" s="544"/>
      <c r="Q567" s="544"/>
      <c r="R567" s="544"/>
      <c r="S567" s="544"/>
      <c r="T567" s="544"/>
      <c r="U567" s="544"/>
      <c r="V567" s="544"/>
      <c r="W567" s="544"/>
      <c r="X567" s="544"/>
      <c r="Y567" s="544"/>
      <c r="Z567" s="544"/>
      <c r="AA567" s="544"/>
      <c r="AB567" s="544"/>
    </row>
    <row r="568" spans="1:28" x14ac:dyDescent="0.2">
      <c r="A568" s="544"/>
      <c r="B568" s="544"/>
      <c r="C568" s="544"/>
      <c r="D568" s="544"/>
      <c r="E568" s="544"/>
      <c r="F568" s="569"/>
      <c r="G568" s="544"/>
      <c r="H568" s="544"/>
      <c r="I568" s="544"/>
      <c r="J568" s="544"/>
      <c r="K568" s="569"/>
      <c r="L568" s="544"/>
      <c r="M568" s="544"/>
      <c r="N568" s="544"/>
      <c r="O568" s="544"/>
      <c r="P568" s="544"/>
      <c r="Q568" s="544"/>
      <c r="R568" s="544"/>
      <c r="S568" s="544"/>
      <c r="T568" s="544"/>
      <c r="U568" s="544"/>
      <c r="V568" s="544"/>
      <c r="W568" s="544"/>
      <c r="X568" s="544"/>
      <c r="Y568" s="544"/>
      <c r="Z568" s="544"/>
      <c r="AA568" s="544"/>
      <c r="AB568" s="544"/>
    </row>
    <row r="569" spans="1:28" x14ac:dyDescent="0.2">
      <c r="A569" s="544"/>
      <c r="B569" s="544"/>
      <c r="C569" s="544"/>
      <c r="D569" s="544"/>
      <c r="E569" s="544"/>
      <c r="F569" s="569"/>
      <c r="G569" s="544"/>
      <c r="H569" s="544"/>
      <c r="I569" s="544"/>
      <c r="J569" s="544"/>
      <c r="K569" s="569"/>
      <c r="L569" s="544"/>
      <c r="M569" s="544"/>
      <c r="N569" s="544"/>
      <c r="O569" s="544"/>
      <c r="P569" s="544"/>
      <c r="Q569" s="544"/>
      <c r="R569" s="544"/>
      <c r="S569" s="544"/>
      <c r="T569" s="544"/>
      <c r="U569" s="544"/>
      <c r="V569" s="544"/>
      <c r="W569" s="544"/>
      <c r="X569" s="544"/>
      <c r="Y569" s="544"/>
      <c r="Z569" s="544"/>
      <c r="AA569" s="544"/>
      <c r="AB569" s="544"/>
    </row>
    <row r="570" spans="1:28" x14ac:dyDescent="0.2">
      <c r="A570" s="544"/>
      <c r="B570" s="544"/>
      <c r="C570" s="544"/>
      <c r="D570" s="544"/>
      <c r="E570" s="544"/>
      <c r="F570" s="569"/>
      <c r="G570" s="544"/>
      <c r="H570" s="544"/>
      <c r="I570" s="544"/>
      <c r="J570" s="544"/>
      <c r="K570" s="569"/>
      <c r="L570" s="544"/>
      <c r="M570" s="544"/>
      <c r="N570" s="544"/>
      <c r="O570" s="544"/>
      <c r="P570" s="544"/>
      <c r="Q570" s="544"/>
      <c r="R570" s="544"/>
      <c r="S570" s="544"/>
      <c r="T570" s="544"/>
      <c r="U570" s="544"/>
      <c r="V570" s="544"/>
      <c r="W570" s="544"/>
      <c r="X570" s="544"/>
      <c r="Y570" s="544"/>
      <c r="Z570" s="544"/>
      <c r="AA570" s="544"/>
      <c r="AB570" s="544"/>
    </row>
    <row r="571" spans="1:28" x14ac:dyDescent="0.2">
      <c r="A571" s="544"/>
      <c r="B571" s="544"/>
      <c r="C571" s="544"/>
      <c r="D571" s="544"/>
      <c r="E571" s="544"/>
      <c r="F571" s="569"/>
      <c r="G571" s="544"/>
      <c r="H571" s="544"/>
      <c r="I571" s="544"/>
      <c r="J571" s="544"/>
      <c r="K571" s="569"/>
      <c r="L571" s="544"/>
      <c r="M571" s="544"/>
      <c r="N571" s="544"/>
      <c r="O571" s="544"/>
      <c r="P571" s="544"/>
      <c r="Q571" s="544"/>
      <c r="R571" s="544"/>
      <c r="S571" s="544"/>
      <c r="T571" s="544"/>
      <c r="U571" s="544"/>
      <c r="V571" s="544"/>
      <c r="W571" s="544"/>
      <c r="X571" s="544"/>
      <c r="Y571" s="544"/>
      <c r="Z571" s="544"/>
      <c r="AA571" s="544"/>
      <c r="AB571" s="544"/>
    </row>
    <row r="572" spans="1:28" x14ac:dyDescent="0.2">
      <c r="A572" s="544"/>
      <c r="B572" s="544"/>
      <c r="C572" s="544"/>
      <c r="D572" s="544"/>
      <c r="E572" s="544"/>
      <c r="F572" s="569"/>
      <c r="G572" s="544"/>
      <c r="H572" s="544"/>
      <c r="I572" s="544"/>
      <c r="J572" s="544"/>
      <c r="K572" s="569"/>
      <c r="L572" s="544"/>
      <c r="M572" s="544"/>
      <c r="N572" s="544"/>
      <c r="O572" s="544"/>
      <c r="P572" s="544"/>
      <c r="Q572" s="544"/>
      <c r="R572" s="544"/>
      <c r="S572" s="544"/>
      <c r="T572" s="544"/>
      <c r="U572" s="544"/>
      <c r="V572" s="544"/>
      <c r="W572" s="544"/>
      <c r="X572" s="544"/>
      <c r="Y572" s="544"/>
      <c r="Z572" s="544"/>
      <c r="AA572" s="544"/>
      <c r="AB572" s="544"/>
    </row>
    <row r="573" spans="1:28" x14ac:dyDescent="0.2">
      <c r="A573" s="544"/>
      <c r="B573" s="544"/>
      <c r="C573" s="544"/>
      <c r="D573" s="544"/>
      <c r="E573" s="544"/>
      <c r="F573" s="569"/>
      <c r="G573" s="544"/>
      <c r="H573" s="544"/>
      <c r="I573" s="544"/>
      <c r="J573" s="544"/>
      <c r="K573" s="569"/>
      <c r="L573" s="544"/>
      <c r="M573" s="544"/>
      <c r="N573" s="544"/>
      <c r="O573" s="544"/>
      <c r="P573" s="544"/>
      <c r="Q573" s="544"/>
      <c r="R573" s="544"/>
      <c r="S573" s="544"/>
      <c r="T573" s="544"/>
      <c r="U573" s="544"/>
      <c r="V573" s="544"/>
      <c r="W573" s="544"/>
      <c r="X573" s="544"/>
      <c r="Y573" s="544"/>
      <c r="Z573" s="544"/>
      <c r="AA573" s="544"/>
      <c r="AB573" s="544"/>
    </row>
    <row r="574" spans="1:28" x14ac:dyDescent="0.2">
      <c r="A574" s="544"/>
      <c r="B574" s="544"/>
      <c r="C574" s="544"/>
      <c r="D574" s="544"/>
      <c r="E574" s="544"/>
      <c r="F574" s="569"/>
      <c r="G574" s="544"/>
      <c r="H574" s="544"/>
      <c r="I574" s="544"/>
      <c r="J574" s="544"/>
      <c r="K574" s="569"/>
      <c r="L574" s="544"/>
      <c r="M574" s="544"/>
      <c r="N574" s="544"/>
      <c r="O574" s="544"/>
      <c r="P574" s="544"/>
      <c r="Q574" s="544"/>
      <c r="R574" s="544"/>
      <c r="S574" s="544"/>
      <c r="T574" s="544"/>
      <c r="U574" s="544"/>
      <c r="V574" s="544"/>
      <c r="W574" s="544"/>
      <c r="X574" s="544"/>
      <c r="Y574" s="544"/>
      <c r="Z574" s="544"/>
      <c r="AA574" s="544"/>
      <c r="AB574" s="544"/>
    </row>
    <row r="575" spans="1:28" x14ac:dyDescent="0.2">
      <c r="A575" s="544"/>
      <c r="B575" s="544"/>
      <c r="C575" s="544"/>
      <c r="D575" s="544"/>
      <c r="E575" s="544"/>
      <c r="F575" s="569"/>
      <c r="G575" s="544"/>
      <c r="H575" s="544"/>
      <c r="I575" s="544"/>
      <c r="J575" s="544"/>
      <c r="K575" s="569"/>
      <c r="L575" s="544"/>
      <c r="M575" s="544"/>
      <c r="N575" s="544"/>
      <c r="O575" s="544"/>
      <c r="P575" s="544"/>
      <c r="Q575" s="544"/>
      <c r="R575" s="544"/>
      <c r="S575" s="544"/>
      <c r="T575" s="544"/>
      <c r="U575" s="544"/>
      <c r="V575" s="544"/>
      <c r="W575" s="544"/>
      <c r="X575" s="544"/>
      <c r="Y575" s="544"/>
      <c r="Z575" s="544"/>
      <c r="AA575" s="544"/>
      <c r="AB575" s="544"/>
    </row>
    <row r="576" spans="1:28" x14ac:dyDescent="0.2">
      <c r="A576" s="544"/>
      <c r="B576" s="544"/>
      <c r="C576" s="544"/>
      <c r="D576" s="544"/>
      <c r="E576" s="544"/>
      <c r="F576" s="569"/>
      <c r="G576" s="544"/>
      <c r="H576" s="544"/>
      <c r="I576" s="544"/>
      <c r="J576" s="544"/>
      <c r="K576" s="569"/>
      <c r="L576" s="544"/>
      <c r="M576" s="544"/>
      <c r="N576" s="544"/>
      <c r="O576" s="544"/>
      <c r="P576" s="544"/>
      <c r="Q576" s="544"/>
      <c r="R576" s="544"/>
      <c r="S576" s="544"/>
      <c r="T576" s="544"/>
      <c r="U576" s="544"/>
      <c r="V576" s="544"/>
      <c r="W576" s="544"/>
      <c r="X576" s="544"/>
      <c r="Y576" s="544"/>
      <c r="Z576" s="544"/>
      <c r="AA576" s="544"/>
      <c r="AB576" s="544"/>
    </row>
    <row r="577" spans="1:28" x14ac:dyDescent="0.2">
      <c r="A577" s="544"/>
      <c r="B577" s="544"/>
      <c r="C577" s="544"/>
      <c r="D577" s="544"/>
      <c r="E577" s="544"/>
      <c r="F577" s="569"/>
      <c r="G577" s="544"/>
      <c r="H577" s="544"/>
      <c r="I577" s="544"/>
      <c r="J577" s="544"/>
      <c r="K577" s="569"/>
      <c r="L577" s="544"/>
      <c r="M577" s="544"/>
      <c r="N577" s="544"/>
      <c r="O577" s="544"/>
      <c r="P577" s="544"/>
      <c r="Q577" s="544"/>
      <c r="R577" s="544"/>
      <c r="S577" s="544"/>
      <c r="T577" s="544"/>
      <c r="U577" s="544"/>
      <c r="V577" s="544"/>
      <c r="W577" s="544"/>
      <c r="X577" s="544"/>
      <c r="Y577" s="544"/>
      <c r="Z577" s="544"/>
      <c r="AA577" s="544"/>
      <c r="AB577" s="544"/>
    </row>
    <row r="578" spans="1:28" x14ac:dyDescent="0.2">
      <c r="A578" s="544"/>
      <c r="B578" s="544"/>
      <c r="C578" s="544"/>
      <c r="D578" s="544"/>
      <c r="E578" s="544"/>
      <c r="F578" s="569"/>
      <c r="G578" s="544"/>
      <c r="H578" s="544"/>
      <c r="I578" s="544"/>
      <c r="J578" s="544"/>
      <c r="K578" s="569"/>
      <c r="L578" s="544"/>
      <c r="M578" s="544"/>
      <c r="N578" s="544"/>
      <c r="O578" s="544"/>
      <c r="P578" s="544"/>
      <c r="Q578" s="544"/>
      <c r="R578" s="544"/>
      <c r="S578" s="544"/>
      <c r="T578" s="544"/>
      <c r="U578" s="544"/>
      <c r="V578" s="544"/>
      <c r="W578" s="544"/>
      <c r="X578" s="544"/>
      <c r="Y578" s="544"/>
      <c r="Z578" s="544"/>
      <c r="AA578" s="544"/>
      <c r="AB578" s="544"/>
    </row>
    <row r="579" spans="1:28" x14ac:dyDescent="0.2">
      <c r="A579" s="544"/>
      <c r="B579" s="544"/>
      <c r="C579" s="544"/>
      <c r="D579" s="544"/>
      <c r="E579" s="544"/>
      <c r="F579" s="569"/>
      <c r="G579" s="544"/>
      <c r="H579" s="544"/>
      <c r="I579" s="544"/>
      <c r="J579" s="544"/>
      <c r="K579" s="569"/>
      <c r="L579" s="544"/>
      <c r="M579" s="544"/>
      <c r="N579" s="544"/>
      <c r="O579" s="544"/>
      <c r="P579" s="544"/>
      <c r="Q579" s="544"/>
      <c r="R579" s="544"/>
      <c r="S579" s="544"/>
      <c r="T579" s="544"/>
      <c r="U579" s="544"/>
      <c r="V579" s="544"/>
      <c r="W579" s="544"/>
      <c r="X579" s="544"/>
      <c r="Y579" s="544"/>
      <c r="Z579" s="544"/>
      <c r="AA579" s="544"/>
      <c r="AB579" s="544"/>
    </row>
    <row r="580" spans="1:28" x14ac:dyDescent="0.2">
      <c r="A580" s="544"/>
      <c r="B580" s="544"/>
      <c r="C580" s="544"/>
      <c r="D580" s="544"/>
      <c r="E580" s="544"/>
      <c r="F580" s="569"/>
      <c r="G580" s="544"/>
      <c r="H580" s="544"/>
      <c r="I580" s="544"/>
      <c r="J580" s="544"/>
      <c r="K580" s="569"/>
      <c r="L580" s="544"/>
      <c r="M580" s="544"/>
      <c r="N580" s="544"/>
      <c r="O580" s="544"/>
      <c r="P580" s="544"/>
      <c r="Q580" s="544"/>
      <c r="R580" s="544"/>
      <c r="S580" s="544"/>
      <c r="T580" s="544"/>
      <c r="U580" s="544"/>
      <c r="V580" s="544"/>
      <c r="W580" s="544"/>
      <c r="X580" s="544"/>
      <c r="Y580" s="544"/>
      <c r="Z580" s="544"/>
      <c r="AA580" s="544"/>
      <c r="AB580" s="544"/>
    </row>
    <row r="581" spans="1:28" x14ac:dyDescent="0.2">
      <c r="A581" s="544"/>
      <c r="B581" s="544"/>
      <c r="C581" s="544"/>
      <c r="D581" s="544"/>
      <c r="E581" s="544"/>
      <c r="F581" s="569"/>
      <c r="G581" s="544"/>
      <c r="H581" s="544"/>
      <c r="I581" s="544"/>
      <c r="J581" s="544"/>
      <c r="K581" s="569"/>
      <c r="L581" s="544"/>
      <c r="M581" s="544"/>
      <c r="N581" s="544"/>
      <c r="O581" s="544"/>
      <c r="P581" s="544"/>
      <c r="Q581" s="544"/>
      <c r="R581" s="544"/>
      <c r="S581" s="544"/>
      <c r="T581" s="544"/>
      <c r="U581" s="544"/>
      <c r="V581" s="544"/>
      <c r="W581" s="544"/>
      <c r="X581" s="544"/>
      <c r="Y581" s="544"/>
      <c r="Z581" s="544"/>
      <c r="AA581" s="544"/>
      <c r="AB581" s="544"/>
    </row>
    <row r="582" spans="1:28" x14ac:dyDescent="0.2">
      <c r="A582" s="544"/>
      <c r="B582" s="544"/>
      <c r="C582" s="544"/>
      <c r="D582" s="544"/>
      <c r="E582" s="544"/>
      <c r="F582" s="569"/>
      <c r="G582" s="544"/>
      <c r="H582" s="544"/>
      <c r="I582" s="544"/>
      <c r="J582" s="544"/>
      <c r="K582" s="569"/>
      <c r="L582" s="544"/>
      <c r="M582" s="544"/>
      <c r="N582" s="544"/>
      <c r="O582" s="544"/>
      <c r="P582" s="544"/>
      <c r="Q582" s="544"/>
      <c r="R582" s="544"/>
      <c r="S582" s="544"/>
      <c r="T582" s="544"/>
      <c r="U582" s="544"/>
      <c r="V582" s="544"/>
      <c r="W582" s="544"/>
      <c r="X582" s="544"/>
      <c r="Y582" s="544"/>
      <c r="Z582" s="544"/>
      <c r="AA582" s="544"/>
      <c r="AB582" s="544"/>
    </row>
    <row r="583" spans="1:28" x14ac:dyDescent="0.2">
      <c r="A583" s="544"/>
      <c r="B583" s="544"/>
      <c r="C583" s="544"/>
      <c r="D583" s="544"/>
      <c r="E583" s="544"/>
      <c r="F583" s="569"/>
      <c r="G583" s="544"/>
      <c r="H583" s="544"/>
      <c r="I583" s="544"/>
      <c r="J583" s="544"/>
      <c r="K583" s="569"/>
      <c r="L583" s="544"/>
      <c r="M583" s="544"/>
      <c r="N583" s="544"/>
      <c r="O583" s="544"/>
      <c r="P583" s="544"/>
      <c r="Q583" s="544"/>
      <c r="R583" s="544"/>
      <c r="S583" s="544"/>
      <c r="T583" s="544"/>
      <c r="U583" s="544"/>
      <c r="V583" s="544"/>
      <c r="W583" s="544"/>
      <c r="X583" s="544"/>
      <c r="Y583" s="544"/>
      <c r="Z583" s="544"/>
      <c r="AA583" s="544"/>
      <c r="AB583" s="544"/>
    </row>
    <row r="584" spans="1:28" x14ac:dyDescent="0.2">
      <c r="A584" s="544"/>
      <c r="B584" s="544"/>
      <c r="C584" s="544"/>
      <c r="D584" s="544"/>
      <c r="E584" s="544"/>
      <c r="F584" s="569"/>
      <c r="G584" s="544"/>
      <c r="H584" s="544"/>
      <c r="I584" s="544"/>
      <c r="J584" s="544"/>
      <c r="K584" s="569"/>
      <c r="L584" s="544"/>
      <c r="M584" s="544"/>
      <c r="N584" s="544"/>
      <c r="O584" s="544"/>
      <c r="P584" s="544"/>
      <c r="Q584" s="544"/>
      <c r="R584" s="544"/>
      <c r="S584" s="544"/>
      <c r="T584" s="544"/>
      <c r="U584" s="544"/>
      <c r="V584" s="544"/>
      <c r="W584" s="544"/>
      <c r="X584" s="544"/>
      <c r="Y584" s="544"/>
      <c r="Z584" s="544"/>
      <c r="AA584" s="544"/>
      <c r="AB584" s="544"/>
    </row>
    <row r="585" spans="1:28" x14ac:dyDescent="0.2">
      <c r="A585" s="544"/>
      <c r="B585" s="544"/>
      <c r="C585" s="544"/>
      <c r="D585" s="544"/>
      <c r="E585" s="544"/>
      <c r="F585" s="569"/>
      <c r="G585" s="544"/>
      <c r="H585" s="544"/>
      <c r="I585" s="544"/>
      <c r="J585" s="544"/>
      <c r="K585" s="569"/>
      <c r="L585" s="544"/>
      <c r="M585" s="544"/>
      <c r="N585" s="544"/>
      <c r="O585" s="544"/>
      <c r="P585" s="544"/>
      <c r="Q585" s="544"/>
      <c r="R585" s="544"/>
      <c r="S585" s="544"/>
      <c r="T585" s="544"/>
      <c r="U585" s="544"/>
      <c r="V585" s="544"/>
      <c r="W585" s="544"/>
      <c r="X585" s="544"/>
      <c r="Y585" s="544"/>
      <c r="Z585" s="544"/>
      <c r="AA585" s="544"/>
      <c r="AB585" s="544"/>
    </row>
    <row r="586" spans="1:28" x14ac:dyDescent="0.2">
      <c r="A586" s="544"/>
      <c r="B586" s="544"/>
      <c r="C586" s="544"/>
      <c r="D586" s="544"/>
      <c r="E586" s="544"/>
      <c r="F586" s="569"/>
      <c r="G586" s="544"/>
      <c r="H586" s="544"/>
      <c r="I586" s="544"/>
      <c r="J586" s="544"/>
      <c r="K586" s="569"/>
      <c r="L586" s="544"/>
      <c r="M586" s="544"/>
      <c r="N586" s="544"/>
      <c r="O586" s="544"/>
      <c r="P586" s="544"/>
      <c r="Q586" s="544"/>
      <c r="R586" s="544"/>
      <c r="S586" s="544"/>
      <c r="T586" s="544"/>
      <c r="U586" s="544"/>
      <c r="V586" s="544"/>
      <c r="W586" s="544"/>
      <c r="X586" s="544"/>
      <c r="Y586" s="544"/>
      <c r="Z586" s="544"/>
      <c r="AA586" s="544"/>
      <c r="AB586" s="544"/>
    </row>
    <row r="587" spans="1:28" x14ac:dyDescent="0.2">
      <c r="A587" s="544"/>
      <c r="B587" s="544"/>
      <c r="C587" s="544"/>
      <c r="D587" s="544"/>
      <c r="E587" s="544"/>
      <c r="F587" s="569"/>
      <c r="G587" s="544"/>
      <c r="H587" s="544"/>
      <c r="I587" s="544"/>
      <c r="J587" s="544"/>
      <c r="K587" s="569"/>
      <c r="L587" s="544"/>
      <c r="M587" s="544"/>
      <c r="N587" s="544"/>
      <c r="O587" s="544"/>
      <c r="P587" s="544"/>
      <c r="Q587" s="544"/>
      <c r="R587" s="544"/>
      <c r="S587" s="544"/>
      <c r="T587" s="544"/>
      <c r="U587" s="544"/>
      <c r="V587" s="544"/>
      <c r="W587" s="544"/>
      <c r="X587" s="544"/>
      <c r="Y587" s="544"/>
      <c r="Z587" s="544"/>
      <c r="AA587" s="544"/>
      <c r="AB587" s="544"/>
    </row>
    <row r="588" spans="1:28" x14ac:dyDescent="0.2">
      <c r="A588" s="544"/>
      <c r="B588" s="544"/>
      <c r="C588" s="544"/>
      <c r="D588" s="544"/>
      <c r="E588" s="544"/>
      <c r="F588" s="569"/>
      <c r="G588" s="544"/>
      <c r="H588" s="544"/>
      <c r="I588" s="544"/>
      <c r="J588" s="544"/>
      <c r="K588" s="569"/>
      <c r="L588" s="544"/>
      <c r="M588" s="544"/>
      <c r="N588" s="544"/>
      <c r="O588" s="544"/>
      <c r="P588" s="544"/>
      <c r="Q588" s="544"/>
      <c r="R588" s="544"/>
      <c r="S588" s="544"/>
      <c r="T588" s="544"/>
      <c r="U588" s="544"/>
      <c r="V588" s="544"/>
      <c r="W588" s="544"/>
      <c r="X588" s="544"/>
      <c r="Y588" s="544"/>
      <c r="Z588" s="544"/>
      <c r="AA588" s="544"/>
      <c r="AB588" s="544"/>
    </row>
    <row r="589" spans="1:28" x14ac:dyDescent="0.2">
      <c r="A589" s="544"/>
      <c r="B589" s="544"/>
      <c r="C589" s="544"/>
      <c r="D589" s="544"/>
      <c r="E589" s="544"/>
      <c r="F589" s="569"/>
      <c r="G589" s="544"/>
      <c r="H589" s="544"/>
      <c r="I589" s="544"/>
      <c r="J589" s="544"/>
      <c r="K589" s="569"/>
      <c r="L589" s="544"/>
      <c r="M589" s="544"/>
      <c r="N589" s="544"/>
      <c r="O589" s="544"/>
      <c r="P589" s="544"/>
      <c r="Q589" s="544"/>
      <c r="R589" s="544"/>
      <c r="S589" s="544"/>
      <c r="T589" s="544"/>
      <c r="U589" s="544"/>
      <c r="V589" s="544"/>
      <c r="W589" s="544"/>
      <c r="X589" s="544"/>
      <c r="Y589" s="544"/>
      <c r="Z589" s="544"/>
      <c r="AA589" s="544"/>
      <c r="AB589" s="544"/>
    </row>
    <row r="590" spans="1:28" x14ac:dyDescent="0.2">
      <c r="A590" s="544"/>
      <c r="B590" s="544"/>
      <c r="C590" s="544"/>
      <c r="D590" s="544"/>
      <c r="E590" s="544"/>
      <c r="F590" s="569"/>
      <c r="G590" s="544"/>
      <c r="H590" s="544"/>
      <c r="I590" s="544"/>
      <c r="J590" s="544"/>
      <c r="K590" s="569"/>
      <c r="L590" s="544"/>
      <c r="M590" s="544"/>
      <c r="N590" s="544"/>
      <c r="O590" s="544"/>
      <c r="P590" s="544"/>
      <c r="Q590" s="544"/>
      <c r="R590" s="544"/>
      <c r="S590" s="544"/>
      <c r="T590" s="544"/>
      <c r="U590" s="544"/>
      <c r="V590" s="544"/>
      <c r="W590" s="544"/>
      <c r="X590" s="544"/>
      <c r="Y590" s="544"/>
      <c r="Z590" s="544"/>
      <c r="AA590" s="544"/>
      <c r="AB590" s="544"/>
    </row>
    <row r="591" spans="1:28" x14ac:dyDescent="0.2">
      <c r="A591" s="544"/>
      <c r="B591" s="544"/>
      <c r="C591" s="544"/>
      <c r="D591" s="544"/>
      <c r="E591" s="544"/>
      <c r="F591" s="569"/>
      <c r="G591" s="544"/>
      <c r="H591" s="544"/>
      <c r="I591" s="544"/>
      <c r="J591" s="544"/>
      <c r="K591" s="569"/>
      <c r="L591" s="544"/>
      <c r="M591" s="544"/>
      <c r="N591" s="544"/>
      <c r="O591" s="544"/>
      <c r="P591" s="544"/>
      <c r="Q591" s="544"/>
      <c r="R591" s="544"/>
      <c r="S591" s="544"/>
      <c r="T591" s="544"/>
      <c r="U591" s="544"/>
      <c r="V591" s="544"/>
      <c r="W591" s="544"/>
      <c r="X591" s="544"/>
      <c r="Y591" s="544"/>
      <c r="Z591" s="544"/>
      <c r="AA591" s="544"/>
      <c r="AB591" s="544"/>
    </row>
    <row r="592" spans="1:28" x14ac:dyDescent="0.2">
      <c r="A592" s="544"/>
      <c r="B592" s="544"/>
      <c r="C592" s="544"/>
      <c r="D592" s="544"/>
      <c r="E592" s="544"/>
      <c r="F592" s="569"/>
      <c r="G592" s="544"/>
      <c r="H592" s="544"/>
      <c r="I592" s="544"/>
      <c r="J592" s="544"/>
      <c r="K592" s="569"/>
      <c r="L592" s="544"/>
      <c r="M592" s="544"/>
      <c r="N592" s="544"/>
      <c r="O592" s="544"/>
      <c r="P592" s="544"/>
      <c r="Q592" s="544"/>
      <c r="R592" s="544"/>
      <c r="S592" s="544"/>
      <c r="T592" s="544"/>
      <c r="U592" s="544"/>
      <c r="V592" s="544"/>
      <c r="W592" s="544"/>
      <c r="X592" s="544"/>
      <c r="Y592" s="544"/>
      <c r="Z592" s="544"/>
      <c r="AA592" s="544"/>
      <c r="AB592" s="544"/>
    </row>
    <row r="593" spans="1:28" x14ac:dyDescent="0.2">
      <c r="A593" s="544"/>
      <c r="B593" s="544"/>
      <c r="C593" s="544"/>
      <c r="D593" s="544"/>
      <c r="E593" s="544"/>
      <c r="F593" s="569"/>
      <c r="G593" s="544"/>
      <c r="H593" s="544"/>
      <c r="I593" s="544"/>
      <c r="J593" s="544"/>
      <c r="K593" s="569"/>
      <c r="L593" s="544"/>
      <c r="M593" s="544"/>
      <c r="N593" s="544"/>
      <c r="O593" s="544"/>
      <c r="P593" s="544"/>
      <c r="Q593" s="544"/>
      <c r="R593" s="544"/>
      <c r="S593" s="544"/>
      <c r="T593" s="544"/>
      <c r="U593" s="544"/>
      <c r="V593" s="544"/>
      <c r="W593" s="544"/>
      <c r="X593" s="544"/>
      <c r="Y593" s="544"/>
      <c r="Z593" s="544"/>
      <c r="AA593" s="544"/>
      <c r="AB593" s="544"/>
    </row>
    <row r="594" spans="1:28" x14ac:dyDescent="0.2">
      <c r="A594" s="544"/>
      <c r="B594" s="544"/>
      <c r="C594" s="544"/>
      <c r="D594" s="544"/>
      <c r="E594" s="544"/>
      <c r="F594" s="569"/>
      <c r="G594" s="544"/>
      <c r="H594" s="544"/>
      <c r="I594" s="544"/>
      <c r="J594" s="544"/>
      <c r="K594" s="569"/>
      <c r="L594" s="544"/>
      <c r="M594" s="544"/>
      <c r="N594" s="544"/>
      <c r="O594" s="544"/>
      <c r="P594" s="544"/>
      <c r="Q594" s="544"/>
      <c r="R594" s="544"/>
      <c r="S594" s="544"/>
      <c r="T594" s="544"/>
      <c r="U594" s="544"/>
      <c r="V594" s="544"/>
      <c r="W594" s="544"/>
      <c r="X594" s="544"/>
      <c r="Y594" s="544"/>
      <c r="Z594" s="544"/>
      <c r="AA594" s="544"/>
      <c r="AB594" s="544"/>
    </row>
    <row r="595" spans="1:28" x14ac:dyDescent="0.2">
      <c r="A595" s="544"/>
      <c r="B595" s="544"/>
      <c r="C595" s="544"/>
      <c r="D595" s="544"/>
      <c r="E595" s="544"/>
      <c r="F595" s="569"/>
      <c r="G595" s="544"/>
      <c r="H595" s="544"/>
      <c r="I595" s="544"/>
      <c r="J595" s="544"/>
      <c r="K595" s="569"/>
      <c r="L595" s="544"/>
      <c r="M595" s="544"/>
      <c r="N595" s="544"/>
      <c r="O595" s="544"/>
      <c r="P595" s="544"/>
      <c r="Q595" s="544"/>
      <c r="R595" s="544"/>
      <c r="S595" s="544"/>
      <c r="T595" s="544"/>
      <c r="U595" s="544"/>
      <c r="V595" s="544"/>
      <c r="W595" s="544"/>
      <c r="X595" s="544"/>
      <c r="Y595" s="544"/>
      <c r="Z595" s="544"/>
      <c r="AA595" s="544"/>
      <c r="AB595" s="544"/>
    </row>
    <row r="596" spans="1:28" x14ac:dyDescent="0.2">
      <c r="A596" s="544"/>
      <c r="B596" s="544"/>
      <c r="C596" s="544"/>
      <c r="D596" s="544"/>
      <c r="E596" s="544"/>
      <c r="F596" s="569"/>
      <c r="G596" s="544"/>
      <c r="H596" s="544"/>
      <c r="I596" s="544"/>
      <c r="J596" s="544"/>
      <c r="K596" s="569"/>
      <c r="L596" s="544"/>
      <c r="M596" s="544"/>
      <c r="N596" s="544"/>
      <c r="O596" s="544"/>
      <c r="P596" s="544"/>
      <c r="Q596" s="544"/>
      <c r="R596" s="544"/>
      <c r="S596" s="544"/>
      <c r="T596" s="544"/>
      <c r="U596" s="544"/>
      <c r="V596" s="544"/>
      <c r="W596" s="544"/>
      <c r="X596" s="544"/>
      <c r="Y596" s="544"/>
      <c r="Z596" s="544"/>
      <c r="AA596" s="544"/>
      <c r="AB596" s="544"/>
    </row>
    <row r="597" spans="1:28" x14ac:dyDescent="0.2">
      <c r="A597" s="544"/>
      <c r="B597" s="544"/>
      <c r="C597" s="544"/>
      <c r="D597" s="544"/>
      <c r="E597" s="544"/>
      <c r="F597" s="569"/>
      <c r="G597" s="544"/>
      <c r="H597" s="544"/>
      <c r="I597" s="544"/>
      <c r="J597" s="544"/>
      <c r="K597" s="569"/>
      <c r="L597" s="544"/>
      <c r="M597" s="544"/>
      <c r="N597" s="544"/>
      <c r="O597" s="544"/>
      <c r="P597" s="544"/>
      <c r="Q597" s="544"/>
      <c r="R597" s="544"/>
      <c r="S597" s="544"/>
      <c r="T597" s="544"/>
      <c r="U597" s="544"/>
      <c r="V597" s="544"/>
      <c r="W597" s="544"/>
      <c r="X597" s="544"/>
      <c r="Y597" s="544"/>
      <c r="Z597" s="544"/>
      <c r="AA597" s="544"/>
      <c r="AB597" s="544"/>
    </row>
    <row r="598" spans="1:28" x14ac:dyDescent="0.2">
      <c r="A598" s="544"/>
      <c r="B598" s="544"/>
      <c r="C598" s="544"/>
      <c r="D598" s="544"/>
      <c r="E598" s="544"/>
      <c r="F598" s="569"/>
      <c r="G598" s="544"/>
      <c r="H598" s="544"/>
      <c r="I598" s="544"/>
      <c r="J598" s="544"/>
      <c r="K598" s="569"/>
      <c r="L598" s="544"/>
      <c r="M598" s="544"/>
      <c r="N598" s="544"/>
      <c r="O598" s="544"/>
      <c r="P598" s="544"/>
      <c r="Q598" s="544"/>
      <c r="R598" s="544"/>
      <c r="S598" s="544"/>
      <c r="T598" s="544"/>
      <c r="U598" s="544"/>
      <c r="V598" s="544"/>
      <c r="W598" s="544"/>
      <c r="X598" s="544"/>
      <c r="Y598" s="544"/>
      <c r="Z598" s="544"/>
      <c r="AA598" s="544"/>
      <c r="AB598" s="544"/>
    </row>
    <row r="599" spans="1:28" x14ac:dyDescent="0.2">
      <c r="A599" s="544"/>
      <c r="B599" s="544"/>
      <c r="C599" s="544"/>
      <c r="D599" s="544"/>
      <c r="E599" s="544"/>
      <c r="F599" s="569"/>
      <c r="G599" s="544"/>
      <c r="H599" s="544"/>
      <c r="I599" s="544"/>
      <c r="J599" s="544"/>
      <c r="K599" s="569"/>
      <c r="L599" s="544"/>
      <c r="M599" s="544"/>
      <c r="N599" s="544"/>
      <c r="O599" s="544"/>
      <c r="P599" s="544"/>
      <c r="Q599" s="544"/>
      <c r="R599" s="544"/>
      <c r="S599" s="544"/>
      <c r="T599" s="544"/>
      <c r="U599" s="544"/>
      <c r="V599" s="544"/>
      <c r="W599" s="544"/>
      <c r="X599" s="544"/>
      <c r="Y599" s="544"/>
      <c r="Z599" s="544"/>
      <c r="AA599" s="544"/>
      <c r="AB599" s="544"/>
    </row>
    <row r="600" spans="1:28" x14ac:dyDescent="0.2">
      <c r="A600" s="544"/>
      <c r="B600" s="544"/>
      <c r="C600" s="544"/>
      <c r="D600" s="544"/>
      <c r="E600" s="544"/>
      <c r="F600" s="569"/>
      <c r="G600" s="544"/>
      <c r="H600" s="544"/>
      <c r="I600" s="544"/>
      <c r="J600" s="544"/>
      <c r="K600" s="569"/>
      <c r="L600" s="544"/>
      <c r="M600" s="544"/>
      <c r="N600" s="544"/>
      <c r="O600" s="544"/>
      <c r="P600" s="544"/>
      <c r="Q600" s="544"/>
      <c r="R600" s="544"/>
      <c r="S600" s="544"/>
      <c r="T600" s="544"/>
      <c r="U600" s="544"/>
      <c r="V600" s="544"/>
      <c r="W600" s="544"/>
      <c r="X600" s="544"/>
      <c r="Y600" s="544"/>
      <c r="Z600" s="544"/>
      <c r="AA600" s="544"/>
      <c r="AB600" s="544"/>
    </row>
    <row r="601" spans="1:28" x14ac:dyDescent="0.2">
      <c r="A601" s="544"/>
      <c r="B601" s="544"/>
      <c r="C601" s="544"/>
      <c r="D601" s="544"/>
      <c r="E601" s="544"/>
      <c r="F601" s="569"/>
      <c r="G601" s="544"/>
      <c r="H601" s="544"/>
      <c r="I601" s="544"/>
      <c r="J601" s="544"/>
      <c r="K601" s="569"/>
      <c r="L601" s="544"/>
      <c r="M601" s="544"/>
      <c r="N601" s="544"/>
      <c r="O601" s="544"/>
      <c r="P601" s="544"/>
      <c r="Q601" s="544"/>
      <c r="R601" s="544"/>
      <c r="S601" s="544"/>
      <c r="T601" s="544"/>
      <c r="U601" s="544"/>
      <c r="V601" s="544"/>
      <c r="W601" s="544"/>
      <c r="X601" s="544"/>
      <c r="Y601" s="544"/>
      <c r="Z601" s="544"/>
      <c r="AA601" s="544"/>
      <c r="AB601" s="544"/>
    </row>
    <row r="602" spans="1:28" x14ac:dyDescent="0.2">
      <c r="A602" s="544"/>
      <c r="B602" s="544"/>
      <c r="C602" s="544"/>
      <c r="D602" s="544"/>
      <c r="E602" s="544"/>
      <c r="F602" s="569"/>
      <c r="G602" s="544"/>
      <c r="H602" s="544"/>
      <c r="I602" s="544"/>
      <c r="J602" s="544"/>
      <c r="K602" s="569"/>
      <c r="L602" s="544"/>
      <c r="M602" s="544"/>
      <c r="N602" s="544"/>
      <c r="O602" s="544"/>
      <c r="P602" s="544"/>
      <c r="Q602" s="544"/>
      <c r="R602" s="544"/>
      <c r="S602" s="544"/>
      <c r="T602" s="544"/>
      <c r="U602" s="544"/>
      <c r="V602" s="544"/>
      <c r="W602" s="544"/>
      <c r="X602" s="544"/>
      <c r="Y602" s="544"/>
      <c r="Z602" s="544"/>
      <c r="AA602" s="544"/>
      <c r="AB602" s="544"/>
    </row>
    <row r="603" spans="1:28" x14ac:dyDescent="0.2">
      <c r="A603" s="544"/>
      <c r="B603" s="544"/>
      <c r="C603" s="544"/>
      <c r="D603" s="544"/>
      <c r="E603" s="544"/>
      <c r="F603" s="569"/>
      <c r="G603" s="544"/>
      <c r="H603" s="544"/>
      <c r="I603" s="544"/>
      <c r="J603" s="544"/>
      <c r="K603" s="569"/>
      <c r="L603" s="544"/>
      <c r="M603" s="544"/>
      <c r="N603" s="544"/>
      <c r="O603" s="544"/>
      <c r="P603" s="544"/>
      <c r="Q603" s="544"/>
      <c r="R603" s="544"/>
      <c r="S603" s="544"/>
      <c r="T603" s="544"/>
      <c r="U603" s="544"/>
      <c r="V603" s="544"/>
      <c r="W603" s="544"/>
      <c r="X603" s="544"/>
      <c r="Y603" s="544"/>
      <c r="Z603" s="544"/>
      <c r="AA603" s="544"/>
      <c r="AB603" s="544"/>
    </row>
    <row r="604" spans="1:28" x14ac:dyDescent="0.2">
      <c r="A604" s="544"/>
      <c r="B604" s="544"/>
      <c r="C604" s="544"/>
      <c r="D604" s="544"/>
      <c r="E604" s="544"/>
      <c r="F604" s="569"/>
      <c r="G604" s="544"/>
      <c r="H604" s="544"/>
      <c r="I604" s="544"/>
      <c r="J604" s="544"/>
      <c r="K604" s="569"/>
      <c r="L604" s="544"/>
      <c r="M604" s="544"/>
      <c r="N604" s="544"/>
      <c r="O604" s="544"/>
      <c r="P604" s="544"/>
      <c r="Q604" s="544"/>
      <c r="R604" s="544"/>
      <c r="S604" s="544"/>
      <c r="T604" s="544"/>
      <c r="U604" s="544"/>
      <c r="V604" s="544"/>
      <c r="W604" s="544"/>
      <c r="X604" s="544"/>
      <c r="Y604" s="544"/>
      <c r="Z604" s="544"/>
      <c r="AA604" s="544"/>
      <c r="AB604" s="544"/>
    </row>
    <row r="605" spans="1:28" x14ac:dyDescent="0.2">
      <c r="A605" s="544"/>
      <c r="B605" s="544"/>
      <c r="C605" s="544"/>
      <c r="D605" s="544"/>
      <c r="E605" s="544"/>
      <c r="F605" s="569"/>
      <c r="G605" s="544"/>
      <c r="H605" s="544"/>
      <c r="I605" s="544"/>
      <c r="J605" s="544"/>
      <c r="K605" s="569"/>
      <c r="L605" s="544"/>
      <c r="M605" s="544"/>
      <c r="N605" s="544"/>
      <c r="O605" s="544"/>
      <c r="P605" s="544"/>
      <c r="Q605" s="544"/>
      <c r="R605" s="544"/>
      <c r="S605" s="544"/>
      <c r="T605" s="544"/>
      <c r="U605" s="544"/>
      <c r="V605" s="544"/>
      <c r="W605" s="544"/>
      <c r="X605" s="544"/>
      <c r="Y605" s="544"/>
      <c r="Z605" s="544"/>
      <c r="AA605" s="544"/>
      <c r="AB605" s="544"/>
    </row>
    <row r="606" spans="1:28" x14ac:dyDescent="0.2">
      <c r="A606" s="544"/>
      <c r="B606" s="544"/>
      <c r="C606" s="544"/>
      <c r="D606" s="544"/>
      <c r="E606" s="544"/>
      <c r="F606" s="569"/>
      <c r="G606" s="544"/>
      <c r="H606" s="544"/>
      <c r="I606" s="544"/>
      <c r="J606" s="544"/>
      <c r="K606" s="569"/>
      <c r="L606" s="544"/>
      <c r="M606" s="544"/>
      <c r="N606" s="544"/>
      <c r="O606" s="544"/>
      <c r="P606" s="544"/>
      <c r="Q606" s="544"/>
      <c r="R606" s="544"/>
      <c r="S606" s="544"/>
      <c r="T606" s="544"/>
      <c r="U606" s="544"/>
      <c r="V606" s="544"/>
      <c r="W606" s="544"/>
      <c r="X606" s="544"/>
      <c r="Y606" s="544"/>
      <c r="Z606" s="544"/>
      <c r="AA606" s="544"/>
      <c r="AB606" s="544"/>
    </row>
    <row r="607" spans="1:28" x14ac:dyDescent="0.2">
      <c r="A607" s="544"/>
      <c r="B607" s="544"/>
      <c r="C607" s="544"/>
      <c r="D607" s="544"/>
      <c r="E607" s="544"/>
      <c r="F607" s="569"/>
      <c r="G607" s="544"/>
      <c r="H607" s="544"/>
      <c r="I607" s="544"/>
      <c r="J607" s="544"/>
      <c r="K607" s="569"/>
      <c r="L607" s="544"/>
      <c r="M607" s="544"/>
      <c r="N607" s="544"/>
      <c r="O607" s="544"/>
      <c r="P607" s="544"/>
      <c r="Q607" s="544"/>
      <c r="R607" s="544"/>
      <c r="S607" s="544"/>
      <c r="T607" s="544"/>
      <c r="U607" s="544"/>
      <c r="V607" s="544"/>
      <c r="W607" s="544"/>
      <c r="X607" s="544"/>
      <c r="Y607" s="544"/>
      <c r="Z607" s="544"/>
      <c r="AA607" s="544"/>
      <c r="AB607" s="544"/>
    </row>
    <row r="608" spans="1:28" x14ac:dyDescent="0.2">
      <c r="A608" s="544"/>
      <c r="B608" s="544"/>
      <c r="C608" s="544"/>
      <c r="D608" s="544"/>
      <c r="E608" s="544"/>
      <c r="F608" s="569"/>
      <c r="G608" s="544"/>
      <c r="H608" s="544"/>
      <c r="I608" s="544"/>
      <c r="J608" s="544"/>
      <c r="K608" s="569"/>
      <c r="L608" s="544"/>
      <c r="M608" s="544"/>
      <c r="N608" s="544"/>
      <c r="O608" s="544"/>
      <c r="P608" s="544"/>
      <c r="Q608" s="544"/>
      <c r="R608" s="544"/>
      <c r="S608" s="544"/>
      <c r="T608" s="544"/>
      <c r="U608" s="544"/>
      <c r="V608" s="544"/>
      <c r="W608" s="544"/>
      <c r="X608" s="544"/>
      <c r="Y608" s="544"/>
      <c r="Z608" s="544"/>
      <c r="AA608" s="544"/>
      <c r="AB608" s="544"/>
    </row>
    <row r="609" spans="1:28" x14ac:dyDescent="0.2">
      <c r="A609" s="544"/>
      <c r="B609" s="544"/>
      <c r="C609" s="544"/>
      <c r="D609" s="544"/>
      <c r="E609" s="544"/>
      <c r="F609" s="569"/>
      <c r="G609" s="544"/>
      <c r="H609" s="544"/>
      <c r="I609" s="544"/>
      <c r="J609" s="544"/>
      <c r="K609" s="569"/>
      <c r="L609" s="544"/>
      <c r="M609" s="544"/>
      <c r="N609" s="544"/>
      <c r="O609" s="544"/>
      <c r="P609" s="544"/>
      <c r="Q609" s="544"/>
      <c r="R609" s="544"/>
      <c r="S609" s="544"/>
      <c r="T609" s="544"/>
      <c r="U609" s="544"/>
      <c r="V609" s="544"/>
      <c r="W609" s="544"/>
      <c r="X609" s="544"/>
      <c r="Y609" s="544"/>
      <c r="Z609" s="544"/>
      <c r="AA609" s="544"/>
      <c r="AB609" s="544"/>
    </row>
    <row r="610" spans="1:28" x14ac:dyDescent="0.2">
      <c r="A610" s="544"/>
      <c r="B610" s="544"/>
      <c r="C610" s="544"/>
      <c r="D610" s="544"/>
      <c r="E610" s="544"/>
      <c r="F610" s="569"/>
      <c r="G610" s="544"/>
      <c r="H610" s="544"/>
      <c r="I610" s="544"/>
      <c r="J610" s="544"/>
      <c r="K610" s="569"/>
      <c r="L610" s="544"/>
      <c r="M610" s="544"/>
      <c r="N610" s="544"/>
      <c r="O610" s="544"/>
      <c r="P610" s="544"/>
      <c r="Q610" s="544"/>
      <c r="R610" s="544"/>
      <c r="S610" s="544"/>
      <c r="T610" s="544"/>
      <c r="U610" s="544"/>
      <c r="V610" s="544"/>
      <c r="W610" s="544"/>
      <c r="X610" s="544"/>
      <c r="Y610" s="544"/>
      <c r="Z610" s="544"/>
      <c r="AA610" s="544"/>
      <c r="AB610" s="544"/>
    </row>
    <row r="611" spans="1:28" x14ac:dyDescent="0.2">
      <c r="A611" s="544"/>
      <c r="B611" s="544"/>
      <c r="C611" s="544"/>
      <c r="D611" s="544"/>
      <c r="E611" s="544"/>
      <c r="F611" s="569"/>
      <c r="G611" s="544"/>
      <c r="H611" s="544"/>
      <c r="I611" s="544"/>
      <c r="J611" s="544"/>
      <c r="K611" s="569"/>
      <c r="L611" s="544"/>
      <c r="M611" s="544"/>
      <c r="N611" s="544"/>
      <c r="O611" s="544"/>
      <c r="P611" s="544"/>
      <c r="Q611" s="544"/>
      <c r="R611" s="544"/>
      <c r="S611" s="544"/>
      <c r="T611" s="544"/>
      <c r="U611" s="544"/>
      <c r="V611" s="544"/>
      <c r="W611" s="544"/>
      <c r="X611" s="544"/>
      <c r="Y611" s="544"/>
      <c r="Z611" s="544"/>
      <c r="AA611" s="544"/>
      <c r="AB611" s="544"/>
    </row>
    <row r="612" spans="1:28" x14ac:dyDescent="0.2">
      <c r="A612" s="544"/>
      <c r="B612" s="544"/>
      <c r="C612" s="544"/>
      <c r="D612" s="544"/>
      <c r="E612" s="544"/>
      <c r="F612" s="569"/>
      <c r="G612" s="544"/>
      <c r="H612" s="544"/>
      <c r="I612" s="544"/>
      <c r="J612" s="544"/>
      <c r="K612" s="569"/>
      <c r="L612" s="544"/>
      <c r="M612" s="544"/>
      <c r="N612" s="544"/>
      <c r="O612" s="544"/>
      <c r="P612" s="544"/>
      <c r="Q612" s="544"/>
      <c r="R612" s="544"/>
      <c r="S612" s="544"/>
      <c r="T612" s="544"/>
      <c r="U612" s="544"/>
      <c r="V612" s="544"/>
      <c r="W612" s="544"/>
      <c r="X612" s="544"/>
      <c r="Y612" s="544"/>
      <c r="Z612" s="544"/>
      <c r="AA612" s="544"/>
      <c r="AB612" s="544"/>
    </row>
    <row r="613" spans="1:28" x14ac:dyDescent="0.2">
      <c r="A613" s="544"/>
      <c r="B613" s="544"/>
      <c r="C613" s="544"/>
      <c r="D613" s="544"/>
      <c r="E613" s="544"/>
      <c r="F613" s="569"/>
      <c r="G613" s="544"/>
      <c r="H613" s="544"/>
      <c r="I613" s="544"/>
      <c r="J613" s="544"/>
      <c r="K613" s="569"/>
      <c r="L613" s="544"/>
      <c r="M613" s="544"/>
      <c r="N613" s="544"/>
      <c r="O613" s="544"/>
      <c r="P613" s="544"/>
      <c r="Q613" s="544"/>
      <c r="R613" s="544"/>
      <c r="S613" s="544"/>
      <c r="T613" s="544"/>
      <c r="U613" s="544"/>
      <c r="V613" s="544"/>
      <c r="W613" s="544"/>
      <c r="X613" s="544"/>
      <c r="Y613" s="544"/>
      <c r="Z613" s="544"/>
      <c r="AA613" s="544"/>
      <c r="AB613" s="544"/>
    </row>
    <row r="614" spans="1:28" x14ac:dyDescent="0.2">
      <c r="A614" s="544"/>
      <c r="B614" s="544"/>
      <c r="C614" s="544"/>
      <c r="D614" s="544"/>
      <c r="E614" s="544"/>
      <c r="F614" s="569"/>
      <c r="G614" s="544"/>
      <c r="H614" s="544"/>
      <c r="I614" s="544"/>
      <c r="J614" s="544"/>
      <c r="K614" s="569"/>
      <c r="L614" s="544"/>
      <c r="M614" s="544"/>
      <c r="N614" s="544"/>
      <c r="O614" s="544"/>
      <c r="P614" s="544"/>
      <c r="Q614" s="544"/>
      <c r="R614" s="544"/>
      <c r="S614" s="544"/>
      <c r="T614" s="544"/>
      <c r="U614" s="544"/>
      <c r="V614" s="544"/>
      <c r="W614" s="544"/>
      <c r="X614" s="544"/>
      <c r="Y614" s="544"/>
      <c r="Z614" s="544"/>
      <c r="AA614" s="544"/>
      <c r="AB614" s="544"/>
    </row>
    <row r="615" spans="1:28" x14ac:dyDescent="0.2">
      <c r="A615" s="544"/>
      <c r="B615" s="544"/>
      <c r="C615" s="544"/>
      <c r="D615" s="544"/>
      <c r="E615" s="544"/>
      <c r="F615" s="569"/>
      <c r="G615" s="544"/>
      <c r="H615" s="544"/>
      <c r="I615" s="544"/>
      <c r="J615" s="544"/>
      <c r="K615" s="569"/>
      <c r="L615" s="544"/>
      <c r="M615" s="544"/>
      <c r="N615" s="544"/>
      <c r="O615" s="544"/>
      <c r="P615" s="544"/>
      <c r="Q615" s="544"/>
      <c r="R615" s="544"/>
      <c r="S615" s="544"/>
      <c r="T615" s="544"/>
      <c r="U615" s="544"/>
      <c r="V615" s="544"/>
      <c r="W615" s="544"/>
      <c r="X615" s="544"/>
      <c r="Y615" s="544"/>
      <c r="Z615" s="544"/>
      <c r="AA615" s="544"/>
      <c r="AB615" s="544"/>
    </row>
    <row r="616" spans="1:28" x14ac:dyDescent="0.2">
      <c r="A616" s="544"/>
      <c r="B616" s="544"/>
      <c r="C616" s="544"/>
      <c r="D616" s="544"/>
      <c r="E616" s="544"/>
      <c r="F616" s="569"/>
      <c r="G616" s="544"/>
      <c r="H616" s="544"/>
      <c r="I616" s="544"/>
      <c r="J616" s="544"/>
      <c r="K616" s="569"/>
      <c r="L616" s="544"/>
      <c r="M616" s="544"/>
      <c r="N616" s="544"/>
      <c r="O616" s="544"/>
      <c r="P616" s="544"/>
      <c r="Q616" s="544"/>
      <c r="R616" s="544"/>
      <c r="S616" s="544"/>
      <c r="T616" s="544"/>
      <c r="U616" s="544"/>
      <c r="V616" s="544"/>
      <c r="W616" s="544"/>
      <c r="X616" s="544"/>
      <c r="Y616" s="544"/>
      <c r="Z616" s="544"/>
      <c r="AA616" s="544"/>
      <c r="AB616" s="544"/>
    </row>
    <row r="617" spans="1:28" x14ac:dyDescent="0.2">
      <c r="A617" s="544"/>
      <c r="B617" s="544"/>
      <c r="C617" s="544"/>
      <c r="D617" s="544"/>
      <c r="E617" s="544"/>
      <c r="F617" s="569"/>
      <c r="G617" s="544"/>
      <c r="H617" s="544"/>
      <c r="I617" s="544"/>
      <c r="J617" s="544"/>
      <c r="K617" s="569"/>
      <c r="L617" s="544"/>
      <c r="M617" s="544"/>
      <c r="N617" s="544"/>
      <c r="O617" s="544"/>
      <c r="P617" s="544"/>
      <c r="Q617" s="544"/>
      <c r="R617" s="544"/>
      <c r="S617" s="544"/>
      <c r="T617" s="544"/>
      <c r="U617" s="544"/>
      <c r="V617" s="544"/>
      <c r="W617" s="544"/>
      <c r="X617" s="544"/>
      <c r="Y617" s="544"/>
      <c r="Z617" s="544"/>
      <c r="AA617" s="544"/>
      <c r="AB617" s="544"/>
    </row>
    <row r="618" spans="1:28" x14ac:dyDescent="0.2">
      <c r="A618" s="544"/>
      <c r="B618" s="544"/>
      <c r="C618" s="544"/>
      <c r="D618" s="544"/>
      <c r="E618" s="544"/>
      <c r="F618" s="569"/>
      <c r="G618" s="544"/>
      <c r="H618" s="544"/>
      <c r="I618" s="544"/>
      <c r="J618" s="544"/>
      <c r="K618" s="569"/>
      <c r="L618" s="544"/>
      <c r="M618" s="544"/>
      <c r="N618" s="544"/>
      <c r="O618" s="544"/>
      <c r="P618" s="544"/>
      <c r="Q618" s="544"/>
      <c r="R618" s="544"/>
      <c r="S618" s="544"/>
      <c r="T618" s="544"/>
      <c r="U618" s="544"/>
      <c r="V618" s="544"/>
      <c r="W618" s="544"/>
      <c r="X618" s="544"/>
      <c r="Y618" s="544"/>
      <c r="Z618" s="544"/>
      <c r="AA618" s="544"/>
      <c r="AB618" s="544"/>
    </row>
    <row r="619" spans="1:28" x14ac:dyDescent="0.2">
      <c r="A619" s="544"/>
      <c r="B619" s="544"/>
      <c r="C619" s="544"/>
      <c r="D619" s="544"/>
      <c r="E619" s="544"/>
      <c r="F619" s="569"/>
      <c r="G619" s="544"/>
      <c r="H619" s="544"/>
      <c r="I619" s="544"/>
      <c r="J619" s="544"/>
      <c r="K619" s="569"/>
      <c r="L619" s="544"/>
      <c r="M619" s="544"/>
      <c r="N619" s="544"/>
      <c r="O619" s="544"/>
      <c r="P619" s="544"/>
      <c r="Q619" s="544"/>
      <c r="R619" s="544"/>
      <c r="S619" s="544"/>
      <c r="T619" s="544"/>
      <c r="U619" s="544"/>
      <c r="V619" s="544"/>
      <c r="W619" s="544"/>
      <c r="X619" s="544"/>
      <c r="Y619" s="544"/>
      <c r="Z619" s="544"/>
      <c r="AA619" s="544"/>
      <c r="AB619" s="544"/>
    </row>
    <row r="620" spans="1:28" x14ac:dyDescent="0.2">
      <c r="A620" s="544"/>
      <c r="B620" s="544"/>
      <c r="C620" s="544"/>
      <c r="D620" s="544"/>
      <c r="E620" s="544"/>
      <c r="F620" s="569"/>
      <c r="G620" s="544"/>
      <c r="H620" s="544"/>
      <c r="I620" s="544"/>
      <c r="J620" s="544"/>
      <c r="K620" s="569"/>
      <c r="L620" s="544"/>
      <c r="M620" s="544"/>
      <c r="N620" s="544"/>
      <c r="O620" s="544"/>
      <c r="P620" s="544"/>
      <c r="Q620" s="544"/>
      <c r="R620" s="544"/>
      <c r="S620" s="544"/>
      <c r="T620" s="544"/>
      <c r="U620" s="544"/>
      <c r="V620" s="544"/>
      <c r="W620" s="544"/>
      <c r="X620" s="544"/>
      <c r="Y620" s="544"/>
      <c r="Z620" s="544"/>
      <c r="AA620" s="544"/>
      <c r="AB620" s="544"/>
    </row>
    <row r="621" spans="1:28" x14ac:dyDescent="0.2">
      <c r="A621" s="544"/>
      <c r="B621" s="544"/>
      <c r="C621" s="544"/>
      <c r="D621" s="544"/>
      <c r="E621" s="544"/>
      <c r="F621" s="569"/>
      <c r="G621" s="544"/>
      <c r="H621" s="544"/>
      <c r="I621" s="544"/>
      <c r="J621" s="544"/>
      <c r="K621" s="569"/>
      <c r="L621" s="544"/>
      <c r="M621" s="544"/>
      <c r="N621" s="544"/>
      <c r="O621" s="544"/>
      <c r="P621" s="544"/>
      <c r="Q621" s="544"/>
      <c r="R621" s="544"/>
      <c r="S621" s="544"/>
      <c r="T621" s="544"/>
      <c r="U621" s="544"/>
      <c r="V621" s="544"/>
      <c r="W621" s="544"/>
      <c r="X621" s="544"/>
      <c r="Y621" s="544"/>
      <c r="Z621" s="544"/>
      <c r="AA621" s="544"/>
      <c r="AB621" s="544"/>
    </row>
    <row r="622" spans="1:28" x14ac:dyDescent="0.2">
      <c r="A622" s="544"/>
      <c r="B622" s="544"/>
      <c r="C622" s="544"/>
      <c r="D622" s="544"/>
      <c r="E622" s="544"/>
      <c r="F622" s="569"/>
      <c r="G622" s="544"/>
      <c r="H622" s="544"/>
      <c r="I622" s="544"/>
      <c r="J622" s="544"/>
      <c r="K622" s="569"/>
      <c r="L622" s="544"/>
      <c r="M622" s="544"/>
      <c r="N622" s="544"/>
      <c r="O622" s="544"/>
      <c r="P622" s="544"/>
      <c r="Q622" s="544"/>
      <c r="R622" s="544"/>
      <c r="S622" s="544"/>
      <c r="T622" s="544"/>
      <c r="U622" s="544"/>
      <c r="V622" s="544"/>
      <c r="W622" s="544"/>
      <c r="X622" s="544"/>
      <c r="Y622" s="544"/>
      <c r="Z622" s="544"/>
      <c r="AA622" s="544"/>
      <c r="AB622" s="544"/>
    </row>
    <row r="623" spans="1:28" x14ac:dyDescent="0.2">
      <c r="A623" s="544"/>
      <c r="B623" s="544"/>
      <c r="C623" s="544"/>
      <c r="D623" s="544"/>
      <c r="E623" s="544"/>
      <c r="F623" s="569"/>
      <c r="G623" s="544"/>
      <c r="H623" s="544"/>
      <c r="I623" s="544"/>
      <c r="J623" s="544"/>
      <c r="K623" s="569"/>
      <c r="L623" s="544"/>
      <c r="M623" s="544"/>
      <c r="N623" s="544"/>
      <c r="O623" s="544"/>
      <c r="P623" s="544"/>
      <c r="Q623" s="544"/>
      <c r="R623" s="544"/>
      <c r="S623" s="544"/>
      <c r="T623" s="544"/>
      <c r="U623" s="544"/>
      <c r="V623" s="544"/>
      <c r="W623" s="544"/>
      <c r="X623" s="544"/>
      <c r="Y623" s="544"/>
      <c r="Z623" s="544"/>
      <c r="AA623" s="544"/>
      <c r="AB623" s="544"/>
    </row>
    <row r="624" spans="1:28" x14ac:dyDescent="0.2">
      <c r="A624" s="544"/>
      <c r="B624" s="544"/>
      <c r="C624" s="544"/>
      <c r="D624" s="544"/>
      <c r="E624" s="544"/>
      <c r="F624" s="569"/>
      <c r="G624" s="544"/>
      <c r="H624" s="544"/>
      <c r="I624" s="544"/>
      <c r="J624" s="544"/>
      <c r="K624" s="569"/>
      <c r="L624" s="544"/>
      <c r="M624" s="544"/>
      <c r="N624" s="544"/>
      <c r="O624" s="544"/>
      <c r="P624" s="544"/>
      <c r="Q624" s="544"/>
      <c r="R624" s="544"/>
      <c r="S624" s="544"/>
      <c r="T624" s="544"/>
      <c r="U624" s="544"/>
      <c r="V624" s="544"/>
      <c r="W624" s="544"/>
      <c r="X624" s="544"/>
      <c r="Y624" s="544"/>
      <c r="Z624" s="544"/>
      <c r="AA624" s="544"/>
      <c r="AB624" s="544"/>
    </row>
    <row r="625" spans="1:28" x14ac:dyDescent="0.2">
      <c r="A625" s="544"/>
      <c r="B625" s="544"/>
      <c r="C625" s="544"/>
      <c r="D625" s="544"/>
      <c r="E625" s="544"/>
      <c r="F625" s="569"/>
      <c r="G625" s="544"/>
      <c r="H625" s="544"/>
      <c r="I625" s="544"/>
      <c r="J625" s="544"/>
      <c r="K625" s="569"/>
      <c r="L625" s="544"/>
      <c r="M625" s="544"/>
      <c r="N625" s="544"/>
      <c r="O625" s="544"/>
      <c r="P625" s="544"/>
      <c r="Q625" s="544"/>
      <c r="R625" s="544"/>
      <c r="S625" s="544"/>
      <c r="T625" s="544"/>
      <c r="U625" s="544"/>
      <c r="V625" s="544"/>
      <c r="W625" s="544"/>
      <c r="X625" s="544"/>
      <c r="Y625" s="544"/>
      <c r="Z625" s="544"/>
      <c r="AA625" s="544"/>
      <c r="AB625" s="544"/>
    </row>
    <row r="626" spans="1:28" x14ac:dyDescent="0.2">
      <c r="A626" s="544"/>
      <c r="B626" s="544"/>
      <c r="C626" s="544"/>
      <c r="D626" s="544"/>
      <c r="E626" s="544"/>
      <c r="F626" s="569"/>
      <c r="G626" s="544"/>
      <c r="H626" s="544"/>
      <c r="I626" s="544"/>
      <c r="J626" s="544"/>
      <c r="K626" s="569"/>
      <c r="L626" s="544"/>
      <c r="M626" s="544"/>
      <c r="N626" s="544"/>
      <c r="O626" s="544"/>
      <c r="P626" s="544"/>
      <c r="Q626" s="544"/>
      <c r="R626" s="544"/>
      <c r="S626" s="544"/>
      <c r="T626" s="544"/>
      <c r="U626" s="544"/>
      <c r="V626" s="544"/>
      <c r="W626" s="544"/>
      <c r="X626" s="544"/>
      <c r="Y626" s="544"/>
      <c r="Z626" s="544"/>
      <c r="AA626" s="544"/>
      <c r="AB626" s="544"/>
    </row>
    <row r="627" spans="1:28" x14ac:dyDescent="0.2">
      <c r="A627" s="544"/>
      <c r="B627" s="544"/>
      <c r="C627" s="544"/>
      <c r="D627" s="544"/>
      <c r="E627" s="544"/>
      <c r="F627" s="569"/>
      <c r="G627" s="544"/>
      <c r="H627" s="544"/>
      <c r="I627" s="544"/>
      <c r="J627" s="544"/>
      <c r="K627" s="569"/>
      <c r="L627" s="544"/>
      <c r="M627" s="544"/>
      <c r="N627" s="544"/>
      <c r="O627" s="544"/>
      <c r="P627" s="544"/>
      <c r="Q627" s="544"/>
      <c r="R627" s="544"/>
      <c r="S627" s="544"/>
      <c r="T627" s="544"/>
      <c r="U627" s="544"/>
      <c r="V627" s="544"/>
      <c r="W627" s="544"/>
      <c r="X627" s="544"/>
      <c r="Y627" s="544"/>
      <c r="Z627" s="544"/>
      <c r="AA627" s="544"/>
      <c r="AB627" s="544"/>
    </row>
    <row r="628" spans="1:28" x14ac:dyDescent="0.2">
      <c r="A628" s="544"/>
      <c r="B628" s="544"/>
      <c r="C628" s="544"/>
      <c r="D628" s="544"/>
      <c r="E628" s="544"/>
      <c r="F628" s="569"/>
      <c r="G628" s="544"/>
      <c r="H628" s="544"/>
      <c r="I628" s="544"/>
      <c r="J628" s="544"/>
      <c r="K628" s="569"/>
      <c r="L628" s="544"/>
      <c r="M628" s="544"/>
      <c r="N628" s="544"/>
      <c r="O628" s="544"/>
      <c r="P628" s="544"/>
      <c r="Q628" s="544"/>
      <c r="R628" s="544"/>
      <c r="S628" s="544"/>
      <c r="T628" s="544"/>
      <c r="U628" s="544"/>
      <c r="V628" s="544"/>
      <c r="W628" s="544"/>
      <c r="X628" s="544"/>
      <c r="Y628" s="544"/>
      <c r="Z628" s="544"/>
      <c r="AA628" s="544"/>
      <c r="AB628" s="544"/>
    </row>
    <row r="629" spans="1:28" x14ac:dyDescent="0.2">
      <c r="A629" s="544"/>
      <c r="B629" s="544"/>
      <c r="C629" s="544"/>
      <c r="D629" s="544"/>
      <c r="E629" s="544"/>
      <c r="F629" s="569"/>
      <c r="G629" s="544"/>
      <c r="H629" s="544"/>
      <c r="I629" s="544"/>
      <c r="J629" s="544"/>
      <c r="K629" s="569"/>
      <c r="L629" s="544"/>
      <c r="M629" s="544"/>
      <c r="N629" s="544"/>
      <c r="O629" s="544"/>
      <c r="P629" s="544"/>
      <c r="Q629" s="544"/>
      <c r="R629" s="544"/>
      <c r="S629" s="544"/>
      <c r="T629" s="544"/>
      <c r="U629" s="544"/>
      <c r="V629" s="544"/>
      <c r="W629" s="544"/>
      <c r="X629" s="544"/>
      <c r="Y629" s="544"/>
      <c r="Z629" s="544"/>
      <c r="AA629" s="544"/>
      <c r="AB629" s="544"/>
    </row>
    <row r="630" spans="1:28" x14ac:dyDescent="0.2">
      <c r="A630" s="544"/>
      <c r="B630" s="544"/>
      <c r="C630" s="544"/>
      <c r="D630" s="544"/>
      <c r="E630" s="544"/>
      <c r="F630" s="569"/>
      <c r="G630" s="544"/>
      <c r="H630" s="544"/>
      <c r="I630" s="544"/>
      <c r="J630" s="544"/>
      <c r="K630" s="569"/>
      <c r="L630" s="544"/>
      <c r="M630" s="544"/>
      <c r="N630" s="544"/>
      <c r="O630" s="544"/>
      <c r="P630" s="544"/>
      <c r="Q630" s="544"/>
      <c r="R630" s="544"/>
      <c r="S630" s="544"/>
      <c r="T630" s="544"/>
      <c r="U630" s="544"/>
      <c r="V630" s="544"/>
      <c r="W630" s="544"/>
      <c r="X630" s="544"/>
      <c r="Y630" s="544"/>
      <c r="Z630" s="544"/>
      <c r="AA630" s="544"/>
      <c r="AB630" s="544"/>
    </row>
    <row r="631" spans="1:28" x14ac:dyDescent="0.2">
      <c r="A631" s="544"/>
      <c r="B631" s="544"/>
      <c r="C631" s="544"/>
      <c r="D631" s="544"/>
      <c r="E631" s="544"/>
      <c r="F631" s="569"/>
      <c r="G631" s="544"/>
      <c r="H631" s="544"/>
      <c r="I631" s="544"/>
      <c r="J631" s="544"/>
      <c r="K631" s="569"/>
      <c r="L631" s="544"/>
      <c r="M631" s="544"/>
      <c r="N631" s="544"/>
      <c r="O631" s="544"/>
      <c r="P631" s="544"/>
      <c r="Q631" s="544"/>
      <c r="R631" s="544"/>
      <c r="S631" s="544"/>
      <c r="T631" s="544"/>
      <c r="U631" s="544"/>
      <c r="V631" s="544"/>
      <c r="W631" s="544"/>
      <c r="X631" s="544"/>
      <c r="Y631" s="544"/>
      <c r="Z631" s="544"/>
      <c r="AA631" s="544"/>
      <c r="AB631" s="544"/>
    </row>
    <row r="632" spans="1:28" x14ac:dyDescent="0.2">
      <c r="A632" s="544"/>
      <c r="B632" s="544"/>
      <c r="C632" s="544"/>
      <c r="D632" s="544"/>
      <c r="E632" s="544"/>
      <c r="F632" s="569"/>
      <c r="G632" s="544"/>
      <c r="H632" s="544"/>
      <c r="I632" s="544"/>
      <c r="J632" s="544"/>
      <c r="K632" s="569"/>
      <c r="L632" s="544"/>
      <c r="M632" s="544"/>
      <c r="N632" s="544"/>
      <c r="O632" s="544"/>
      <c r="P632" s="544"/>
      <c r="Q632" s="544"/>
      <c r="R632" s="544"/>
      <c r="S632" s="544"/>
      <c r="T632" s="544"/>
      <c r="U632" s="544"/>
      <c r="V632" s="544"/>
      <c r="W632" s="544"/>
      <c r="X632" s="544"/>
      <c r="Y632" s="544"/>
      <c r="Z632" s="544"/>
      <c r="AA632" s="544"/>
      <c r="AB632" s="544"/>
    </row>
    <row r="633" spans="1:28" x14ac:dyDescent="0.2">
      <c r="A633" s="544"/>
      <c r="B633" s="544"/>
      <c r="C633" s="544"/>
      <c r="D633" s="544"/>
      <c r="E633" s="544"/>
      <c r="F633" s="569"/>
      <c r="G633" s="544"/>
      <c r="H633" s="544"/>
      <c r="I633" s="544"/>
      <c r="J633" s="544"/>
      <c r="K633" s="569"/>
      <c r="L633" s="544"/>
      <c r="M633" s="544"/>
      <c r="N633" s="544"/>
      <c r="O633" s="544"/>
      <c r="P633" s="544"/>
      <c r="Q633" s="544"/>
      <c r="R633" s="544"/>
      <c r="S633" s="544"/>
      <c r="T633" s="544"/>
      <c r="U633" s="544"/>
      <c r="V633" s="544"/>
      <c r="W633" s="544"/>
      <c r="X633" s="544"/>
      <c r="Y633" s="544"/>
      <c r="Z633" s="544"/>
      <c r="AA633" s="544"/>
      <c r="AB633" s="544"/>
    </row>
    <row r="634" spans="1:28" x14ac:dyDescent="0.2">
      <c r="A634" s="544"/>
      <c r="B634" s="544"/>
      <c r="C634" s="544"/>
      <c r="D634" s="544"/>
      <c r="E634" s="544"/>
      <c r="F634" s="569"/>
      <c r="G634" s="544"/>
      <c r="H634" s="544"/>
      <c r="I634" s="544"/>
      <c r="J634" s="544"/>
      <c r="K634" s="569"/>
      <c r="L634" s="544"/>
      <c r="M634" s="544"/>
      <c r="N634" s="544"/>
      <c r="O634" s="544"/>
      <c r="P634" s="544"/>
      <c r="Q634" s="544"/>
      <c r="R634" s="544"/>
      <c r="S634" s="544"/>
      <c r="T634" s="544"/>
      <c r="U634" s="544"/>
      <c r="V634" s="544"/>
      <c r="W634" s="544"/>
      <c r="X634" s="544"/>
      <c r="Y634" s="544"/>
      <c r="Z634" s="544"/>
      <c r="AA634" s="544"/>
      <c r="AB634" s="544"/>
    </row>
    <row r="635" spans="1:28" x14ac:dyDescent="0.2">
      <c r="A635" s="544"/>
      <c r="B635" s="544"/>
      <c r="C635" s="544"/>
      <c r="D635" s="544"/>
      <c r="E635" s="544"/>
      <c r="F635" s="569"/>
      <c r="G635" s="544"/>
      <c r="H635" s="544"/>
      <c r="I635" s="544"/>
      <c r="J635" s="544"/>
      <c r="K635" s="569"/>
      <c r="L635" s="544"/>
      <c r="M635" s="544"/>
      <c r="N635" s="544"/>
      <c r="O635" s="544"/>
      <c r="P635" s="544"/>
      <c r="Q635" s="544"/>
      <c r="R635" s="544"/>
      <c r="S635" s="544"/>
      <c r="T635" s="544"/>
      <c r="U635" s="544"/>
      <c r="V635" s="544"/>
      <c r="W635" s="544"/>
      <c r="X635" s="544"/>
      <c r="Y635" s="544"/>
      <c r="Z635" s="544"/>
      <c r="AA635" s="544"/>
      <c r="AB635" s="544"/>
    </row>
    <row r="636" spans="1:28" x14ac:dyDescent="0.2">
      <c r="A636" s="544"/>
      <c r="B636" s="544"/>
      <c r="C636" s="544"/>
      <c r="D636" s="544"/>
      <c r="E636" s="544"/>
      <c r="F636" s="569"/>
      <c r="G636" s="544"/>
      <c r="H636" s="544"/>
      <c r="I636" s="544"/>
      <c r="J636" s="544"/>
      <c r="K636" s="569"/>
      <c r="L636" s="544"/>
      <c r="M636" s="544"/>
      <c r="N636" s="544"/>
      <c r="O636" s="544"/>
      <c r="P636" s="544"/>
      <c r="Q636" s="544"/>
      <c r="R636" s="544"/>
      <c r="S636" s="544"/>
      <c r="T636" s="544"/>
      <c r="U636" s="544"/>
      <c r="V636" s="544"/>
      <c r="W636" s="544"/>
      <c r="X636" s="544"/>
      <c r="Y636" s="544"/>
      <c r="Z636" s="544"/>
      <c r="AA636" s="544"/>
      <c r="AB636" s="544"/>
    </row>
    <row r="637" spans="1:28" x14ac:dyDescent="0.2">
      <c r="A637" s="544"/>
      <c r="B637" s="544"/>
      <c r="C637" s="544"/>
      <c r="D637" s="544"/>
      <c r="E637" s="544"/>
      <c r="F637" s="569"/>
      <c r="G637" s="544"/>
      <c r="H637" s="544"/>
      <c r="I637" s="544"/>
      <c r="J637" s="544"/>
      <c r="K637" s="569"/>
      <c r="L637" s="544"/>
      <c r="M637" s="544"/>
      <c r="N637" s="544"/>
      <c r="O637" s="544"/>
      <c r="P637" s="544"/>
      <c r="Q637" s="544"/>
      <c r="R637" s="544"/>
      <c r="S637" s="544"/>
      <c r="T637" s="544"/>
      <c r="U637" s="544"/>
      <c r="V637" s="544"/>
      <c r="W637" s="544"/>
      <c r="X637" s="544"/>
      <c r="Y637" s="544"/>
      <c r="Z637" s="544"/>
      <c r="AA637" s="544"/>
      <c r="AB637" s="544"/>
    </row>
    <row r="638" spans="1:28" x14ac:dyDescent="0.2">
      <c r="A638" s="544"/>
      <c r="B638" s="544"/>
      <c r="C638" s="544"/>
      <c r="D638" s="544"/>
      <c r="E638" s="544"/>
      <c r="F638" s="569"/>
      <c r="G638" s="544"/>
      <c r="H638" s="544"/>
      <c r="I638" s="544"/>
      <c r="J638" s="544"/>
      <c r="K638" s="569"/>
      <c r="L638" s="544"/>
      <c r="M638" s="544"/>
      <c r="N638" s="544"/>
      <c r="O638" s="544"/>
      <c r="P638" s="544"/>
      <c r="Q638" s="544"/>
      <c r="R638" s="544"/>
      <c r="S638" s="544"/>
      <c r="T638" s="544"/>
      <c r="U638" s="544"/>
      <c r="V638" s="544"/>
      <c r="W638" s="544"/>
      <c r="X638" s="544"/>
      <c r="Y638" s="544"/>
      <c r="Z638" s="544"/>
      <c r="AA638" s="544"/>
      <c r="AB638" s="544"/>
    </row>
    <row r="639" spans="1:28" x14ac:dyDescent="0.2">
      <c r="A639" s="544"/>
      <c r="B639" s="544"/>
      <c r="C639" s="544"/>
      <c r="D639" s="544"/>
      <c r="E639" s="544"/>
      <c r="F639" s="569"/>
      <c r="G639" s="544"/>
      <c r="H639" s="544"/>
      <c r="I639" s="544"/>
      <c r="J639" s="544"/>
      <c r="K639" s="569"/>
      <c r="L639" s="544"/>
      <c r="M639" s="544"/>
      <c r="N639" s="544"/>
      <c r="O639" s="544"/>
      <c r="P639" s="544"/>
      <c r="Q639" s="544"/>
      <c r="R639" s="544"/>
      <c r="S639" s="544"/>
      <c r="T639" s="544"/>
      <c r="U639" s="544"/>
      <c r="V639" s="544"/>
      <c r="W639" s="544"/>
      <c r="X639" s="544"/>
      <c r="Y639" s="544"/>
      <c r="Z639" s="544"/>
      <c r="AA639" s="544"/>
      <c r="AB639" s="544"/>
    </row>
    <row r="640" spans="1:28" x14ac:dyDescent="0.2">
      <c r="A640" s="544"/>
      <c r="B640" s="544"/>
      <c r="C640" s="544"/>
      <c r="D640" s="544"/>
      <c r="E640" s="544"/>
      <c r="F640" s="569"/>
      <c r="G640" s="544"/>
      <c r="H640" s="544"/>
      <c r="I640" s="544"/>
      <c r="J640" s="544"/>
      <c r="K640" s="569"/>
      <c r="L640" s="544"/>
      <c r="M640" s="544"/>
      <c r="N640" s="544"/>
      <c r="O640" s="544"/>
      <c r="P640" s="544"/>
      <c r="Q640" s="544"/>
      <c r="R640" s="544"/>
      <c r="S640" s="544"/>
      <c r="T640" s="544"/>
      <c r="U640" s="544"/>
      <c r="V640" s="544"/>
      <c r="W640" s="544"/>
      <c r="X640" s="544"/>
      <c r="Y640" s="544"/>
      <c r="Z640" s="544"/>
      <c r="AA640" s="544"/>
      <c r="AB640" s="544"/>
    </row>
    <row r="641" spans="1:28" x14ac:dyDescent="0.2">
      <c r="A641" s="544"/>
      <c r="B641" s="544"/>
      <c r="C641" s="544"/>
      <c r="D641" s="544"/>
      <c r="E641" s="544"/>
      <c r="F641" s="569"/>
      <c r="G641" s="544"/>
      <c r="H641" s="544"/>
      <c r="I641" s="544"/>
      <c r="J641" s="544"/>
      <c r="K641" s="569"/>
      <c r="L641" s="544"/>
      <c r="M641" s="544"/>
      <c r="N641" s="544"/>
      <c r="O641" s="544"/>
      <c r="P641" s="544"/>
      <c r="Q641" s="544"/>
      <c r="R641" s="544"/>
      <c r="S641" s="544"/>
      <c r="T641" s="544"/>
      <c r="U641" s="544"/>
      <c r="V641" s="544"/>
      <c r="W641" s="544"/>
      <c r="X641" s="544"/>
      <c r="Y641" s="544"/>
      <c r="Z641" s="544"/>
      <c r="AA641" s="544"/>
      <c r="AB641" s="544"/>
    </row>
    <row r="642" spans="1:28" x14ac:dyDescent="0.2">
      <c r="A642" s="544"/>
      <c r="B642" s="544"/>
      <c r="C642" s="544"/>
      <c r="D642" s="544"/>
      <c r="E642" s="544"/>
      <c r="F642" s="569"/>
      <c r="G642" s="544"/>
      <c r="H642" s="544"/>
      <c r="I642" s="544"/>
      <c r="J642" s="544"/>
      <c r="K642" s="569"/>
      <c r="L642" s="544"/>
      <c r="M642" s="544"/>
      <c r="N642" s="544"/>
      <c r="O642" s="544"/>
      <c r="P642" s="544"/>
      <c r="Q642" s="544"/>
      <c r="R642" s="544"/>
      <c r="S642" s="544"/>
      <c r="T642" s="544"/>
      <c r="U642" s="544"/>
      <c r="V642" s="544"/>
      <c r="W642" s="544"/>
      <c r="X642" s="544"/>
      <c r="Y642" s="544"/>
      <c r="Z642" s="544"/>
      <c r="AA642" s="544"/>
      <c r="AB642" s="544"/>
    </row>
    <row r="643" spans="1:28" x14ac:dyDescent="0.2">
      <c r="A643" s="544"/>
      <c r="B643" s="544"/>
      <c r="C643" s="544"/>
      <c r="D643" s="544"/>
      <c r="E643" s="544"/>
      <c r="F643" s="569"/>
      <c r="G643" s="544"/>
      <c r="H643" s="544"/>
      <c r="I643" s="544"/>
      <c r="J643" s="544"/>
      <c r="K643" s="569"/>
      <c r="L643" s="544"/>
      <c r="M643" s="544"/>
      <c r="N643" s="544"/>
      <c r="O643" s="544"/>
      <c r="P643" s="544"/>
      <c r="Q643" s="544"/>
      <c r="R643" s="544"/>
      <c r="S643" s="544"/>
      <c r="T643" s="544"/>
      <c r="U643" s="544"/>
      <c r="V643" s="544"/>
      <c r="W643" s="544"/>
      <c r="X643" s="544"/>
      <c r="Y643" s="544"/>
      <c r="Z643" s="544"/>
      <c r="AA643" s="544"/>
      <c r="AB643" s="544"/>
    </row>
    <row r="644" spans="1:28" x14ac:dyDescent="0.2">
      <c r="A644" s="544"/>
      <c r="B644" s="544"/>
      <c r="C644" s="544"/>
      <c r="D644" s="544"/>
      <c r="E644" s="544"/>
      <c r="F644" s="569"/>
      <c r="G644" s="544"/>
      <c r="H644" s="544"/>
      <c r="I644" s="544"/>
      <c r="J644" s="544"/>
      <c r="K644" s="569"/>
      <c r="L644" s="544"/>
      <c r="M644" s="544"/>
      <c r="N644" s="544"/>
      <c r="O644" s="544"/>
      <c r="P644" s="544"/>
      <c r="Q644" s="544"/>
      <c r="R644" s="544"/>
      <c r="S644" s="544"/>
      <c r="T644" s="544"/>
      <c r="U644" s="544"/>
      <c r="V644" s="544"/>
      <c r="W644" s="544"/>
      <c r="X644" s="544"/>
      <c r="Y644" s="544"/>
      <c r="Z644" s="544"/>
      <c r="AA644" s="544"/>
      <c r="AB644" s="544"/>
    </row>
    <row r="645" spans="1:28" x14ac:dyDescent="0.2">
      <c r="A645" s="544"/>
      <c r="B645" s="544"/>
      <c r="C645" s="544"/>
      <c r="D645" s="544"/>
      <c r="E645" s="544"/>
      <c r="F645" s="569"/>
      <c r="G645" s="544"/>
      <c r="H645" s="544"/>
      <c r="I645" s="544"/>
      <c r="J645" s="544"/>
      <c r="K645" s="569"/>
      <c r="L645" s="544"/>
      <c r="M645" s="544"/>
      <c r="N645" s="544"/>
      <c r="O645" s="544"/>
      <c r="P645" s="544"/>
      <c r="Q645" s="544"/>
      <c r="R645" s="544"/>
      <c r="S645" s="544"/>
      <c r="T645" s="544"/>
      <c r="U645" s="544"/>
      <c r="V645" s="544"/>
      <c r="W645" s="544"/>
      <c r="X645" s="544"/>
      <c r="Y645" s="544"/>
      <c r="Z645" s="544"/>
      <c r="AA645" s="544"/>
      <c r="AB645" s="544"/>
    </row>
    <row r="646" spans="1:28" x14ac:dyDescent="0.2">
      <c r="A646" s="544"/>
      <c r="B646" s="544"/>
      <c r="C646" s="544"/>
      <c r="D646" s="544"/>
      <c r="E646" s="544"/>
      <c r="F646" s="569"/>
      <c r="G646" s="544"/>
      <c r="H646" s="544"/>
      <c r="I646" s="544"/>
      <c r="J646" s="544"/>
      <c r="K646" s="569"/>
      <c r="L646" s="544"/>
      <c r="M646" s="544"/>
      <c r="N646" s="544"/>
      <c r="O646" s="544"/>
      <c r="P646" s="544"/>
      <c r="Q646" s="544"/>
      <c r="R646" s="544"/>
      <c r="S646" s="544"/>
      <c r="T646" s="544"/>
      <c r="U646" s="544"/>
      <c r="V646" s="544"/>
      <c r="W646" s="544"/>
      <c r="X646" s="544"/>
      <c r="Y646" s="544"/>
      <c r="Z646" s="544"/>
      <c r="AA646" s="544"/>
      <c r="AB646" s="544"/>
    </row>
    <row r="647" spans="1:28" x14ac:dyDescent="0.2">
      <c r="A647" s="544"/>
      <c r="B647" s="544"/>
      <c r="C647" s="544"/>
      <c r="D647" s="544"/>
      <c r="E647" s="544"/>
      <c r="F647" s="569"/>
      <c r="G647" s="544"/>
      <c r="H647" s="544"/>
      <c r="I647" s="544"/>
      <c r="J647" s="544"/>
      <c r="K647" s="569"/>
      <c r="L647" s="544"/>
      <c r="M647" s="544"/>
      <c r="N647" s="544"/>
      <c r="O647" s="544"/>
      <c r="P647" s="544"/>
      <c r="Q647" s="544"/>
      <c r="R647" s="544"/>
      <c r="S647" s="544"/>
      <c r="T647" s="544"/>
      <c r="U647" s="544"/>
      <c r="V647" s="544"/>
      <c r="W647" s="544"/>
      <c r="X647" s="544"/>
      <c r="Y647" s="544"/>
      <c r="Z647" s="544"/>
      <c r="AA647" s="544"/>
      <c r="AB647" s="544"/>
    </row>
    <row r="648" spans="1:28" x14ac:dyDescent="0.2">
      <c r="A648" s="544"/>
      <c r="B648" s="544"/>
      <c r="C648" s="544"/>
      <c r="D648" s="544"/>
      <c r="E648" s="544"/>
      <c r="F648" s="569"/>
      <c r="G648" s="544"/>
      <c r="H648" s="544"/>
      <c r="I648" s="544"/>
      <c r="J648" s="544"/>
      <c r="K648" s="569"/>
      <c r="L648" s="544"/>
      <c r="M648" s="544"/>
      <c r="N648" s="544"/>
      <c r="O648" s="544"/>
      <c r="P648" s="544"/>
      <c r="Q648" s="544"/>
      <c r="R648" s="544"/>
      <c r="S648" s="544"/>
      <c r="T648" s="544"/>
      <c r="U648" s="544"/>
      <c r="V648" s="544"/>
      <c r="W648" s="544"/>
      <c r="X648" s="544"/>
      <c r="Y648" s="544"/>
      <c r="Z648" s="544"/>
      <c r="AA648" s="544"/>
      <c r="AB648" s="544"/>
    </row>
    <row r="649" spans="1:28" x14ac:dyDescent="0.2">
      <c r="A649" s="544"/>
      <c r="B649" s="544"/>
      <c r="C649" s="544"/>
      <c r="D649" s="544"/>
      <c r="E649" s="544"/>
      <c r="F649" s="569"/>
      <c r="G649" s="544"/>
      <c r="H649" s="544"/>
      <c r="I649" s="544"/>
      <c r="J649" s="544"/>
      <c r="K649" s="569"/>
      <c r="L649" s="544"/>
      <c r="M649" s="544"/>
      <c r="N649" s="544"/>
      <c r="O649" s="544"/>
      <c r="P649" s="544"/>
      <c r="Q649" s="544"/>
      <c r="R649" s="544"/>
      <c r="S649" s="544"/>
      <c r="T649" s="544"/>
      <c r="U649" s="544"/>
      <c r="V649" s="544"/>
      <c r="W649" s="544"/>
      <c r="X649" s="544"/>
      <c r="Y649" s="544"/>
      <c r="Z649" s="544"/>
      <c r="AA649" s="544"/>
      <c r="AB649" s="544"/>
    </row>
    <row r="650" spans="1:28" x14ac:dyDescent="0.2">
      <c r="A650" s="544"/>
      <c r="B650" s="544"/>
      <c r="C650" s="544"/>
      <c r="D650" s="544"/>
      <c r="E650" s="544"/>
      <c r="F650" s="569"/>
      <c r="G650" s="544"/>
      <c r="H650" s="544"/>
      <c r="I650" s="544"/>
      <c r="J650" s="544"/>
      <c r="K650" s="569"/>
      <c r="L650" s="544"/>
      <c r="M650" s="544"/>
      <c r="N650" s="544"/>
      <c r="O650" s="544"/>
      <c r="P650" s="544"/>
      <c r="Q650" s="544"/>
      <c r="R650" s="544"/>
      <c r="S650" s="544"/>
      <c r="T650" s="544"/>
      <c r="U650" s="544"/>
      <c r="V650" s="544"/>
      <c r="W650" s="544"/>
      <c r="X650" s="544"/>
      <c r="Y650" s="544"/>
      <c r="Z650" s="544"/>
      <c r="AA650" s="544"/>
      <c r="AB650" s="544"/>
    </row>
    <row r="651" spans="1:28" x14ac:dyDescent="0.2">
      <c r="A651" s="544"/>
      <c r="B651" s="544"/>
      <c r="C651" s="544"/>
      <c r="D651" s="544"/>
      <c r="E651" s="544"/>
      <c r="F651" s="569"/>
      <c r="G651" s="544"/>
      <c r="H651" s="544"/>
      <c r="I651" s="544"/>
      <c r="J651" s="544"/>
      <c r="K651" s="569"/>
      <c r="L651" s="544"/>
      <c r="M651" s="544"/>
      <c r="N651" s="544"/>
      <c r="O651" s="544"/>
      <c r="P651" s="544"/>
      <c r="Q651" s="544"/>
      <c r="R651" s="544"/>
      <c r="S651" s="544"/>
      <c r="T651" s="544"/>
      <c r="U651" s="544"/>
      <c r="V651" s="544"/>
      <c r="W651" s="544"/>
      <c r="X651" s="544"/>
      <c r="Y651" s="544"/>
      <c r="Z651" s="544"/>
      <c r="AA651" s="544"/>
      <c r="AB651" s="544"/>
    </row>
    <row r="652" spans="1:28" x14ac:dyDescent="0.2">
      <c r="A652" s="544"/>
      <c r="B652" s="544"/>
      <c r="C652" s="544"/>
      <c r="D652" s="544"/>
      <c r="E652" s="544"/>
      <c r="F652" s="569"/>
      <c r="G652" s="544"/>
      <c r="H652" s="544"/>
      <c r="I652" s="544"/>
      <c r="J652" s="544"/>
      <c r="K652" s="569"/>
      <c r="L652" s="544"/>
      <c r="M652" s="544"/>
      <c r="N652" s="544"/>
      <c r="O652" s="544"/>
      <c r="P652" s="544"/>
      <c r="Q652" s="544"/>
      <c r="R652" s="544"/>
      <c r="S652" s="544"/>
      <c r="T652" s="544"/>
      <c r="U652" s="544"/>
      <c r="V652" s="544"/>
      <c r="W652" s="544"/>
      <c r="X652" s="544"/>
      <c r="Y652" s="544"/>
      <c r="Z652" s="544"/>
      <c r="AA652" s="544"/>
      <c r="AB652" s="544"/>
    </row>
    <row r="653" spans="1:28" x14ac:dyDescent="0.2">
      <c r="A653" s="544"/>
      <c r="B653" s="544"/>
      <c r="C653" s="544"/>
      <c r="D653" s="544"/>
      <c r="E653" s="544"/>
      <c r="F653" s="569"/>
      <c r="G653" s="544"/>
      <c r="H653" s="544"/>
      <c r="I653" s="544"/>
      <c r="J653" s="544"/>
      <c r="K653" s="569"/>
      <c r="L653" s="544"/>
      <c r="M653" s="544"/>
      <c r="N653" s="544"/>
      <c r="O653" s="544"/>
      <c r="P653" s="544"/>
      <c r="Q653" s="544"/>
      <c r="R653" s="544"/>
      <c r="S653" s="544"/>
      <c r="T653" s="544"/>
      <c r="U653" s="544"/>
      <c r="V653" s="544"/>
      <c r="W653" s="544"/>
      <c r="X653" s="544"/>
      <c r="Y653" s="544"/>
      <c r="Z653" s="544"/>
      <c r="AA653" s="544"/>
      <c r="AB653" s="544"/>
    </row>
    <row r="654" spans="1:28" x14ac:dyDescent="0.2">
      <c r="A654" s="544"/>
      <c r="B654" s="544"/>
      <c r="C654" s="544"/>
      <c r="D654" s="544"/>
      <c r="E654" s="544"/>
      <c r="F654" s="569"/>
      <c r="G654" s="544"/>
      <c r="H654" s="544"/>
      <c r="I654" s="544"/>
      <c r="J654" s="544"/>
      <c r="K654" s="569"/>
      <c r="L654" s="544"/>
      <c r="M654" s="544"/>
      <c r="N654" s="544"/>
      <c r="O654" s="544"/>
      <c r="P654" s="544"/>
      <c r="Q654" s="544"/>
      <c r="R654" s="544"/>
      <c r="S654" s="544"/>
      <c r="T654" s="544"/>
      <c r="U654" s="544"/>
      <c r="V654" s="544"/>
      <c r="W654" s="544"/>
      <c r="X654" s="544"/>
      <c r="Y654" s="544"/>
      <c r="Z654" s="544"/>
      <c r="AA654" s="544"/>
      <c r="AB654" s="544"/>
    </row>
    <row r="655" spans="1:28" x14ac:dyDescent="0.2">
      <c r="A655" s="544"/>
      <c r="B655" s="544"/>
      <c r="C655" s="544"/>
      <c r="D655" s="544"/>
      <c r="E655" s="544"/>
      <c r="F655" s="569"/>
      <c r="G655" s="544"/>
      <c r="H655" s="544"/>
      <c r="I655" s="544"/>
      <c r="J655" s="544"/>
      <c r="K655" s="569"/>
      <c r="L655" s="544"/>
      <c r="M655" s="544"/>
      <c r="N655" s="544"/>
      <c r="O655" s="544"/>
      <c r="P655" s="544"/>
      <c r="Q655" s="544"/>
      <c r="R655" s="544"/>
      <c r="S655" s="544"/>
      <c r="T655" s="544"/>
      <c r="U655" s="544"/>
      <c r="V655" s="544"/>
      <c r="W655" s="544"/>
      <c r="X655" s="544"/>
      <c r="Y655" s="544"/>
      <c r="Z655" s="544"/>
      <c r="AA655" s="544"/>
      <c r="AB655" s="544"/>
    </row>
    <row r="656" spans="1:28" x14ac:dyDescent="0.2">
      <c r="A656" s="544"/>
      <c r="B656" s="544"/>
      <c r="C656" s="544"/>
      <c r="D656" s="544"/>
      <c r="E656" s="544"/>
      <c r="F656" s="569"/>
      <c r="G656" s="544"/>
      <c r="H656" s="544"/>
      <c r="I656" s="544"/>
      <c r="J656" s="544"/>
      <c r="K656" s="569"/>
      <c r="L656" s="544"/>
      <c r="M656" s="544"/>
      <c r="N656" s="544"/>
      <c r="O656" s="544"/>
      <c r="P656" s="544"/>
      <c r="Q656" s="544"/>
      <c r="R656" s="544"/>
      <c r="S656" s="544"/>
      <c r="T656" s="544"/>
      <c r="U656" s="544"/>
      <c r="V656" s="544"/>
      <c r="W656" s="544"/>
      <c r="X656" s="544"/>
      <c r="Y656" s="544"/>
      <c r="Z656" s="544"/>
      <c r="AA656" s="544"/>
      <c r="AB656" s="544"/>
    </row>
    <row r="657" spans="1:28" x14ac:dyDescent="0.2">
      <c r="A657" s="544"/>
      <c r="B657" s="544"/>
      <c r="C657" s="544"/>
      <c r="D657" s="544"/>
      <c r="E657" s="544"/>
      <c r="F657" s="569"/>
      <c r="G657" s="544"/>
      <c r="H657" s="544"/>
      <c r="I657" s="544"/>
      <c r="J657" s="544"/>
      <c r="K657" s="569"/>
      <c r="L657" s="544"/>
      <c r="M657" s="544"/>
      <c r="N657" s="544"/>
      <c r="O657" s="544"/>
      <c r="P657" s="544"/>
      <c r="Q657" s="544"/>
      <c r="R657" s="544"/>
      <c r="S657" s="544"/>
      <c r="T657" s="544"/>
      <c r="U657" s="544"/>
      <c r="V657" s="544"/>
      <c r="W657" s="544"/>
      <c r="X657" s="544"/>
      <c r="Y657" s="544"/>
      <c r="Z657" s="544"/>
      <c r="AA657" s="544"/>
      <c r="AB657" s="544"/>
    </row>
    <row r="658" spans="1:28" x14ac:dyDescent="0.2">
      <c r="A658" s="544"/>
      <c r="B658" s="544"/>
      <c r="C658" s="544"/>
      <c r="D658" s="544"/>
      <c r="E658" s="544"/>
      <c r="F658" s="569"/>
      <c r="G658" s="544"/>
      <c r="H658" s="544"/>
      <c r="I658" s="544"/>
      <c r="J658" s="544"/>
      <c r="K658" s="569"/>
      <c r="L658" s="544"/>
      <c r="M658" s="544"/>
      <c r="N658" s="544"/>
      <c r="O658" s="544"/>
      <c r="P658" s="544"/>
      <c r="Q658" s="544"/>
      <c r="R658" s="544"/>
      <c r="S658" s="544"/>
      <c r="T658" s="544"/>
      <c r="U658" s="544"/>
      <c r="V658" s="544"/>
      <c r="W658" s="544"/>
      <c r="X658" s="544"/>
      <c r="Y658" s="544"/>
      <c r="Z658" s="544"/>
      <c r="AA658" s="544"/>
      <c r="AB658" s="544"/>
    </row>
    <row r="659" spans="1:28" x14ac:dyDescent="0.2">
      <c r="A659" s="544"/>
      <c r="B659" s="544"/>
      <c r="C659" s="544"/>
      <c r="D659" s="544"/>
      <c r="E659" s="544"/>
      <c r="F659" s="569"/>
      <c r="G659" s="544"/>
      <c r="H659" s="544"/>
      <c r="I659" s="544"/>
      <c r="J659" s="544"/>
      <c r="K659" s="569"/>
      <c r="L659" s="544"/>
      <c r="M659" s="544"/>
      <c r="N659" s="544"/>
      <c r="O659" s="544"/>
      <c r="P659" s="544"/>
      <c r="Q659" s="544"/>
      <c r="R659" s="544"/>
      <c r="S659" s="544"/>
      <c r="T659" s="544"/>
      <c r="U659" s="544"/>
      <c r="V659" s="544"/>
      <c r="W659" s="544"/>
      <c r="X659" s="544"/>
      <c r="Y659" s="544"/>
      <c r="Z659" s="544"/>
      <c r="AA659" s="544"/>
      <c r="AB659" s="544"/>
    </row>
    <row r="660" spans="1:28" x14ac:dyDescent="0.2">
      <c r="A660" s="544"/>
      <c r="B660" s="544"/>
      <c r="C660" s="544"/>
      <c r="D660" s="544"/>
      <c r="E660" s="544"/>
      <c r="F660" s="569"/>
      <c r="G660" s="544"/>
      <c r="H660" s="544"/>
      <c r="I660" s="544"/>
      <c r="J660" s="544"/>
      <c r="K660" s="569"/>
      <c r="L660" s="544"/>
      <c r="M660" s="544"/>
      <c r="N660" s="544"/>
      <c r="O660" s="544"/>
      <c r="P660" s="544"/>
      <c r="Q660" s="544"/>
      <c r="R660" s="544"/>
      <c r="S660" s="544"/>
      <c r="T660" s="544"/>
      <c r="U660" s="544"/>
      <c r="V660" s="544"/>
      <c r="W660" s="544"/>
      <c r="X660" s="544"/>
      <c r="Y660" s="544"/>
      <c r="Z660" s="544"/>
      <c r="AA660" s="544"/>
      <c r="AB660" s="544"/>
    </row>
    <row r="661" spans="1:28" x14ac:dyDescent="0.2">
      <c r="A661" s="544"/>
      <c r="B661" s="544"/>
      <c r="C661" s="544"/>
      <c r="D661" s="544"/>
      <c r="E661" s="544"/>
      <c r="F661" s="569"/>
      <c r="G661" s="544"/>
      <c r="H661" s="544"/>
      <c r="I661" s="544"/>
      <c r="J661" s="544"/>
      <c r="K661" s="569"/>
      <c r="L661" s="544"/>
      <c r="M661" s="544"/>
      <c r="N661" s="544"/>
      <c r="O661" s="544"/>
      <c r="P661" s="544"/>
      <c r="Q661" s="544"/>
      <c r="R661" s="544"/>
      <c r="S661" s="544"/>
      <c r="T661" s="544"/>
      <c r="U661" s="544"/>
      <c r="V661" s="544"/>
      <c r="W661" s="544"/>
      <c r="X661" s="544"/>
      <c r="Y661" s="544"/>
      <c r="Z661" s="544"/>
      <c r="AA661" s="544"/>
      <c r="AB661" s="544"/>
    </row>
    <row r="662" spans="1:28" x14ac:dyDescent="0.2">
      <c r="A662" s="544"/>
      <c r="B662" s="544"/>
      <c r="C662" s="544"/>
      <c r="D662" s="544"/>
      <c r="E662" s="544"/>
      <c r="F662" s="569"/>
      <c r="G662" s="544"/>
      <c r="H662" s="544"/>
      <c r="I662" s="544"/>
      <c r="J662" s="544"/>
      <c r="K662" s="569"/>
      <c r="L662" s="544"/>
      <c r="M662" s="544"/>
      <c r="N662" s="544"/>
      <c r="O662" s="544"/>
      <c r="P662" s="544"/>
      <c r="Q662" s="544"/>
      <c r="R662" s="544"/>
      <c r="S662" s="544"/>
      <c r="T662" s="544"/>
      <c r="U662" s="544"/>
      <c r="V662" s="544"/>
      <c r="W662" s="544"/>
      <c r="X662" s="544"/>
      <c r="Y662" s="544"/>
      <c r="Z662" s="544"/>
      <c r="AA662" s="544"/>
      <c r="AB662" s="544"/>
    </row>
    <row r="663" spans="1:28" x14ac:dyDescent="0.2">
      <c r="A663" s="544"/>
      <c r="B663" s="544"/>
      <c r="C663" s="544"/>
      <c r="D663" s="544"/>
      <c r="E663" s="544"/>
      <c r="F663" s="569"/>
      <c r="G663" s="544"/>
      <c r="H663" s="544"/>
      <c r="I663" s="544"/>
      <c r="J663" s="544"/>
      <c r="K663" s="569"/>
      <c r="L663" s="544"/>
      <c r="M663" s="544"/>
      <c r="N663" s="544"/>
      <c r="O663" s="544"/>
      <c r="P663" s="544"/>
      <c r="Q663" s="544"/>
      <c r="R663" s="544"/>
      <c r="S663" s="544"/>
      <c r="T663" s="544"/>
      <c r="U663" s="544"/>
      <c r="V663" s="544"/>
      <c r="W663" s="544"/>
      <c r="X663" s="544"/>
      <c r="Y663" s="544"/>
      <c r="Z663" s="544"/>
      <c r="AA663" s="544"/>
      <c r="AB663" s="544"/>
    </row>
    <row r="664" spans="1:28" x14ac:dyDescent="0.2">
      <c r="A664" s="544"/>
      <c r="B664" s="544"/>
      <c r="C664" s="544"/>
      <c r="D664" s="544"/>
      <c r="E664" s="544"/>
      <c r="F664" s="569"/>
      <c r="G664" s="544"/>
      <c r="H664" s="544"/>
      <c r="I664" s="544"/>
      <c r="J664" s="544"/>
      <c r="K664" s="569"/>
      <c r="L664" s="544"/>
      <c r="M664" s="544"/>
      <c r="N664" s="544"/>
      <c r="O664" s="544"/>
      <c r="P664" s="544"/>
      <c r="Q664" s="544"/>
      <c r="R664" s="544"/>
      <c r="S664" s="544"/>
      <c r="T664" s="544"/>
      <c r="U664" s="544"/>
      <c r="V664" s="544"/>
      <c r="W664" s="544"/>
      <c r="X664" s="544"/>
      <c r="Y664" s="544"/>
      <c r="Z664" s="544"/>
      <c r="AA664" s="544"/>
      <c r="AB664" s="544"/>
    </row>
    <row r="665" spans="1:28" x14ac:dyDescent="0.2">
      <c r="A665" s="544"/>
      <c r="B665" s="544"/>
      <c r="C665" s="544"/>
      <c r="D665" s="544"/>
      <c r="E665" s="544"/>
      <c r="F665" s="569"/>
      <c r="G665" s="544"/>
      <c r="H665" s="544"/>
      <c r="I665" s="544"/>
      <c r="J665" s="544"/>
      <c r="K665" s="569"/>
      <c r="L665" s="544"/>
      <c r="M665" s="544"/>
      <c r="N665" s="544"/>
      <c r="O665" s="544"/>
      <c r="P665" s="544"/>
      <c r="Q665" s="544"/>
      <c r="R665" s="544"/>
      <c r="S665" s="544"/>
      <c r="T665" s="544"/>
      <c r="U665" s="544"/>
      <c r="V665" s="544"/>
      <c r="W665" s="544"/>
      <c r="X665" s="544"/>
      <c r="Y665" s="544"/>
      <c r="Z665" s="544"/>
      <c r="AA665" s="544"/>
      <c r="AB665" s="544"/>
    </row>
    <row r="666" spans="1:28" x14ac:dyDescent="0.2">
      <c r="A666" s="544"/>
      <c r="B666" s="544"/>
      <c r="C666" s="544"/>
      <c r="D666" s="544"/>
      <c r="E666" s="544"/>
      <c r="F666" s="569"/>
      <c r="G666" s="544"/>
      <c r="H666" s="544"/>
      <c r="I666" s="544"/>
      <c r="J666" s="544"/>
      <c r="K666" s="569"/>
      <c r="L666" s="544"/>
      <c r="M666" s="544"/>
      <c r="N666" s="544"/>
      <c r="O666" s="544"/>
      <c r="P666" s="544"/>
      <c r="Q666" s="544"/>
      <c r="R666" s="544"/>
      <c r="S666" s="544"/>
      <c r="T666" s="544"/>
      <c r="U666" s="544"/>
      <c r="V666" s="544"/>
      <c r="W666" s="544"/>
      <c r="X666" s="544"/>
      <c r="Y666" s="544"/>
      <c r="Z666" s="544"/>
      <c r="AA666" s="544"/>
      <c r="AB666" s="544"/>
    </row>
    <row r="667" spans="1:28" x14ac:dyDescent="0.2">
      <c r="A667" s="544"/>
      <c r="B667" s="544"/>
      <c r="C667" s="544"/>
      <c r="D667" s="544"/>
      <c r="E667" s="544"/>
      <c r="F667" s="569"/>
      <c r="G667" s="544"/>
      <c r="H667" s="544"/>
      <c r="I667" s="544"/>
      <c r="J667" s="544"/>
      <c r="K667" s="569"/>
      <c r="L667" s="544"/>
      <c r="M667" s="544"/>
      <c r="N667" s="544"/>
      <c r="O667" s="544"/>
      <c r="P667" s="544"/>
      <c r="Q667" s="544"/>
      <c r="R667" s="544"/>
      <c r="S667" s="544"/>
      <c r="T667" s="544"/>
      <c r="U667" s="544"/>
      <c r="V667" s="544"/>
      <c r="W667" s="544"/>
      <c r="X667" s="544"/>
      <c r="Y667" s="544"/>
      <c r="Z667" s="544"/>
      <c r="AA667" s="544"/>
      <c r="AB667" s="544"/>
    </row>
    <row r="668" spans="1:28" x14ac:dyDescent="0.2">
      <c r="A668" s="544"/>
      <c r="B668" s="544"/>
      <c r="C668" s="544"/>
      <c r="D668" s="544"/>
      <c r="E668" s="544"/>
      <c r="F668" s="569"/>
      <c r="G668" s="544"/>
      <c r="H668" s="544"/>
      <c r="I668" s="544"/>
      <c r="J668" s="544"/>
      <c r="K668" s="569"/>
      <c r="L668" s="544"/>
      <c r="M668" s="544"/>
      <c r="N668" s="544"/>
      <c r="O668" s="544"/>
      <c r="P668" s="544"/>
      <c r="Q668" s="544"/>
      <c r="R668" s="544"/>
      <c r="S668" s="544"/>
      <c r="T668" s="544"/>
      <c r="U668" s="544"/>
      <c r="V668" s="544"/>
      <c r="W668" s="544"/>
      <c r="X668" s="544"/>
      <c r="Y668" s="544"/>
      <c r="Z668" s="544"/>
      <c r="AA668" s="544"/>
      <c r="AB668" s="544"/>
    </row>
    <row r="669" spans="1:28" x14ac:dyDescent="0.2">
      <c r="A669" s="544"/>
      <c r="B669" s="544"/>
      <c r="C669" s="544"/>
      <c r="D669" s="544"/>
      <c r="E669" s="544"/>
      <c r="F669" s="569"/>
      <c r="G669" s="544"/>
      <c r="H669" s="544"/>
      <c r="I669" s="544"/>
      <c r="J669" s="544"/>
      <c r="K669" s="569"/>
      <c r="L669" s="544"/>
      <c r="M669" s="544"/>
      <c r="N669" s="544"/>
      <c r="O669" s="544"/>
      <c r="P669" s="544"/>
      <c r="Q669" s="544"/>
      <c r="R669" s="544"/>
      <c r="S669" s="544"/>
      <c r="T669" s="544"/>
      <c r="U669" s="544"/>
      <c r="V669" s="544"/>
      <c r="W669" s="544"/>
      <c r="X669" s="544"/>
      <c r="Y669" s="544"/>
      <c r="Z669" s="544"/>
      <c r="AA669" s="544"/>
      <c r="AB669" s="544"/>
    </row>
    <row r="670" spans="1:28" x14ac:dyDescent="0.2">
      <c r="A670" s="544"/>
      <c r="B670" s="544"/>
      <c r="C670" s="544"/>
      <c r="D670" s="544"/>
      <c r="E670" s="544"/>
      <c r="F670" s="569"/>
      <c r="G670" s="544"/>
      <c r="H670" s="544"/>
      <c r="I670" s="544"/>
      <c r="J670" s="544"/>
      <c r="K670" s="569"/>
      <c r="L670" s="544"/>
      <c r="M670" s="544"/>
      <c r="N670" s="544"/>
      <c r="O670" s="544"/>
      <c r="P670" s="544"/>
      <c r="Q670" s="544"/>
      <c r="R670" s="544"/>
      <c r="S670" s="544"/>
      <c r="T670" s="544"/>
      <c r="U670" s="544"/>
      <c r="V670" s="544"/>
      <c r="W670" s="544"/>
      <c r="X670" s="544"/>
      <c r="Y670" s="544"/>
      <c r="Z670" s="544"/>
      <c r="AA670" s="544"/>
      <c r="AB670" s="544"/>
    </row>
    <row r="671" spans="1:28" x14ac:dyDescent="0.2">
      <c r="A671" s="544"/>
      <c r="B671" s="544"/>
      <c r="C671" s="544"/>
      <c r="D671" s="544"/>
      <c r="E671" s="544"/>
      <c r="F671" s="569"/>
      <c r="G671" s="544"/>
      <c r="H671" s="544"/>
      <c r="I671" s="544"/>
      <c r="J671" s="544"/>
      <c r="K671" s="569"/>
      <c r="L671" s="544"/>
      <c r="M671" s="544"/>
      <c r="N671" s="544"/>
      <c r="O671" s="544"/>
      <c r="P671" s="544"/>
      <c r="Q671" s="544"/>
      <c r="R671" s="544"/>
      <c r="S671" s="544"/>
      <c r="T671" s="544"/>
      <c r="U671" s="544"/>
      <c r="V671" s="544"/>
      <c r="W671" s="544"/>
      <c r="X671" s="544"/>
      <c r="Y671" s="544"/>
      <c r="Z671" s="544"/>
      <c r="AA671" s="544"/>
      <c r="AB671" s="544"/>
    </row>
    <row r="672" spans="1:28" x14ac:dyDescent="0.2">
      <c r="A672" s="544"/>
      <c r="B672" s="544"/>
      <c r="C672" s="544"/>
      <c r="D672" s="544"/>
      <c r="E672" s="544"/>
      <c r="F672" s="569"/>
      <c r="G672" s="544"/>
      <c r="H672" s="544"/>
      <c r="I672" s="544"/>
      <c r="J672" s="544"/>
      <c r="K672" s="569"/>
      <c r="L672" s="544"/>
      <c r="M672" s="544"/>
      <c r="N672" s="544"/>
      <c r="O672" s="544"/>
      <c r="P672" s="544"/>
      <c r="Q672" s="544"/>
      <c r="R672" s="544"/>
      <c r="S672" s="544"/>
      <c r="T672" s="544"/>
      <c r="U672" s="544"/>
      <c r="V672" s="544"/>
      <c r="W672" s="544"/>
      <c r="X672" s="544"/>
      <c r="Y672" s="544"/>
      <c r="Z672" s="544"/>
      <c r="AA672" s="544"/>
      <c r="AB672" s="544"/>
    </row>
    <row r="673" spans="1:28" x14ac:dyDescent="0.2">
      <c r="A673" s="544"/>
      <c r="B673" s="544"/>
      <c r="C673" s="544"/>
      <c r="D673" s="544"/>
      <c r="E673" s="544"/>
      <c r="F673" s="569"/>
      <c r="G673" s="544"/>
      <c r="H673" s="544"/>
      <c r="I673" s="544"/>
      <c r="J673" s="544"/>
      <c r="K673" s="569"/>
      <c r="L673" s="544"/>
      <c r="M673" s="544"/>
      <c r="N673" s="544"/>
      <c r="O673" s="544"/>
      <c r="P673" s="544"/>
      <c r="Q673" s="544"/>
      <c r="R673" s="544"/>
      <c r="S673" s="544"/>
      <c r="T673" s="544"/>
      <c r="U673" s="544"/>
      <c r="V673" s="544"/>
      <c r="W673" s="544"/>
      <c r="X673" s="544"/>
      <c r="Y673" s="544"/>
      <c r="Z673" s="544"/>
      <c r="AA673" s="544"/>
      <c r="AB673" s="544"/>
    </row>
    <row r="674" spans="1:28" x14ac:dyDescent="0.2">
      <c r="A674" s="544"/>
      <c r="B674" s="544"/>
      <c r="C674" s="544"/>
      <c r="D674" s="544"/>
      <c r="E674" s="544"/>
      <c r="F674" s="569"/>
      <c r="G674" s="544"/>
      <c r="H674" s="544"/>
      <c r="I674" s="544"/>
      <c r="J674" s="544"/>
      <c r="K674" s="569"/>
      <c r="L674" s="544"/>
      <c r="M674" s="544"/>
      <c r="N674" s="544"/>
      <c r="O674" s="544"/>
      <c r="P674" s="544"/>
      <c r="Q674" s="544"/>
      <c r="R674" s="544"/>
      <c r="S674" s="544"/>
      <c r="T674" s="544"/>
      <c r="U674" s="544"/>
      <c r="V674" s="544"/>
      <c r="W674" s="544"/>
      <c r="X674" s="544"/>
      <c r="Y674" s="544"/>
      <c r="Z674" s="544"/>
      <c r="AA674" s="544"/>
      <c r="AB674" s="544"/>
    </row>
    <row r="675" spans="1:28" x14ac:dyDescent="0.2">
      <c r="A675" s="544"/>
      <c r="B675" s="544"/>
      <c r="C675" s="544"/>
      <c r="D675" s="544"/>
      <c r="E675" s="544"/>
      <c r="F675" s="569"/>
      <c r="G675" s="544"/>
      <c r="H675" s="544"/>
      <c r="I675" s="544"/>
      <c r="J675" s="544"/>
      <c r="K675" s="569"/>
      <c r="L675" s="544"/>
      <c r="M675" s="544"/>
      <c r="N675" s="544"/>
      <c r="O675" s="544"/>
      <c r="P675" s="544"/>
      <c r="Q675" s="544"/>
      <c r="R675" s="544"/>
      <c r="S675" s="544"/>
      <c r="T675" s="544"/>
      <c r="U675" s="544"/>
      <c r="V675" s="544"/>
      <c r="W675" s="544"/>
      <c r="X675" s="544"/>
      <c r="Y675" s="544"/>
      <c r="Z675" s="544"/>
      <c r="AA675" s="544"/>
      <c r="AB675" s="544"/>
    </row>
    <row r="676" spans="1:28" x14ac:dyDescent="0.2">
      <c r="A676" s="544"/>
      <c r="B676" s="544"/>
      <c r="C676" s="544"/>
      <c r="D676" s="544"/>
      <c r="E676" s="544"/>
      <c r="F676" s="569"/>
      <c r="G676" s="544"/>
      <c r="H676" s="544"/>
      <c r="I676" s="544"/>
      <c r="J676" s="544"/>
      <c r="K676" s="569"/>
      <c r="L676" s="544"/>
      <c r="M676" s="544"/>
      <c r="N676" s="544"/>
      <c r="O676" s="544"/>
      <c r="P676" s="544"/>
      <c r="Q676" s="544"/>
      <c r="R676" s="544"/>
      <c r="S676" s="544"/>
      <c r="T676" s="544"/>
      <c r="U676" s="544"/>
      <c r="V676" s="544"/>
      <c r="W676" s="544"/>
      <c r="X676" s="544"/>
      <c r="Y676" s="544"/>
      <c r="Z676" s="544"/>
      <c r="AA676" s="544"/>
      <c r="AB676" s="544"/>
    </row>
    <row r="677" spans="1:28" x14ac:dyDescent="0.2">
      <c r="A677" s="544"/>
      <c r="B677" s="544"/>
      <c r="C677" s="544"/>
      <c r="D677" s="544"/>
      <c r="E677" s="544"/>
      <c r="F677" s="569"/>
      <c r="G677" s="544"/>
      <c r="H677" s="544"/>
      <c r="I677" s="544"/>
      <c r="J677" s="544"/>
      <c r="K677" s="569"/>
      <c r="L677" s="544"/>
      <c r="M677" s="544"/>
      <c r="N677" s="544"/>
      <c r="O677" s="544"/>
      <c r="P677" s="544"/>
      <c r="Q677" s="544"/>
      <c r="R677" s="544"/>
      <c r="S677" s="544"/>
      <c r="T677" s="544"/>
      <c r="U677" s="544"/>
      <c r="V677" s="544"/>
      <c r="W677" s="544"/>
      <c r="X677" s="544"/>
      <c r="Y677" s="544"/>
      <c r="Z677" s="544"/>
      <c r="AA677" s="544"/>
      <c r="AB677" s="544"/>
    </row>
    <row r="678" spans="1:28" x14ac:dyDescent="0.2">
      <c r="A678" s="544"/>
      <c r="B678" s="544"/>
      <c r="C678" s="544"/>
      <c r="D678" s="544"/>
      <c r="E678" s="544"/>
      <c r="F678" s="569"/>
      <c r="G678" s="544"/>
      <c r="H678" s="544"/>
      <c r="I678" s="544"/>
      <c r="J678" s="544"/>
      <c r="K678" s="569"/>
      <c r="L678" s="544"/>
      <c r="M678" s="544"/>
      <c r="N678" s="544"/>
      <c r="O678" s="544"/>
      <c r="P678" s="544"/>
      <c r="Q678" s="544"/>
      <c r="R678" s="544"/>
      <c r="S678" s="544"/>
      <c r="T678" s="544"/>
      <c r="U678" s="544"/>
      <c r="V678" s="544"/>
      <c r="W678" s="544"/>
      <c r="X678" s="544"/>
      <c r="Y678" s="544"/>
      <c r="Z678" s="544"/>
      <c r="AA678" s="544"/>
      <c r="AB678" s="544"/>
    </row>
    <row r="679" spans="1:28" x14ac:dyDescent="0.2">
      <c r="A679" s="544"/>
      <c r="B679" s="544"/>
      <c r="C679" s="544"/>
      <c r="D679" s="544"/>
      <c r="E679" s="544"/>
      <c r="F679" s="569"/>
      <c r="G679" s="544"/>
      <c r="H679" s="544"/>
      <c r="I679" s="544"/>
      <c r="J679" s="544"/>
      <c r="K679" s="569"/>
      <c r="L679" s="544"/>
      <c r="M679" s="544"/>
      <c r="N679" s="544"/>
      <c r="O679" s="544"/>
      <c r="P679" s="544"/>
      <c r="Q679" s="544"/>
      <c r="R679" s="544"/>
      <c r="S679" s="544"/>
      <c r="T679" s="544"/>
      <c r="U679" s="544"/>
      <c r="V679" s="544"/>
      <c r="W679" s="544"/>
      <c r="X679" s="544"/>
      <c r="Y679" s="544"/>
      <c r="Z679" s="544"/>
      <c r="AA679" s="544"/>
      <c r="AB679" s="544"/>
    </row>
    <row r="680" spans="1:28" x14ac:dyDescent="0.2">
      <c r="A680" s="544"/>
      <c r="B680" s="544"/>
      <c r="C680" s="544"/>
      <c r="D680" s="544"/>
      <c r="E680" s="544"/>
      <c r="F680" s="569"/>
      <c r="G680" s="544"/>
      <c r="H680" s="544"/>
      <c r="I680" s="544"/>
      <c r="J680" s="544"/>
      <c r="K680" s="569"/>
      <c r="L680" s="544"/>
      <c r="M680" s="544"/>
      <c r="N680" s="544"/>
      <c r="O680" s="544"/>
      <c r="P680" s="544"/>
      <c r="Q680" s="544"/>
      <c r="R680" s="544"/>
      <c r="S680" s="544"/>
      <c r="T680" s="544"/>
      <c r="U680" s="544"/>
      <c r="V680" s="544"/>
      <c r="W680" s="544"/>
      <c r="X680" s="544"/>
      <c r="Y680" s="544"/>
      <c r="Z680" s="544"/>
      <c r="AA680" s="544"/>
      <c r="AB680" s="544"/>
    </row>
    <row r="681" spans="1:28" x14ac:dyDescent="0.2">
      <c r="A681" s="544"/>
      <c r="B681" s="544"/>
      <c r="C681" s="544"/>
      <c r="D681" s="544"/>
      <c r="E681" s="544"/>
      <c r="F681" s="569"/>
      <c r="G681" s="544"/>
      <c r="H681" s="544"/>
      <c r="I681" s="544"/>
      <c r="J681" s="544"/>
      <c r="K681" s="569"/>
      <c r="L681" s="544"/>
      <c r="M681" s="544"/>
      <c r="N681" s="544"/>
      <c r="O681" s="544"/>
      <c r="P681" s="544"/>
      <c r="Q681" s="544"/>
      <c r="R681" s="544"/>
      <c r="S681" s="544"/>
      <c r="T681" s="544"/>
      <c r="U681" s="544"/>
      <c r="V681" s="544"/>
      <c r="W681" s="544"/>
      <c r="X681" s="544"/>
      <c r="Y681" s="544"/>
      <c r="Z681" s="544"/>
      <c r="AA681" s="544"/>
      <c r="AB681" s="544"/>
    </row>
    <row r="682" spans="1:28" x14ac:dyDescent="0.2">
      <c r="A682" s="544"/>
      <c r="B682" s="544"/>
      <c r="C682" s="544"/>
      <c r="D682" s="544"/>
      <c r="E682" s="544"/>
      <c r="F682" s="569"/>
      <c r="G682" s="544"/>
      <c r="H682" s="544"/>
      <c r="I682" s="544"/>
      <c r="J682" s="544"/>
      <c r="K682" s="569"/>
      <c r="L682" s="544"/>
      <c r="M682" s="544"/>
      <c r="N682" s="544"/>
      <c r="O682" s="544"/>
      <c r="P682" s="544"/>
      <c r="Q682" s="544"/>
      <c r="R682" s="544"/>
      <c r="S682" s="544"/>
      <c r="T682" s="544"/>
      <c r="U682" s="544"/>
      <c r="V682" s="544"/>
      <c r="W682" s="544"/>
      <c r="X682" s="544"/>
      <c r="Y682" s="544"/>
      <c r="Z682" s="544"/>
      <c r="AA682" s="544"/>
      <c r="AB682" s="544"/>
    </row>
    <row r="683" spans="1:28" x14ac:dyDescent="0.2">
      <c r="A683" s="544"/>
      <c r="B683" s="544"/>
      <c r="C683" s="544"/>
      <c r="D683" s="544"/>
      <c r="E683" s="544"/>
      <c r="F683" s="569"/>
      <c r="G683" s="544"/>
      <c r="H683" s="544"/>
      <c r="I683" s="544"/>
      <c r="J683" s="544"/>
      <c r="K683" s="569"/>
      <c r="L683" s="544"/>
      <c r="M683" s="544"/>
      <c r="N683" s="544"/>
      <c r="O683" s="544"/>
      <c r="P683" s="544"/>
      <c r="Q683" s="544"/>
      <c r="R683" s="544"/>
      <c r="S683" s="544"/>
      <c r="T683" s="544"/>
      <c r="U683" s="544"/>
      <c r="V683" s="544"/>
      <c r="W683" s="544"/>
      <c r="X683" s="544"/>
      <c r="Y683" s="544"/>
      <c r="Z683" s="544"/>
      <c r="AA683" s="544"/>
      <c r="AB683" s="544"/>
    </row>
    <row r="684" spans="1:28" x14ac:dyDescent="0.2">
      <c r="A684" s="544"/>
      <c r="B684" s="544"/>
      <c r="C684" s="544"/>
      <c r="D684" s="544"/>
      <c r="E684" s="544"/>
      <c r="F684" s="569"/>
      <c r="G684" s="544"/>
      <c r="H684" s="544"/>
      <c r="I684" s="544"/>
      <c r="J684" s="544"/>
      <c r="K684" s="569"/>
      <c r="L684" s="544"/>
      <c r="M684" s="544"/>
      <c r="N684" s="544"/>
      <c r="O684" s="544"/>
      <c r="P684" s="544"/>
      <c r="Q684" s="544"/>
      <c r="R684" s="544"/>
      <c r="S684" s="544"/>
      <c r="T684" s="544"/>
      <c r="U684" s="544"/>
      <c r="V684" s="544"/>
      <c r="W684" s="544"/>
      <c r="X684" s="544"/>
      <c r="Y684" s="544"/>
      <c r="Z684" s="544"/>
      <c r="AA684" s="544"/>
      <c r="AB684" s="544"/>
    </row>
    <row r="685" spans="1:28" x14ac:dyDescent="0.2">
      <c r="A685" s="544"/>
      <c r="B685" s="544"/>
      <c r="C685" s="544"/>
      <c r="D685" s="544"/>
      <c r="E685" s="544"/>
      <c r="F685" s="569"/>
      <c r="G685" s="544"/>
      <c r="H685" s="544"/>
      <c r="I685" s="544"/>
      <c r="J685" s="544"/>
      <c r="K685" s="569"/>
      <c r="L685" s="544"/>
      <c r="M685" s="544"/>
      <c r="N685" s="544"/>
      <c r="O685" s="544"/>
      <c r="P685" s="544"/>
      <c r="Q685" s="544"/>
      <c r="R685" s="544"/>
      <c r="S685" s="544"/>
      <c r="T685" s="544"/>
      <c r="U685" s="544"/>
      <c r="V685" s="544"/>
      <c r="W685" s="544"/>
      <c r="X685" s="544"/>
      <c r="Y685" s="544"/>
      <c r="Z685" s="544"/>
      <c r="AA685" s="544"/>
      <c r="AB685" s="544"/>
    </row>
    <row r="686" spans="1:28" x14ac:dyDescent="0.2">
      <c r="A686" s="544"/>
      <c r="B686" s="544"/>
      <c r="C686" s="544"/>
      <c r="D686" s="544"/>
      <c r="E686" s="544"/>
      <c r="F686" s="569"/>
      <c r="G686" s="544"/>
      <c r="H686" s="544"/>
      <c r="I686" s="544"/>
      <c r="J686" s="544"/>
      <c r="K686" s="569"/>
      <c r="L686" s="544"/>
      <c r="M686" s="544"/>
      <c r="N686" s="544"/>
      <c r="O686" s="544"/>
      <c r="P686" s="544"/>
      <c r="Q686" s="544"/>
      <c r="R686" s="544"/>
      <c r="S686" s="544"/>
      <c r="T686" s="544"/>
      <c r="U686" s="544"/>
      <c r="V686" s="544"/>
      <c r="W686" s="544"/>
      <c r="X686" s="544"/>
      <c r="Y686" s="544"/>
      <c r="Z686" s="544"/>
      <c r="AA686" s="544"/>
      <c r="AB686" s="544"/>
    </row>
    <row r="687" spans="1:28" x14ac:dyDescent="0.2">
      <c r="A687" s="544"/>
      <c r="B687" s="544"/>
      <c r="C687" s="544"/>
      <c r="D687" s="544"/>
      <c r="E687" s="544"/>
      <c r="F687" s="569"/>
      <c r="G687" s="544"/>
      <c r="H687" s="544"/>
      <c r="I687" s="544"/>
      <c r="J687" s="544"/>
      <c r="K687" s="569"/>
      <c r="L687" s="544"/>
      <c r="M687" s="544"/>
      <c r="N687" s="544"/>
      <c r="O687" s="544"/>
      <c r="P687" s="544"/>
      <c r="Q687" s="544"/>
      <c r="R687" s="544"/>
      <c r="S687" s="544"/>
      <c r="T687" s="544"/>
      <c r="U687" s="544"/>
      <c r="V687" s="544"/>
      <c r="W687" s="544"/>
      <c r="X687" s="544"/>
      <c r="Y687" s="544"/>
      <c r="Z687" s="544"/>
      <c r="AA687" s="544"/>
      <c r="AB687" s="544"/>
    </row>
    <row r="688" spans="1:28" x14ac:dyDescent="0.2">
      <c r="A688" s="544"/>
      <c r="B688" s="544"/>
      <c r="C688" s="544"/>
      <c r="D688" s="544"/>
      <c r="E688" s="544"/>
      <c r="F688" s="569"/>
      <c r="G688" s="544"/>
      <c r="H688" s="544"/>
      <c r="I688" s="544"/>
      <c r="J688" s="544"/>
      <c r="K688" s="569"/>
      <c r="L688" s="544"/>
      <c r="M688" s="544"/>
      <c r="N688" s="544"/>
      <c r="O688" s="544"/>
      <c r="P688" s="544"/>
      <c r="Q688" s="544"/>
      <c r="R688" s="544"/>
      <c r="S688" s="544"/>
      <c r="T688" s="544"/>
      <c r="U688" s="544"/>
      <c r="V688" s="544"/>
      <c r="W688" s="544"/>
      <c r="X688" s="544"/>
      <c r="Y688" s="544"/>
      <c r="Z688" s="544"/>
      <c r="AA688" s="544"/>
      <c r="AB688" s="544"/>
    </row>
    <row r="689" spans="1:28" x14ac:dyDescent="0.2">
      <c r="A689" s="544"/>
      <c r="B689" s="544"/>
      <c r="C689" s="544"/>
      <c r="D689" s="544"/>
      <c r="E689" s="544"/>
      <c r="F689" s="569"/>
      <c r="G689" s="544"/>
      <c r="H689" s="544"/>
      <c r="I689" s="544"/>
      <c r="J689" s="544"/>
      <c r="K689" s="569"/>
      <c r="L689" s="544"/>
      <c r="M689" s="544"/>
      <c r="N689" s="544"/>
      <c r="O689" s="544"/>
      <c r="P689" s="544"/>
      <c r="Q689" s="544"/>
      <c r="R689" s="544"/>
      <c r="S689" s="544"/>
      <c r="T689" s="544"/>
      <c r="U689" s="544"/>
      <c r="V689" s="544"/>
      <c r="W689" s="544"/>
      <c r="X689" s="544"/>
      <c r="Y689" s="544"/>
      <c r="Z689" s="544"/>
      <c r="AA689" s="544"/>
      <c r="AB689" s="544"/>
    </row>
    <row r="690" spans="1:28" x14ac:dyDescent="0.2">
      <c r="A690" s="544"/>
      <c r="B690" s="544"/>
      <c r="C690" s="544"/>
      <c r="D690" s="544"/>
      <c r="E690" s="544"/>
      <c r="F690" s="569"/>
      <c r="G690" s="544"/>
      <c r="H690" s="544"/>
      <c r="I690" s="544"/>
      <c r="J690" s="544"/>
      <c r="K690" s="569"/>
      <c r="L690" s="544"/>
      <c r="M690" s="544"/>
      <c r="N690" s="544"/>
      <c r="O690" s="544"/>
      <c r="P690" s="544"/>
      <c r="Q690" s="544"/>
      <c r="R690" s="544"/>
      <c r="S690" s="544"/>
      <c r="T690" s="544"/>
      <c r="U690" s="544"/>
      <c r="V690" s="544"/>
      <c r="W690" s="544"/>
      <c r="X690" s="544"/>
      <c r="Y690" s="544"/>
      <c r="Z690" s="544"/>
      <c r="AA690" s="544"/>
      <c r="AB690" s="544"/>
    </row>
    <row r="691" spans="1:28" x14ac:dyDescent="0.2">
      <c r="A691" s="544"/>
      <c r="B691" s="544"/>
      <c r="C691" s="544"/>
      <c r="D691" s="544"/>
      <c r="E691" s="544"/>
      <c r="F691" s="569"/>
      <c r="G691" s="544"/>
      <c r="H691" s="544"/>
      <c r="I691" s="544"/>
      <c r="J691" s="544"/>
      <c r="K691" s="569"/>
      <c r="L691" s="544"/>
      <c r="M691" s="544"/>
      <c r="N691" s="544"/>
      <c r="O691" s="544"/>
      <c r="P691" s="544"/>
      <c r="Q691" s="544"/>
      <c r="R691" s="544"/>
      <c r="S691" s="544"/>
      <c r="T691" s="544"/>
      <c r="U691" s="544"/>
      <c r="V691" s="544"/>
      <c r="W691" s="544"/>
      <c r="X691" s="544"/>
      <c r="Y691" s="544"/>
      <c r="Z691" s="544"/>
      <c r="AA691" s="544"/>
      <c r="AB691" s="544"/>
    </row>
    <row r="692" spans="1:28" x14ac:dyDescent="0.2">
      <c r="A692" s="544"/>
      <c r="B692" s="544"/>
      <c r="C692" s="544"/>
      <c r="D692" s="544"/>
      <c r="E692" s="544"/>
      <c r="F692" s="569"/>
      <c r="G692" s="544"/>
      <c r="H692" s="544"/>
      <c r="I692" s="544"/>
      <c r="J692" s="544"/>
      <c r="K692" s="569"/>
      <c r="L692" s="544"/>
      <c r="M692" s="544"/>
      <c r="N692" s="544"/>
      <c r="O692" s="544"/>
      <c r="P692" s="544"/>
      <c r="Q692" s="544"/>
      <c r="R692" s="544"/>
      <c r="S692" s="544"/>
      <c r="T692" s="544"/>
      <c r="U692" s="544"/>
      <c r="V692" s="544"/>
      <c r="W692" s="544"/>
      <c r="X692" s="544"/>
      <c r="Y692" s="544"/>
      <c r="Z692" s="544"/>
      <c r="AA692" s="544"/>
      <c r="AB692" s="544"/>
    </row>
    <row r="693" spans="1:28" x14ac:dyDescent="0.2">
      <c r="A693" s="544"/>
      <c r="B693" s="544"/>
      <c r="C693" s="544"/>
      <c r="D693" s="544"/>
      <c r="E693" s="544"/>
      <c r="F693" s="569"/>
      <c r="G693" s="544"/>
      <c r="H693" s="544"/>
      <c r="I693" s="544"/>
      <c r="J693" s="544"/>
      <c r="K693" s="569"/>
      <c r="L693" s="544"/>
      <c r="M693" s="544"/>
      <c r="N693" s="544"/>
      <c r="O693" s="544"/>
      <c r="P693" s="544"/>
      <c r="Q693" s="544"/>
      <c r="R693" s="544"/>
      <c r="S693" s="544"/>
      <c r="T693" s="544"/>
      <c r="U693" s="544"/>
      <c r="V693" s="544"/>
      <c r="W693" s="544"/>
      <c r="X693" s="544"/>
      <c r="Y693" s="544"/>
      <c r="Z693" s="544"/>
      <c r="AA693" s="544"/>
      <c r="AB693" s="544"/>
    </row>
    <row r="694" spans="1:28" x14ac:dyDescent="0.2">
      <c r="A694" s="544"/>
      <c r="B694" s="544"/>
      <c r="C694" s="544"/>
      <c r="D694" s="544"/>
      <c r="E694" s="544"/>
      <c r="F694" s="569"/>
      <c r="G694" s="544"/>
      <c r="H694" s="544"/>
      <c r="I694" s="544"/>
      <c r="J694" s="544"/>
      <c r="K694" s="569"/>
      <c r="L694" s="544"/>
      <c r="M694" s="544"/>
      <c r="N694" s="544"/>
      <c r="O694" s="544"/>
      <c r="P694" s="544"/>
      <c r="Q694" s="544"/>
      <c r="R694" s="544"/>
      <c r="S694" s="544"/>
      <c r="T694" s="544"/>
      <c r="U694" s="544"/>
      <c r="V694" s="544"/>
      <c r="W694" s="544"/>
      <c r="X694" s="544"/>
      <c r="Y694" s="544"/>
      <c r="Z694" s="544"/>
      <c r="AA694" s="544"/>
      <c r="AB694" s="544"/>
    </row>
    <row r="695" spans="1:28" x14ac:dyDescent="0.2">
      <c r="A695" s="544"/>
      <c r="B695" s="544"/>
      <c r="C695" s="544"/>
      <c r="D695" s="544"/>
      <c r="E695" s="544"/>
      <c r="F695" s="569"/>
      <c r="G695" s="544"/>
      <c r="H695" s="544"/>
      <c r="I695" s="544"/>
      <c r="J695" s="544"/>
      <c r="K695" s="569"/>
      <c r="L695" s="544"/>
      <c r="M695" s="544"/>
      <c r="N695" s="544"/>
      <c r="O695" s="544"/>
      <c r="P695" s="544"/>
      <c r="Q695" s="544"/>
      <c r="R695" s="544"/>
      <c r="S695" s="544"/>
      <c r="T695" s="544"/>
      <c r="U695" s="544"/>
      <c r="V695" s="544"/>
      <c r="W695" s="544"/>
      <c r="X695" s="544"/>
      <c r="Y695" s="544"/>
      <c r="Z695" s="544"/>
      <c r="AA695" s="544"/>
      <c r="AB695" s="544"/>
    </row>
    <row r="696" spans="1:28" x14ac:dyDescent="0.2">
      <c r="A696" s="544"/>
      <c r="B696" s="544"/>
      <c r="C696" s="544"/>
      <c r="D696" s="544"/>
      <c r="E696" s="544"/>
      <c r="F696" s="569"/>
      <c r="G696" s="544"/>
      <c r="H696" s="544"/>
      <c r="I696" s="544"/>
      <c r="J696" s="544"/>
      <c r="K696" s="569"/>
      <c r="L696" s="544"/>
      <c r="M696" s="544"/>
      <c r="N696" s="544"/>
      <c r="O696" s="544"/>
      <c r="P696" s="544"/>
      <c r="Q696" s="544"/>
      <c r="R696" s="544"/>
      <c r="S696" s="544"/>
      <c r="T696" s="544"/>
      <c r="U696" s="544"/>
      <c r="V696" s="544"/>
      <c r="W696" s="544"/>
      <c r="X696" s="544"/>
      <c r="Y696" s="544"/>
      <c r="Z696" s="544"/>
      <c r="AA696" s="544"/>
      <c r="AB696" s="544"/>
    </row>
    <row r="697" spans="1:28" x14ac:dyDescent="0.2">
      <c r="A697" s="544"/>
      <c r="B697" s="544"/>
      <c r="C697" s="544"/>
      <c r="D697" s="544"/>
      <c r="E697" s="544"/>
      <c r="F697" s="569"/>
      <c r="G697" s="544"/>
      <c r="H697" s="544"/>
      <c r="I697" s="544"/>
      <c r="J697" s="544"/>
      <c r="K697" s="569"/>
      <c r="L697" s="544"/>
      <c r="M697" s="544"/>
      <c r="N697" s="544"/>
      <c r="O697" s="544"/>
      <c r="P697" s="544"/>
      <c r="Q697" s="544"/>
      <c r="R697" s="544"/>
      <c r="S697" s="544"/>
      <c r="T697" s="544"/>
      <c r="U697" s="544"/>
      <c r="V697" s="544"/>
      <c r="W697" s="544"/>
      <c r="X697" s="544"/>
      <c r="Y697" s="544"/>
      <c r="Z697" s="544"/>
      <c r="AA697" s="544"/>
      <c r="AB697" s="544"/>
    </row>
    <row r="698" spans="1:28" x14ac:dyDescent="0.2">
      <c r="A698" s="544"/>
      <c r="B698" s="544"/>
      <c r="C698" s="544"/>
      <c r="D698" s="544"/>
      <c r="E698" s="544"/>
      <c r="F698" s="569"/>
      <c r="G698" s="544"/>
      <c r="H698" s="544"/>
      <c r="I698" s="544"/>
      <c r="J698" s="544"/>
      <c r="K698" s="569"/>
      <c r="L698" s="544"/>
      <c r="M698" s="544"/>
      <c r="N698" s="544"/>
      <c r="O698" s="544"/>
      <c r="P698" s="544"/>
      <c r="Q698" s="544"/>
      <c r="R698" s="544"/>
      <c r="S698" s="544"/>
      <c r="T698" s="544"/>
      <c r="U698" s="544"/>
      <c r="V698" s="544"/>
      <c r="W698" s="544"/>
      <c r="X698" s="544"/>
      <c r="Y698" s="544"/>
      <c r="Z698" s="544"/>
      <c r="AA698" s="544"/>
      <c r="AB698" s="544"/>
    </row>
    <row r="699" spans="1:28" x14ac:dyDescent="0.2">
      <c r="A699" s="544"/>
      <c r="B699" s="544"/>
      <c r="C699" s="544"/>
      <c r="D699" s="544"/>
      <c r="E699" s="544"/>
      <c r="F699" s="569"/>
      <c r="G699" s="544"/>
      <c r="H699" s="544"/>
      <c r="I699" s="544"/>
      <c r="J699" s="544"/>
      <c r="K699" s="569"/>
      <c r="L699" s="544"/>
      <c r="M699" s="544"/>
      <c r="N699" s="544"/>
      <c r="O699" s="544"/>
      <c r="P699" s="544"/>
      <c r="Q699" s="544"/>
      <c r="R699" s="544"/>
      <c r="S699" s="544"/>
      <c r="T699" s="544"/>
      <c r="U699" s="544"/>
      <c r="V699" s="544"/>
      <c r="W699" s="544"/>
      <c r="X699" s="544"/>
      <c r="Y699" s="544"/>
      <c r="Z699" s="544"/>
      <c r="AA699" s="544"/>
      <c r="AB699" s="544"/>
    </row>
    <row r="700" spans="1:28" x14ac:dyDescent="0.2">
      <c r="A700" s="544"/>
      <c r="B700" s="544"/>
      <c r="C700" s="544"/>
      <c r="D700" s="544"/>
      <c r="E700" s="544"/>
      <c r="F700" s="569"/>
      <c r="G700" s="544"/>
      <c r="H700" s="544"/>
      <c r="I700" s="544"/>
      <c r="J700" s="544"/>
      <c r="K700" s="569"/>
      <c r="L700" s="544"/>
      <c r="M700" s="544"/>
      <c r="N700" s="544"/>
      <c r="O700" s="544"/>
      <c r="P700" s="544"/>
      <c r="Q700" s="544"/>
      <c r="R700" s="544"/>
      <c r="S700" s="544"/>
      <c r="T700" s="544"/>
      <c r="U700" s="544"/>
      <c r="V700" s="544"/>
      <c r="W700" s="544"/>
      <c r="X700" s="544"/>
      <c r="Y700" s="544"/>
      <c r="Z700" s="544"/>
      <c r="AA700" s="544"/>
      <c r="AB700" s="544"/>
    </row>
    <row r="701" spans="1:28" x14ac:dyDescent="0.2">
      <c r="A701" s="544"/>
      <c r="B701" s="544"/>
      <c r="C701" s="544"/>
      <c r="D701" s="544"/>
      <c r="E701" s="544"/>
      <c r="F701" s="569"/>
      <c r="G701" s="544"/>
      <c r="H701" s="544"/>
      <c r="I701" s="544"/>
      <c r="J701" s="544"/>
      <c r="K701" s="569"/>
      <c r="L701" s="544"/>
      <c r="M701" s="544"/>
      <c r="N701" s="544"/>
      <c r="O701" s="544"/>
      <c r="P701" s="544"/>
      <c r="Q701" s="544"/>
      <c r="R701" s="544"/>
      <c r="S701" s="544"/>
      <c r="T701" s="544"/>
      <c r="U701" s="544"/>
      <c r="V701" s="544"/>
      <c r="W701" s="544"/>
      <c r="X701" s="544"/>
      <c r="Y701" s="544"/>
      <c r="Z701" s="544"/>
      <c r="AA701" s="544"/>
      <c r="AB701" s="544"/>
    </row>
    <row r="702" spans="1:28" x14ac:dyDescent="0.2">
      <c r="A702" s="544"/>
      <c r="B702" s="544"/>
      <c r="C702" s="544"/>
      <c r="D702" s="544"/>
      <c r="E702" s="544"/>
      <c r="F702" s="569"/>
      <c r="G702" s="544"/>
      <c r="H702" s="544"/>
      <c r="I702" s="544"/>
      <c r="J702" s="544"/>
      <c r="K702" s="569"/>
      <c r="L702" s="544"/>
      <c r="M702" s="544"/>
      <c r="N702" s="544"/>
      <c r="O702" s="544"/>
      <c r="P702" s="544"/>
      <c r="Q702" s="544"/>
      <c r="R702" s="544"/>
      <c r="S702" s="544"/>
      <c r="T702" s="544"/>
      <c r="U702" s="544"/>
      <c r="V702" s="544"/>
      <c r="W702" s="544"/>
      <c r="X702" s="544"/>
      <c r="Y702" s="544"/>
      <c r="Z702" s="544"/>
      <c r="AA702" s="544"/>
      <c r="AB702" s="544"/>
    </row>
    <row r="703" spans="1:28" x14ac:dyDescent="0.2">
      <c r="A703" s="544"/>
      <c r="B703" s="544"/>
      <c r="C703" s="544"/>
      <c r="D703" s="544"/>
      <c r="E703" s="544"/>
      <c r="F703" s="569"/>
      <c r="G703" s="544"/>
      <c r="H703" s="544"/>
      <c r="I703" s="544"/>
      <c r="J703" s="544"/>
      <c r="K703" s="569"/>
      <c r="L703" s="544"/>
      <c r="M703" s="544"/>
      <c r="N703" s="544"/>
      <c r="O703" s="544"/>
      <c r="P703" s="544"/>
      <c r="Q703" s="544"/>
      <c r="R703" s="544"/>
      <c r="S703" s="544"/>
      <c r="T703" s="544"/>
      <c r="U703" s="544"/>
      <c r="V703" s="544"/>
      <c r="W703" s="544"/>
      <c r="X703" s="544"/>
      <c r="Y703" s="544"/>
      <c r="Z703" s="544"/>
      <c r="AA703" s="544"/>
      <c r="AB703" s="544"/>
    </row>
    <row r="704" spans="1:28" x14ac:dyDescent="0.2">
      <c r="A704" s="544"/>
      <c r="B704" s="544"/>
      <c r="C704" s="544"/>
      <c r="D704" s="544"/>
      <c r="E704" s="544"/>
      <c r="F704" s="569"/>
      <c r="G704" s="544"/>
      <c r="H704" s="544"/>
      <c r="I704" s="544"/>
      <c r="J704" s="544"/>
      <c r="K704" s="569"/>
      <c r="L704" s="544"/>
      <c r="M704" s="544"/>
      <c r="N704" s="544"/>
      <c r="O704" s="544"/>
      <c r="P704" s="544"/>
      <c r="Q704" s="544"/>
      <c r="R704" s="544"/>
      <c r="S704" s="544"/>
      <c r="T704" s="544"/>
      <c r="U704" s="544"/>
      <c r="V704" s="544"/>
      <c r="W704" s="544"/>
      <c r="X704" s="544"/>
      <c r="Y704" s="544"/>
      <c r="Z704" s="544"/>
      <c r="AA704" s="544"/>
      <c r="AB704" s="544"/>
    </row>
    <row r="705" spans="1:28" x14ac:dyDescent="0.2">
      <c r="A705" s="544"/>
      <c r="B705" s="544"/>
      <c r="C705" s="544"/>
      <c r="D705" s="544"/>
      <c r="E705" s="544"/>
      <c r="F705" s="569"/>
      <c r="G705" s="544"/>
      <c r="H705" s="544"/>
      <c r="I705" s="544"/>
      <c r="J705" s="544"/>
      <c r="K705" s="569"/>
      <c r="L705" s="544"/>
      <c r="M705" s="544"/>
      <c r="N705" s="544"/>
      <c r="O705" s="544"/>
      <c r="P705" s="544"/>
      <c r="Q705" s="544"/>
      <c r="R705" s="544"/>
      <c r="S705" s="544"/>
      <c r="T705" s="544"/>
      <c r="U705" s="544"/>
      <c r="V705" s="544"/>
      <c r="W705" s="544"/>
      <c r="X705" s="544"/>
      <c r="Y705" s="544"/>
      <c r="Z705" s="544"/>
      <c r="AA705" s="544"/>
      <c r="AB705" s="544"/>
    </row>
    <row r="706" spans="1:28" x14ac:dyDescent="0.2">
      <c r="A706" s="544"/>
      <c r="B706" s="544"/>
      <c r="C706" s="544"/>
      <c r="D706" s="544"/>
      <c r="E706" s="544"/>
      <c r="F706" s="569"/>
      <c r="G706" s="544"/>
      <c r="H706" s="544"/>
      <c r="I706" s="544"/>
      <c r="J706" s="544"/>
      <c r="K706" s="569"/>
      <c r="L706" s="544"/>
      <c r="M706" s="544"/>
      <c r="N706" s="544"/>
      <c r="O706" s="544"/>
      <c r="P706" s="544"/>
      <c r="Q706" s="544"/>
      <c r="R706" s="544"/>
      <c r="S706" s="544"/>
      <c r="T706" s="544"/>
      <c r="U706" s="544"/>
      <c r="V706" s="544"/>
      <c r="W706" s="544"/>
      <c r="X706" s="544"/>
      <c r="Y706" s="544"/>
      <c r="Z706" s="544"/>
      <c r="AA706" s="544"/>
      <c r="AB706" s="544"/>
    </row>
    <row r="707" spans="1:28" x14ac:dyDescent="0.2">
      <c r="A707" s="544"/>
      <c r="B707" s="544"/>
      <c r="C707" s="544"/>
      <c r="D707" s="544"/>
      <c r="E707" s="544"/>
      <c r="F707" s="569"/>
      <c r="G707" s="544"/>
      <c r="H707" s="544"/>
      <c r="I707" s="544"/>
      <c r="J707" s="544"/>
      <c r="K707" s="569"/>
      <c r="L707" s="544"/>
      <c r="M707" s="544"/>
      <c r="N707" s="544"/>
      <c r="O707" s="544"/>
      <c r="P707" s="544"/>
      <c r="Q707" s="544"/>
      <c r="R707" s="544"/>
      <c r="S707" s="544"/>
      <c r="T707" s="544"/>
      <c r="U707" s="544"/>
      <c r="V707" s="544"/>
      <c r="W707" s="544"/>
      <c r="X707" s="544"/>
      <c r="Y707" s="544"/>
      <c r="Z707" s="544"/>
      <c r="AA707" s="544"/>
      <c r="AB707" s="544"/>
    </row>
    <row r="708" spans="1:28" x14ac:dyDescent="0.2">
      <c r="A708" s="544"/>
      <c r="B708" s="544"/>
      <c r="C708" s="544"/>
      <c r="D708" s="544"/>
      <c r="E708" s="544"/>
      <c r="F708" s="569"/>
      <c r="G708" s="544"/>
      <c r="H708" s="544"/>
      <c r="I708" s="544"/>
      <c r="J708" s="544"/>
      <c r="K708" s="569"/>
      <c r="L708" s="544"/>
      <c r="M708" s="544"/>
      <c r="N708" s="544"/>
      <c r="O708" s="544"/>
      <c r="P708" s="544"/>
      <c r="Q708" s="544"/>
      <c r="R708" s="544"/>
      <c r="S708" s="544"/>
      <c r="T708" s="544"/>
      <c r="U708" s="544"/>
      <c r="V708" s="544"/>
      <c r="W708" s="544"/>
      <c r="X708" s="544"/>
      <c r="Y708" s="544"/>
      <c r="Z708" s="544"/>
      <c r="AA708" s="544"/>
      <c r="AB708" s="544"/>
    </row>
    <row r="709" spans="1:28" x14ac:dyDescent="0.2">
      <c r="A709" s="544"/>
      <c r="B709" s="544"/>
      <c r="C709" s="544"/>
      <c r="D709" s="544"/>
      <c r="E709" s="544"/>
      <c r="F709" s="569"/>
      <c r="G709" s="544"/>
      <c r="H709" s="544"/>
      <c r="I709" s="544"/>
      <c r="J709" s="544"/>
      <c r="K709" s="569"/>
      <c r="L709" s="544"/>
      <c r="M709" s="544"/>
      <c r="N709" s="544"/>
      <c r="O709" s="544"/>
      <c r="P709" s="544"/>
      <c r="Q709" s="544"/>
      <c r="R709" s="544"/>
      <c r="S709" s="544"/>
      <c r="T709" s="544"/>
      <c r="U709" s="544"/>
      <c r="V709" s="544"/>
      <c r="W709" s="544"/>
      <c r="X709" s="544"/>
      <c r="Y709" s="544"/>
      <c r="Z709" s="544"/>
      <c r="AA709" s="544"/>
      <c r="AB709" s="544"/>
    </row>
    <row r="710" spans="1:28" x14ac:dyDescent="0.2">
      <c r="A710" s="544"/>
      <c r="B710" s="544"/>
      <c r="C710" s="544"/>
      <c r="D710" s="544"/>
      <c r="E710" s="544"/>
      <c r="F710" s="569"/>
      <c r="G710" s="544"/>
      <c r="H710" s="544"/>
      <c r="I710" s="544"/>
      <c r="J710" s="544"/>
      <c r="K710" s="569"/>
      <c r="L710" s="544"/>
      <c r="M710" s="544"/>
      <c r="N710" s="544"/>
      <c r="O710" s="544"/>
      <c r="P710" s="544"/>
      <c r="Q710" s="544"/>
      <c r="R710" s="544"/>
      <c r="S710" s="544"/>
      <c r="T710" s="544"/>
      <c r="U710" s="544"/>
      <c r="V710" s="544"/>
      <c r="W710" s="544"/>
      <c r="X710" s="544"/>
      <c r="Y710" s="544"/>
      <c r="Z710" s="544"/>
      <c r="AA710" s="544"/>
      <c r="AB710" s="544"/>
    </row>
    <row r="711" spans="1:28" x14ac:dyDescent="0.2">
      <c r="A711" s="544"/>
      <c r="B711" s="544"/>
      <c r="C711" s="544"/>
      <c r="D711" s="544"/>
      <c r="E711" s="544"/>
      <c r="F711" s="569"/>
      <c r="G711" s="544"/>
      <c r="H711" s="544"/>
      <c r="I711" s="544"/>
      <c r="J711" s="544"/>
      <c r="K711" s="569"/>
      <c r="L711" s="544"/>
      <c r="M711" s="544"/>
      <c r="N711" s="544"/>
      <c r="O711" s="544"/>
      <c r="P711" s="544"/>
      <c r="Q711" s="544"/>
      <c r="R711" s="544"/>
      <c r="S711" s="544"/>
      <c r="T711" s="544"/>
      <c r="U711" s="544"/>
      <c r="V711" s="544"/>
      <c r="W711" s="544"/>
      <c r="X711" s="544"/>
      <c r="Y711" s="544"/>
      <c r="Z711" s="544"/>
      <c r="AA711" s="544"/>
      <c r="AB711" s="544"/>
    </row>
    <row r="712" spans="1:28" x14ac:dyDescent="0.2">
      <c r="A712" s="544"/>
      <c r="B712" s="544"/>
      <c r="C712" s="544"/>
      <c r="D712" s="544"/>
      <c r="E712" s="544"/>
      <c r="F712" s="569"/>
      <c r="G712" s="544"/>
      <c r="H712" s="544"/>
      <c r="I712" s="544"/>
      <c r="J712" s="544"/>
      <c r="K712" s="569"/>
      <c r="L712" s="544"/>
      <c r="M712" s="544"/>
      <c r="N712" s="544"/>
      <c r="O712" s="544"/>
      <c r="P712" s="544"/>
      <c r="Q712" s="544"/>
      <c r="R712" s="544"/>
      <c r="S712" s="544"/>
      <c r="T712" s="544"/>
      <c r="U712" s="544"/>
      <c r="V712" s="544"/>
      <c r="W712" s="544"/>
      <c r="X712" s="544"/>
      <c r="Y712" s="544"/>
      <c r="Z712" s="544"/>
      <c r="AA712" s="544"/>
      <c r="AB712" s="544"/>
    </row>
    <row r="713" spans="1:28" x14ac:dyDescent="0.2">
      <c r="A713" s="544"/>
      <c r="B713" s="544"/>
      <c r="C713" s="544"/>
      <c r="D713" s="544"/>
      <c r="E713" s="544"/>
      <c r="F713" s="569"/>
      <c r="G713" s="544"/>
      <c r="H713" s="544"/>
      <c r="I713" s="544"/>
      <c r="J713" s="544"/>
      <c r="K713" s="569"/>
      <c r="L713" s="544"/>
      <c r="M713" s="544"/>
      <c r="N713" s="544"/>
      <c r="O713" s="544"/>
      <c r="P713" s="544"/>
      <c r="Q713" s="544"/>
      <c r="R713" s="544"/>
      <c r="S713" s="544"/>
      <c r="T713" s="544"/>
      <c r="U713" s="544"/>
      <c r="V713" s="544"/>
      <c r="W713" s="544"/>
      <c r="X713" s="544"/>
      <c r="Y713" s="544"/>
      <c r="Z713" s="544"/>
      <c r="AA713" s="544"/>
      <c r="AB713" s="544"/>
    </row>
    <row r="714" spans="1:28" x14ac:dyDescent="0.2">
      <c r="A714" s="544"/>
      <c r="B714" s="544"/>
      <c r="C714" s="544"/>
      <c r="D714" s="544"/>
      <c r="E714" s="544"/>
      <c r="F714" s="569"/>
      <c r="G714" s="544"/>
      <c r="H714" s="544"/>
      <c r="I714" s="544"/>
      <c r="J714" s="544"/>
      <c r="K714" s="569"/>
      <c r="L714" s="544"/>
      <c r="M714" s="544"/>
      <c r="N714" s="544"/>
      <c r="O714" s="544"/>
      <c r="P714" s="544"/>
      <c r="Q714" s="544"/>
      <c r="R714" s="544"/>
      <c r="S714" s="544"/>
      <c r="T714" s="544"/>
      <c r="U714" s="544"/>
      <c r="V714" s="544"/>
      <c r="W714" s="544"/>
      <c r="X714" s="544"/>
      <c r="Y714" s="544"/>
      <c r="Z714" s="544"/>
      <c r="AA714" s="544"/>
      <c r="AB714" s="544"/>
    </row>
    <row r="715" spans="1:28" x14ac:dyDescent="0.2">
      <c r="A715" s="544"/>
      <c r="B715" s="544"/>
      <c r="C715" s="544"/>
      <c r="D715" s="544"/>
      <c r="E715" s="544"/>
      <c r="F715" s="569"/>
      <c r="G715" s="544"/>
      <c r="H715" s="544"/>
      <c r="I715" s="544"/>
      <c r="J715" s="544"/>
      <c r="K715" s="569"/>
      <c r="L715" s="544"/>
      <c r="M715" s="544"/>
      <c r="N715" s="544"/>
      <c r="O715" s="544"/>
      <c r="P715" s="544"/>
      <c r="Q715" s="544"/>
      <c r="R715" s="544"/>
      <c r="S715" s="544"/>
      <c r="T715" s="544"/>
      <c r="U715" s="544"/>
      <c r="V715" s="544"/>
      <c r="W715" s="544"/>
      <c r="X715" s="544"/>
      <c r="Y715" s="544"/>
      <c r="Z715" s="544"/>
      <c r="AA715" s="544"/>
      <c r="AB715" s="544"/>
    </row>
    <row r="716" spans="1:28" x14ac:dyDescent="0.2">
      <c r="A716" s="544"/>
      <c r="B716" s="544"/>
      <c r="C716" s="544"/>
      <c r="D716" s="544"/>
      <c r="E716" s="544"/>
      <c r="F716" s="569"/>
      <c r="G716" s="544"/>
      <c r="H716" s="544"/>
      <c r="I716" s="544"/>
      <c r="J716" s="544"/>
      <c r="K716" s="569"/>
      <c r="L716" s="544"/>
      <c r="M716" s="544"/>
      <c r="N716" s="544"/>
      <c r="O716" s="544"/>
      <c r="P716" s="544"/>
      <c r="Q716" s="544"/>
      <c r="R716" s="544"/>
      <c r="S716" s="544"/>
      <c r="T716" s="544"/>
      <c r="U716" s="544"/>
      <c r="V716" s="544"/>
      <c r="W716" s="544"/>
      <c r="X716" s="544"/>
      <c r="Y716" s="544"/>
      <c r="Z716" s="544"/>
      <c r="AA716" s="544"/>
      <c r="AB716" s="544"/>
    </row>
    <row r="717" spans="1:28" x14ac:dyDescent="0.2">
      <c r="A717" s="544"/>
      <c r="B717" s="544"/>
      <c r="C717" s="544"/>
      <c r="D717" s="544"/>
      <c r="E717" s="544"/>
      <c r="F717" s="569"/>
      <c r="G717" s="544"/>
      <c r="H717" s="544"/>
      <c r="I717" s="544"/>
      <c r="J717" s="544"/>
      <c r="K717" s="569"/>
      <c r="L717" s="544"/>
      <c r="M717" s="544"/>
      <c r="N717" s="544"/>
      <c r="O717" s="544"/>
      <c r="P717" s="544"/>
      <c r="Q717" s="544"/>
      <c r="R717" s="544"/>
      <c r="S717" s="544"/>
      <c r="T717" s="544"/>
      <c r="U717" s="544"/>
      <c r="V717" s="544"/>
      <c r="W717" s="544"/>
      <c r="X717" s="544"/>
      <c r="Y717" s="544"/>
      <c r="Z717" s="544"/>
      <c r="AA717" s="544"/>
      <c r="AB717" s="544"/>
    </row>
    <row r="718" spans="1:28" x14ac:dyDescent="0.2">
      <c r="A718" s="544"/>
      <c r="B718" s="544"/>
      <c r="C718" s="544"/>
      <c r="D718" s="544"/>
      <c r="E718" s="544"/>
      <c r="F718" s="569"/>
      <c r="G718" s="544"/>
      <c r="H718" s="544"/>
      <c r="I718" s="544"/>
      <c r="J718" s="544"/>
      <c r="K718" s="569"/>
      <c r="L718" s="544"/>
      <c r="M718" s="544"/>
      <c r="N718" s="544"/>
      <c r="O718" s="544"/>
      <c r="P718" s="544"/>
      <c r="Q718" s="544"/>
      <c r="R718" s="544"/>
      <c r="S718" s="544"/>
      <c r="T718" s="544"/>
      <c r="U718" s="544"/>
      <c r="V718" s="544"/>
      <c r="W718" s="544"/>
      <c r="X718" s="544"/>
      <c r="Y718" s="544"/>
      <c r="Z718" s="544"/>
      <c r="AA718" s="544"/>
      <c r="AB718" s="544"/>
    </row>
    <row r="719" spans="1:28" x14ac:dyDescent="0.2">
      <c r="A719" s="544"/>
      <c r="B719" s="544"/>
      <c r="C719" s="544"/>
      <c r="D719" s="544"/>
      <c r="E719" s="544"/>
      <c r="F719" s="569"/>
      <c r="G719" s="544"/>
      <c r="H719" s="544"/>
      <c r="I719" s="544"/>
      <c r="J719" s="544"/>
      <c r="K719" s="569"/>
      <c r="L719" s="544"/>
      <c r="M719" s="544"/>
      <c r="N719" s="544"/>
      <c r="O719" s="544"/>
      <c r="P719" s="544"/>
      <c r="Q719" s="544"/>
      <c r="R719" s="544"/>
      <c r="S719" s="544"/>
      <c r="T719" s="544"/>
      <c r="U719" s="544"/>
      <c r="V719" s="544"/>
      <c r="W719" s="544"/>
      <c r="X719" s="544"/>
      <c r="Y719" s="544"/>
      <c r="Z719" s="544"/>
      <c r="AA719" s="544"/>
      <c r="AB719" s="544"/>
    </row>
    <row r="720" spans="1:28" x14ac:dyDescent="0.2">
      <c r="A720" s="544"/>
      <c r="B720" s="544"/>
      <c r="C720" s="544"/>
      <c r="D720" s="544"/>
      <c r="E720" s="544"/>
      <c r="F720" s="569"/>
      <c r="G720" s="544"/>
      <c r="H720" s="544"/>
      <c r="I720" s="544"/>
      <c r="J720" s="544"/>
      <c r="K720" s="569"/>
      <c r="L720" s="544"/>
      <c r="M720" s="544"/>
      <c r="N720" s="544"/>
      <c r="O720" s="544"/>
      <c r="P720" s="544"/>
      <c r="Q720" s="544"/>
      <c r="R720" s="544"/>
      <c r="S720" s="544"/>
      <c r="T720" s="544"/>
      <c r="U720" s="544"/>
      <c r="V720" s="544"/>
      <c r="W720" s="544"/>
      <c r="X720" s="544"/>
      <c r="Y720" s="544"/>
      <c r="Z720" s="544"/>
      <c r="AA720" s="544"/>
      <c r="AB720" s="544"/>
    </row>
    <row r="721" spans="1:28" x14ac:dyDescent="0.2">
      <c r="A721" s="544"/>
      <c r="B721" s="544"/>
      <c r="C721" s="544"/>
      <c r="D721" s="544"/>
      <c r="E721" s="544"/>
      <c r="F721" s="569"/>
      <c r="G721" s="544"/>
      <c r="H721" s="544"/>
      <c r="I721" s="544"/>
      <c r="J721" s="544"/>
      <c r="K721" s="569"/>
      <c r="L721" s="544"/>
      <c r="M721" s="544"/>
      <c r="N721" s="544"/>
      <c r="O721" s="544"/>
      <c r="P721" s="544"/>
      <c r="Q721" s="544"/>
      <c r="R721" s="544"/>
      <c r="S721" s="544"/>
      <c r="T721" s="544"/>
      <c r="U721" s="544"/>
      <c r="V721" s="544"/>
      <c r="W721" s="544"/>
      <c r="X721" s="544"/>
      <c r="Y721" s="544"/>
      <c r="Z721" s="544"/>
      <c r="AA721" s="544"/>
      <c r="AB721" s="544"/>
    </row>
    <row r="722" spans="1:28" x14ac:dyDescent="0.2">
      <c r="A722" s="544"/>
      <c r="B722" s="544"/>
      <c r="C722" s="544"/>
      <c r="D722" s="544"/>
      <c r="E722" s="544"/>
      <c r="F722" s="569"/>
      <c r="G722" s="544"/>
      <c r="H722" s="544"/>
      <c r="I722" s="544"/>
      <c r="J722" s="544"/>
      <c r="K722" s="569"/>
      <c r="L722" s="544"/>
      <c r="M722" s="544"/>
      <c r="N722" s="544"/>
      <c r="O722" s="544"/>
      <c r="P722" s="544"/>
      <c r="Q722" s="544"/>
      <c r="R722" s="544"/>
      <c r="S722" s="544"/>
      <c r="T722" s="544"/>
      <c r="U722" s="544"/>
      <c r="V722" s="544"/>
      <c r="W722" s="544"/>
      <c r="X722" s="544"/>
      <c r="Y722" s="544"/>
      <c r="Z722" s="544"/>
      <c r="AA722" s="544"/>
      <c r="AB722" s="544"/>
    </row>
    <row r="723" spans="1:28" x14ac:dyDescent="0.2">
      <c r="A723" s="544"/>
      <c r="B723" s="544"/>
      <c r="C723" s="544"/>
      <c r="D723" s="544"/>
      <c r="E723" s="544"/>
      <c r="F723" s="569"/>
      <c r="G723" s="544"/>
      <c r="H723" s="544"/>
      <c r="I723" s="544"/>
      <c r="J723" s="544"/>
      <c r="K723" s="569"/>
      <c r="L723" s="544"/>
      <c r="M723" s="544"/>
      <c r="N723" s="544"/>
      <c r="O723" s="544"/>
      <c r="P723" s="544"/>
      <c r="Q723" s="544"/>
      <c r="R723" s="544"/>
      <c r="S723" s="544"/>
      <c r="T723" s="544"/>
      <c r="U723" s="544"/>
      <c r="V723" s="544"/>
      <c r="W723" s="544"/>
      <c r="X723" s="544"/>
      <c r="Y723" s="544"/>
      <c r="Z723" s="544"/>
      <c r="AA723" s="544"/>
      <c r="AB723" s="544"/>
    </row>
    <row r="724" spans="1:28" x14ac:dyDescent="0.2">
      <c r="A724" s="544"/>
      <c r="B724" s="544"/>
      <c r="C724" s="544"/>
      <c r="D724" s="544"/>
      <c r="E724" s="544"/>
      <c r="F724" s="569"/>
      <c r="G724" s="544"/>
      <c r="H724" s="544"/>
      <c r="I724" s="544"/>
      <c r="J724" s="544"/>
      <c r="K724" s="569"/>
      <c r="L724" s="544"/>
      <c r="M724" s="544"/>
      <c r="N724" s="544"/>
      <c r="O724" s="544"/>
      <c r="P724" s="544"/>
      <c r="Q724" s="544"/>
      <c r="R724" s="544"/>
      <c r="S724" s="544"/>
      <c r="T724" s="544"/>
      <c r="U724" s="544"/>
      <c r="V724" s="544"/>
      <c r="W724" s="544"/>
      <c r="X724" s="544"/>
      <c r="Y724" s="544"/>
      <c r="Z724" s="544"/>
      <c r="AA724" s="544"/>
      <c r="AB724" s="544"/>
    </row>
    <row r="725" spans="1:28" x14ac:dyDescent="0.2">
      <c r="A725" s="544"/>
      <c r="B725" s="544"/>
      <c r="C725" s="544"/>
      <c r="D725" s="544"/>
      <c r="E725" s="544"/>
      <c r="F725" s="569"/>
      <c r="G725" s="544"/>
      <c r="H725" s="544"/>
      <c r="I725" s="544"/>
      <c r="J725" s="544"/>
      <c r="K725" s="569"/>
      <c r="L725" s="544"/>
      <c r="M725" s="544"/>
      <c r="N725" s="544"/>
      <c r="O725" s="544"/>
      <c r="P725" s="544"/>
      <c r="Q725" s="544"/>
      <c r="R725" s="544"/>
      <c r="S725" s="544"/>
      <c r="T725" s="544"/>
      <c r="U725" s="544"/>
      <c r="V725" s="544"/>
      <c r="W725" s="544"/>
      <c r="X725" s="544"/>
      <c r="Y725" s="544"/>
      <c r="Z725" s="544"/>
      <c r="AA725" s="544"/>
      <c r="AB725" s="544"/>
    </row>
    <row r="726" spans="1:28" x14ac:dyDescent="0.2">
      <c r="A726" s="544"/>
      <c r="B726" s="544"/>
      <c r="C726" s="544"/>
      <c r="D726" s="544"/>
      <c r="E726" s="544"/>
      <c r="F726" s="569"/>
      <c r="G726" s="544"/>
      <c r="H726" s="544"/>
      <c r="I726" s="544"/>
      <c r="J726" s="544"/>
      <c r="K726" s="569"/>
      <c r="L726" s="544"/>
      <c r="M726" s="544"/>
      <c r="N726" s="544"/>
      <c r="O726" s="544"/>
      <c r="P726" s="544"/>
      <c r="Q726" s="544"/>
      <c r="R726" s="544"/>
      <c r="S726" s="544"/>
      <c r="T726" s="544"/>
      <c r="U726" s="544"/>
      <c r="V726" s="544"/>
      <c r="W726" s="544"/>
      <c r="X726" s="544"/>
      <c r="Y726" s="544"/>
      <c r="Z726" s="544"/>
      <c r="AA726" s="544"/>
      <c r="AB726" s="544"/>
    </row>
    <row r="727" spans="1:28" x14ac:dyDescent="0.2">
      <c r="A727" s="544"/>
      <c r="B727" s="544"/>
      <c r="C727" s="544"/>
      <c r="D727" s="544"/>
      <c r="E727" s="544"/>
      <c r="F727" s="569"/>
      <c r="G727" s="544"/>
      <c r="H727" s="544"/>
      <c r="I727" s="544"/>
      <c r="J727" s="544"/>
      <c r="K727" s="569"/>
      <c r="L727" s="544"/>
      <c r="M727" s="544"/>
      <c r="N727" s="544"/>
      <c r="O727" s="544"/>
      <c r="P727" s="544"/>
      <c r="Q727" s="544"/>
      <c r="R727" s="544"/>
      <c r="S727" s="544"/>
      <c r="T727" s="544"/>
      <c r="U727" s="544"/>
      <c r="V727" s="544"/>
      <c r="W727" s="544"/>
      <c r="X727" s="544"/>
      <c r="Y727" s="544"/>
      <c r="Z727" s="544"/>
      <c r="AA727" s="544"/>
      <c r="AB727" s="544"/>
    </row>
    <row r="728" spans="1:28" x14ac:dyDescent="0.2">
      <c r="A728" s="544"/>
      <c r="B728" s="544"/>
      <c r="C728" s="544"/>
      <c r="D728" s="544"/>
      <c r="E728" s="544"/>
      <c r="F728" s="569"/>
      <c r="G728" s="544"/>
      <c r="H728" s="544"/>
      <c r="I728" s="544"/>
      <c r="J728" s="544"/>
      <c r="K728" s="569"/>
      <c r="L728" s="544"/>
      <c r="M728" s="544"/>
      <c r="N728" s="544"/>
      <c r="O728" s="544"/>
      <c r="P728" s="544"/>
      <c r="Q728" s="544"/>
      <c r="R728" s="544"/>
      <c r="S728" s="544"/>
      <c r="T728" s="544"/>
      <c r="U728" s="544"/>
      <c r="V728" s="544"/>
      <c r="W728" s="544"/>
      <c r="X728" s="544"/>
      <c r="Y728" s="544"/>
      <c r="Z728" s="544"/>
      <c r="AA728" s="544"/>
      <c r="AB728" s="544"/>
    </row>
    <row r="729" spans="1:28" x14ac:dyDescent="0.2">
      <c r="A729" s="544"/>
      <c r="B729" s="544"/>
      <c r="C729" s="544"/>
      <c r="D729" s="544"/>
      <c r="E729" s="544"/>
      <c r="F729" s="569"/>
      <c r="G729" s="544"/>
      <c r="H729" s="544"/>
      <c r="I729" s="544"/>
      <c r="J729" s="544"/>
      <c r="K729" s="569"/>
      <c r="L729" s="544"/>
      <c r="M729" s="544"/>
      <c r="N729" s="544"/>
      <c r="O729" s="544"/>
      <c r="P729" s="544"/>
      <c r="Q729" s="544"/>
      <c r="R729" s="544"/>
      <c r="S729" s="544"/>
      <c r="T729" s="544"/>
      <c r="U729" s="544"/>
      <c r="V729" s="544"/>
      <c r="W729" s="544"/>
      <c r="X729" s="544"/>
      <c r="Y729" s="544"/>
      <c r="Z729" s="544"/>
      <c r="AA729" s="544"/>
      <c r="AB729" s="544"/>
    </row>
    <row r="730" spans="1:28" x14ac:dyDescent="0.2">
      <c r="A730" s="544"/>
      <c r="B730" s="544"/>
      <c r="C730" s="544"/>
      <c r="D730" s="544"/>
      <c r="E730" s="544"/>
      <c r="F730" s="569"/>
      <c r="G730" s="544"/>
      <c r="H730" s="544"/>
      <c r="I730" s="544"/>
      <c r="J730" s="544"/>
      <c r="K730" s="569"/>
      <c r="L730" s="544"/>
      <c r="M730" s="544"/>
      <c r="N730" s="544"/>
      <c r="O730" s="544"/>
      <c r="P730" s="544"/>
      <c r="Q730" s="544"/>
      <c r="R730" s="544"/>
      <c r="S730" s="544"/>
      <c r="T730" s="544"/>
      <c r="U730" s="544"/>
      <c r="V730" s="544"/>
      <c r="W730" s="544"/>
      <c r="X730" s="544"/>
      <c r="Y730" s="544"/>
      <c r="Z730" s="544"/>
      <c r="AA730" s="544"/>
      <c r="AB730" s="544"/>
    </row>
    <row r="731" spans="1:28" x14ac:dyDescent="0.2">
      <c r="A731" s="544"/>
      <c r="B731" s="544"/>
      <c r="C731" s="544"/>
      <c r="D731" s="544"/>
      <c r="E731" s="544"/>
      <c r="F731" s="569"/>
      <c r="G731" s="544"/>
      <c r="H731" s="544"/>
      <c r="I731" s="544"/>
      <c r="J731" s="544"/>
      <c r="K731" s="569"/>
      <c r="L731" s="544"/>
      <c r="M731" s="544"/>
      <c r="N731" s="544"/>
      <c r="O731" s="544"/>
      <c r="P731" s="544"/>
      <c r="Q731" s="544"/>
      <c r="R731" s="544"/>
      <c r="S731" s="544"/>
      <c r="T731" s="544"/>
      <c r="U731" s="544"/>
      <c r="V731" s="544"/>
      <c r="W731" s="544"/>
      <c r="X731" s="544"/>
      <c r="Y731" s="544"/>
      <c r="Z731" s="544"/>
      <c r="AA731" s="544"/>
      <c r="AB731" s="544"/>
    </row>
    <row r="732" spans="1:28" x14ac:dyDescent="0.2">
      <c r="A732" s="544"/>
      <c r="B732" s="544"/>
      <c r="C732" s="544"/>
      <c r="D732" s="544"/>
      <c r="E732" s="544"/>
      <c r="F732" s="569"/>
      <c r="G732" s="544"/>
      <c r="H732" s="544"/>
      <c r="I732" s="544"/>
      <c r="J732" s="544"/>
      <c r="K732" s="569"/>
      <c r="L732" s="544"/>
      <c r="M732" s="544"/>
      <c r="N732" s="544"/>
      <c r="O732" s="544"/>
      <c r="P732" s="544"/>
      <c r="Q732" s="544"/>
      <c r="R732" s="544"/>
      <c r="S732" s="544"/>
      <c r="T732" s="544"/>
      <c r="U732" s="544"/>
      <c r="V732" s="544"/>
      <c r="W732" s="544"/>
      <c r="X732" s="544"/>
      <c r="Y732" s="544"/>
      <c r="Z732" s="544"/>
      <c r="AA732" s="544"/>
      <c r="AB732" s="544"/>
    </row>
    <row r="733" spans="1:28" x14ac:dyDescent="0.2">
      <c r="A733" s="544"/>
      <c r="B733" s="544"/>
      <c r="C733" s="544"/>
      <c r="D733" s="544"/>
      <c r="E733" s="544"/>
      <c r="F733" s="569"/>
      <c r="G733" s="544"/>
      <c r="H733" s="544"/>
      <c r="I733" s="544"/>
      <c r="J733" s="544"/>
      <c r="K733" s="569"/>
      <c r="L733" s="544"/>
      <c r="M733" s="544"/>
      <c r="N733" s="544"/>
      <c r="O733" s="544"/>
      <c r="P733" s="544"/>
      <c r="Q733" s="544"/>
      <c r="R733" s="544"/>
      <c r="S733" s="544"/>
      <c r="T733" s="544"/>
      <c r="U733" s="544"/>
      <c r="V733" s="544"/>
      <c r="W733" s="544"/>
      <c r="X733" s="544"/>
      <c r="Y733" s="544"/>
      <c r="Z733" s="544"/>
      <c r="AA733" s="544"/>
      <c r="AB733" s="544"/>
    </row>
    <row r="734" spans="1:28" x14ac:dyDescent="0.2">
      <c r="A734" s="544"/>
      <c r="B734" s="544"/>
      <c r="C734" s="544"/>
      <c r="D734" s="544"/>
      <c r="E734" s="544"/>
      <c r="F734" s="569"/>
      <c r="G734" s="544"/>
      <c r="H734" s="544"/>
      <c r="I734" s="544"/>
      <c r="J734" s="544"/>
      <c r="K734" s="569"/>
      <c r="L734" s="544"/>
      <c r="M734" s="544"/>
      <c r="N734" s="544"/>
      <c r="O734" s="544"/>
      <c r="P734" s="544"/>
      <c r="Q734" s="544"/>
      <c r="R734" s="544"/>
      <c r="S734" s="544"/>
      <c r="T734" s="544"/>
      <c r="U734" s="544"/>
      <c r="V734" s="544"/>
      <c r="W734" s="544"/>
      <c r="X734" s="544"/>
      <c r="Y734" s="544"/>
      <c r="Z734" s="544"/>
      <c r="AA734" s="544"/>
      <c r="AB734" s="544"/>
    </row>
    <row r="735" spans="1:28" x14ac:dyDescent="0.2">
      <c r="A735" s="544"/>
      <c r="B735" s="544"/>
      <c r="C735" s="544"/>
      <c r="D735" s="544"/>
      <c r="E735" s="544"/>
      <c r="F735" s="569"/>
      <c r="G735" s="544"/>
      <c r="H735" s="544"/>
      <c r="I735" s="544"/>
      <c r="J735" s="544"/>
      <c r="K735" s="569"/>
      <c r="L735" s="544"/>
      <c r="M735" s="544"/>
      <c r="N735" s="544"/>
      <c r="O735" s="544"/>
      <c r="P735" s="544"/>
      <c r="Q735" s="544"/>
      <c r="R735" s="544"/>
      <c r="S735" s="544"/>
      <c r="T735" s="544"/>
      <c r="U735" s="544"/>
      <c r="V735" s="544"/>
      <c r="W735" s="544"/>
      <c r="X735" s="544"/>
      <c r="Y735" s="544"/>
      <c r="Z735" s="544"/>
      <c r="AA735" s="544"/>
      <c r="AB735" s="544"/>
    </row>
    <row r="736" spans="1:28" x14ac:dyDescent="0.2">
      <c r="A736" s="544"/>
      <c r="B736" s="544"/>
      <c r="C736" s="544"/>
      <c r="D736" s="544"/>
      <c r="E736" s="544"/>
      <c r="F736" s="569"/>
      <c r="G736" s="544"/>
      <c r="H736" s="544"/>
      <c r="I736" s="544"/>
      <c r="J736" s="544"/>
      <c r="K736" s="569"/>
      <c r="L736" s="544"/>
      <c r="M736" s="544"/>
      <c r="N736" s="544"/>
      <c r="O736" s="544"/>
      <c r="P736" s="544"/>
      <c r="Q736" s="544"/>
      <c r="R736" s="544"/>
      <c r="S736" s="544"/>
      <c r="T736" s="544"/>
      <c r="U736" s="544"/>
      <c r="V736" s="544"/>
      <c r="W736" s="544"/>
      <c r="X736" s="544"/>
      <c r="Y736" s="544"/>
      <c r="Z736" s="544"/>
      <c r="AA736" s="544"/>
      <c r="AB736" s="544"/>
    </row>
    <row r="737" spans="1:28" x14ac:dyDescent="0.2">
      <c r="A737" s="544"/>
      <c r="B737" s="544"/>
      <c r="C737" s="544"/>
      <c r="D737" s="544"/>
      <c r="E737" s="544"/>
      <c r="F737" s="569"/>
      <c r="G737" s="544"/>
      <c r="H737" s="544"/>
      <c r="I737" s="544"/>
      <c r="J737" s="544"/>
      <c r="K737" s="569"/>
      <c r="L737" s="544"/>
      <c r="M737" s="544"/>
      <c r="N737" s="544"/>
      <c r="O737" s="544"/>
      <c r="P737" s="544"/>
      <c r="Q737" s="544"/>
      <c r="R737" s="544"/>
      <c r="S737" s="544"/>
      <c r="T737" s="544"/>
      <c r="U737" s="544"/>
      <c r="V737" s="544"/>
      <c r="W737" s="544"/>
      <c r="X737" s="544"/>
      <c r="Y737" s="544"/>
      <c r="Z737" s="544"/>
      <c r="AA737" s="544"/>
      <c r="AB737" s="544"/>
    </row>
    <row r="738" spans="1:28" x14ac:dyDescent="0.2">
      <c r="A738" s="544"/>
      <c r="B738" s="544"/>
      <c r="C738" s="544"/>
      <c r="D738" s="544"/>
      <c r="E738" s="544"/>
      <c r="F738" s="569"/>
      <c r="G738" s="544"/>
      <c r="H738" s="544"/>
      <c r="I738" s="544"/>
      <c r="J738" s="544"/>
      <c r="K738" s="569"/>
      <c r="L738" s="544"/>
      <c r="M738" s="544"/>
      <c r="N738" s="544"/>
      <c r="O738" s="544"/>
      <c r="P738" s="544"/>
      <c r="Q738" s="544"/>
      <c r="R738" s="544"/>
      <c r="S738" s="544"/>
      <c r="T738" s="544"/>
      <c r="U738" s="544"/>
      <c r="V738" s="544"/>
      <c r="W738" s="544"/>
      <c r="X738" s="544"/>
      <c r="Y738" s="544"/>
      <c r="Z738" s="544"/>
      <c r="AA738" s="544"/>
      <c r="AB738" s="544"/>
    </row>
    <row r="739" spans="1:28" x14ac:dyDescent="0.2">
      <c r="A739" s="544"/>
      <c r="B739" s="544"/>
      <c r="C739" s="544"/>
      <c r="D739" s="544"/>
      <c r="E739" s="544"/>
      <c r="F739" s="569"/>
      <c r="G739" s="544"/>
      <c r="H739" s="544"/>
      <c r="I739" s="544"/>
      <c r="J739" s="544"/>
      <c r="K739" s="569"/>
      <c r="L739" s="544"/>
      <c r="M739" s="544"/>
      <c r="N739" s="544"/>
      <c r="O739" s="544"/>
      <c r="P739" s="544"/>
      <c r="Q739" s="544"/>
      <c r="R739" s="544"/>
      <c r="S739" s="544"/>
      <c r="T739" s="544"/>
      <c r="U739" s="544"/>
      <c r="V739" s="544"/>
      <c r="W739" s="544"/>
      <c r="X739" s="544"/>
      <c r="Y739" s="544"/>
      <c r="Z739" s="544"/>
      <c r="AA739" s="544"/>
      <c r="AB739" s="544"/>
    </row>
    <row r="740" spans="1:28" x14ac:dyDescent="0.2">
      <c r="A740" s="544"/>
      <c r="B740" s="544"/>
      <c r="C740" s="544"/>
      <c r="D740" s="544"/>
      <c r="E740" s="544"/>
      <c r="F740" s="569"/>
      <c r="G740" s="544"/>
      <c r="H740" s="544"/>
      <c r="I740" s="544"/>
      <c r="J740" s="544"/>
      <c r="K740" s="569"/>
      <c r="L740" s="544"/>
      <c r="M740" s="544"/>
      <c r="N740" s="544"/>
      <c r="O740" s="544"/>
      <c r="P740" s="544"/>
      <c r="Q740" s="544"/>
      <c r="R740" s="544"/>
      <c r="S740" s="544"/>
      <c r="T740" s="544"/>
      <c r="U740" s="544"/>
      <c r="V740" s="544"/>
      <c r="W740" s="544"/>
      <c r="X740" s="544"/>
      <c r="Y740" s="544"/>
      <c r="Z740" s="544"/>
      <c r="AA740" s="544"/>
      <c r="AB740" s="544"/>
    </row>
    <row r="741" spans="1:28" x14ac:dyDescent="0.2">
      <c r="A741" s="544"/>
      <c r="B741" s="544"/>
      <c r="C741" s="544"/>
      <c r="D741" s="544"/>
      <c r="E741" s="544"/>
      <c r="F741" s="569"/>
      <c r="G741" s="544"/>
      <c r="H741" s="544"/>
      <c r="I741" s="544"/>
      <c r="J741" s="544"/>
      <c r="K741" s="569"/>
      <c r="L741" s="544"/>
      <c r="M741" s="544"/>
      <c r="N741" s="544"/>
      <c r="O741" s="544"/>
      <c r="P741" s="544"/>
      <c r="Q741" s="544"/>
      <c r="R741" s="544"/>
      <c r="S741" s="544"/>
      <c r="T741" s="544"/>
      <c r="U741" s="544"/>
      <c r="V741" s="544"/>
      <c r="W741" s="544"/>
      <c r="X741" s="544"/>
      <c r="Y741" s="544"/>
      <c r="Z741" s="544"/>
      <c r="AA741" s="544"/>
      <c r="AB741" s="544"/>
    </row>
    <row r="742" spans="1:28" x14ac:dyDescent="0.2">
      <c r="A742" s="544"/>
      <c r="B742" s="544"/>
      <c r="C742" s="544"/>
      <c r="D742" s="544"/>
      <c r="E742" s="544"/>
      <c r="F742" s="569"/>
      <c r="G742" s="544"/>
      <c r="H742" s="544"/>
      <c r="I742" s="544"/>
      <c r="J742" s="544"/>
      <c r="K742" s="569"/>
      <c r="L742" s="544"/>
      <c r="M742" s="544"/>
      <c r="N742" s="544"/>
      <c r="O742" s="544"/>
      <c r="P742" s="544"/>
      <c r="Q742" s="544"/>
      <c r="R742" s="544"/>
      <c r="S742" s="544"/>
      <c r="T742" s="544"/>
      <c r="U742" s="544"/>
      <c r="V742" s="544"/>
      <c r="W742" s="544"/>
      <c r="X742" s="544"/>
      <c r="Y742" s="544"/>
      <c r="Z742" s="544"/>
      <c r="AA742" s="544"/>
      <c r="AB742" s="544"/>
    </row>
    <row r="743" spans="1:28" x14ac:dyDescent="0.2">
      <c r="A743" s="544"/>
      <c r="B743" s="544"/>
      <c r="C743" s="544"/>
      <c r="D743" s="544"/>
      <c r="E743" s="544"/>
      <c r="F743" s="569"/>
      <c r="G743" s="544"/>
      <c r="H743" s="544"/>
      <c r="I743" s="544"/>
      <c r="J743" s="544"/>
      <c r="K743" s="569"/>
      <c r="L743" s="544"/>
      <c r="M743" s="544"/>
      <c r="N743" s="544"/>
      <c r="O743" s="544"/>
      <c r="P743" s="544"/>
      <c r="Q743" s="544"/>
      <c r="R743" s="544"/>
      <c r="S743" s="544"/>
      <c r="T743" s="544"/>
      <c r="U743" s="544"/>
      <c r="V743" s="544"/>
      <c r="W743" s="544"/>
      <c r="X743" s="544"/>
      <c r="Y743" s="544"/>
      <c r="Z743" s="544"/>
      <c r="AA743" s="544"/>
      <c r="AB743" s="544"/>
    </row>
    <row r="744" spans="1:28" x14ac:dyDescent="0.2">
      <c r="A744" s="544"/>
      <c r="B744" s="544"/>
      <c r="C744" s="544"/>
      <c r="D744" s="544"/>
      <c r="E744" s="544"/>
      <c r="F744" s="569"/>
      <c r="G744" s="544"/>
      <c r="H744" s="544"/>
      <c r="I744" s="544"/>
      <c r="J744" s="544"/>
      <c r="K744" s="569"/>
      <c r="L744" s="544"/>
      <c r="M744" s="544"/>
      <c r="N744" s="544"/>
      <c r="O744" s="544"/>
      <c r="P744" s="544"/>
      <c r="Q744" s="544"/>
      <c r="R744" s="544"/>
      <c r="S744" s="544"/>
      <c r="T744" s="544"/>
      <c r="U744" s="544"/>
      <c r="V744" s="544"/>
      <c r="W744" s="544"/>
      <c r="X744" s="544"/>
      <c r="Y744" s="544"/>
      <c r="Z744" s="544"/>
      <c r="AA744" s="544"/>
      <c r="AB744" s="544"/>
    </row>
    <row r="745" spans="1:28" x14ac:dyDescent="0.2">
      <c r="A745" s="544"/>
      <c r="B745" s="544"/>
      <c r="C745" s="544"/>
      <c r="D745" s="544"/>
      <c r="E745" s="544"/>
      <c r="F745" s="569"/>
      <c r="G745" s="544"/>
      <c r="H745" s="544"/>
      <c r="I745" s="544"/>
      <c r="J745" s="544"/>
      <c r="K745" s="569"/>
      <c r="L745" s="544"/>
      <c r="M745" s="544"/>
      <c r="N745" s="544"/>
      <c r="O745" s="544"/>
      <c r="P745" s="544"/>
      <c r="Q745" s="544"/>
      <c r="R745" s="544"/>
      <c r="S745" s="544"/>
      <c r="T745" s="544"/>
      <c r="U745" s="544"/>
      <c r="V745" s="544"/>
      <c r="W745" s="544"/>
      <c r="X745" s="544"/>
      <c r="Y745" s="544"/>
      <c r="Z745" s="544"/>
      <c r="AA745" s="544"/>
      <c r="AB745" s="544"/>
    </row>
    <row r="746" spans="1:28" x14ac:dyDescent="0.2">
      <c r="A746" s="544"/>
      <c r="B746" s="544"/>
      <c r="C746" s="544"/>
      <c r="D746" s="544"/>
      <c r="E746" s="544"/>
      <c r="F746" s="569"/>
      <c r="G746" s="544"/>
      <c r="H746" s="544"/>
      <c r="I746" s="544"/>
      <c r="J746" s="544"/>
      <c r="K746" s="569"/>
      <c r="L746" s="544"/>
      <c r="M746" s="544"/>
      <c r="N746" s="544"/>
      <c r="O746" s="544"/>
      <c r="P746" s="544"/>
      <c r="Q746" s="544"/>
      <c r="R746" s="544"/>
      <c r="S746" s="544"/>
      <c r="T746" s="544"/>
      <c r="U746" s="544"/>
      <c r="V746" s="544"/>
      <c r="W746" s="544"/>
      <c r="X746" s="544"/>
      <c r="Y746" s="544"/>
      <c r="Z746" s="544"/>
      <c r="AA746" s="544"/>
      <c r="AB746" s="544"/>
    </row>
    <row r="747" spans="1:28" x14ac:dyDescent="0.2">
      <c r="A747" s="544"/>
      <c r="B747" s="544"/>
      <c r="C747" s="544"/>
      <c r="D747" s="544"/>
      <c r="E747" s="544"/>
      <c r="F747" s="569"/>
      <c r="G747" s="544"/>
      <c r="H747" s="544"/>
      <c r="I747" s="544"/>
      <c r="J747" s="544"/>
      <c r="K747" s="569"/>
      <c r="L747" s="544"/>
      <c r="M747" s="544"/>
      <c r="N747" s="544"/>
      <c r="O747" s="544"/>
      <c r="P747" s="544"/>
      <c r="Q747" s="544"/>
      <c r="R747" s="544"/>
      <c r="S747" s="544"/>
      <c r="T747" s="544"/>
      <c r="U747" s="544"/>
      <c r="V747" s="544"/>
      <c r="W747" s="544"/>
      <c r="X747" s="544"/>
      <c r="Y747" s="544"/>
      <c r="Z747" s="544"/>
      <c r="AA747" s="544"/>
      <c r="AB747" s="544"/>
    </row>
    <row r="748" spans="1:28" x14ac:dyDescent="0.2">
      <c r="A748" s="544"/>
      <c r="B748" s="544"/>
      <c r="C748" s="544"/>
      <c r="D748" s="544"/>
      <c r="E748" s="544"/>
      <c r="F748" s="569"/>
      <c r="G748" s="544"/>
      <c r="H748" s="544"/>
      <c r="I748" s="544"/>
      <c r="J748" s="544"/>
      <c r="K748" s="569"/>
      <c r="L748" s="544"/>
      <c r="M748" s="544"/>
      <c r="N748" s="544"/>
      <c r="O748" s="544"/>
      <c r="P748" s="544"/>
      <c r="Q748" s="544"/>
      <c r="R748" s="544"/>
      <c r="S748" s="544"/>
      <c r="T748" s="544"/>
      <c r="U748" s="544"/>
      <c r="V748" s="544"/>
      <c r="W748" s="544"/>
      <c r="X748" s="544"/>
      <c r="Y748" s="544"/>
      <c r="Z748" s="544"/>
      <c r="AA748" s="544"/>
      <c r="AB748" s="544"/>
    </row>
    <row r="749" spans="1:28" x14ac:dyDescent="0.2">
      <c r="A749" s="544"/>
      <c r="B749" s="544"/>
      <c r="C749" s="544"/>
      <c r="D749" s="544"/>
      <c r="E749" s="544"/>
      <c r="F749" s="569"/>
      <c r="G749" s="544"/>
      <c r="H749" s="544"/>
      <c r="I749" s="544"/>
      <c r="J749" s="544"/>
      <c r="K749" s="569"/>
      <c r="L749" s="544"/>
      <c r="M749" s="544"/>
      <c r="N749" s="544"/>
      <c r="O749" s="544"/>
      <c r="P749" s="544"/>
      <c r="Q749" s="544"/>
      <c r="R749" s="544"/>
      <c r="S749" s="544"/>
      <c r="T749" s="544"/>
      <c r="U749" s="544"/>
      <c r="V749" s="544"/>
      <c r="W749" s="544"/>
      <c r="X749" s="544"/>
      <c r="Y749" s="544"/>
      <c r="Z749" s="544"/>
      <c r="AA749" s="544"/>
      <c r="AB749" s="544"/>
    </row>
    <row r="750" spans="1:28" x14ac:dyDescent="0.2">
      <c r="A750" s="544"/>
      <c r="B750" s="544"/>
      <c r="C750" s="544"/>
      <c r="D750" s="544"/>
      <c r="E750" s="544"/>
      <c r="F750" s="569"/>
      <c r="G750" s="544"/>
      <c r="H750" s="544"/>
      <c r="I750" s="544"/>
      <c r="J750" s="544"/>
      <c r="K750" s="569"/>
      <c r="L750" s="544"/>
      <c r="M750" s="544"/>
      <c r="N750" s="544"/>
      <c r="O750" s="544"/>
      <c r="P750" s="544"/>
      <c r="Q750" s="544"/>
      <c r="R750" s="544"/>
      <c r="S750" s="544"/>
      <c r="T750" s="544"/>
      <c r="U750" s="544"/>
      <c r="V750" s="544"/>
      <c r="W750" s="544"/>
      <c r="X750" s="544"/>
      <c r="Y750" s="544"/>
      <c r="Z750" s="544"/>
      <c r="AA750" s="544"/>
      <c r="AB750" s="544"/>
    </row>
    <row r="751" spans="1:28" x14ac:dyDescent="0.2">
      <c r="A751" s="544"/>
      <c r="B751" s="544"/>
      <c r="C751" s="544"/>
      <c r="D751" s="544"/>
      <c r="E751" s="544"/>
      <c r="F751" s="569"/>
      <c r="G751" s="544"/>
      <c r="H751" s="544"/>
      <c r="I751" s="544"/>
      <c r="J751" s="544"/>
      <c r="K751" s="569"/>
      <c r="L751" s="544"/>
      <c r="M751" s="544"/>
      <c r="N751" s="544"/>
      <c r="O751" s="544"/>
      <c r="P751" s="544"/>
      <c r="Q751" s="544"/>
      <c r="R751" s="544"/>
      <c r="S751" s="544"/>
      <c r="T751" s="544"/>
      <c r="U751" s="544"/>
      <c r="V751" s="544"/>
      <c r="W751" s="544"/>
      <c r="X751" s="544"/>
      <c r="Y751" s="544"/>
      <c r="Z751" s="544"/>
      <c r="AA751" s="544"/>
      <c r="AB751" s="544"/>
    </row>
    <row r="752" spans="1:28" x14ac:dyDescent="0.2">
      <c r="A752" s="544"/>
      <c r="B752" s="544"/>
      <c r="C752" s="544"/>
      <c r="D752" s="544"/>
      <c r="E752" s="544"/>
      <c r="F752" s="569"/>
      <c r="G752" s="544"/>
      <c r="H752" s="544"/>
      <c r="I752" s="544"/>
      <c r="J752" s="544"/>
      <c r="K752" s="569"/>
      <c r="L752" s="544"/>
      <c r="M752" s="544"/>
      <c r="N752" s="544"/>
      <c r="O752" s="544"/>
      <c r="P752" s="544"/>
      <c r="Q752" s="544"/>
      <c r="R752" s="544"/>
      <c r="S752" s="544"/>
      <c r="T752" s="544"/>
      <c r="U752" s="544"/>
      <c r="V752" s="544"/>
      <c r="W752" s="544"/>
      <c r="X752" s="544"/>
      <c r="Y752" s="544"/>
      <c r="Z752" s="544"/>
      <c r="AA752" s="544"/>
      <c r="AB752" s="544"/>
    </row>
    <row r="753" spans="1:28" x14ac:dyDescent="0.2">
      <c r="A753" s="544"/>
      <c r="B753" s="544"/>
      <c r="C753" s="544"/>
      <c r="D753" s="544"/>
      <c r="E753" s="544"/>
      <c r="F753" s="569"/>
      <c r="G753" s="544"/>
      <c r="H753" s="544"/>
      <c r="I753" s="544"/>
      <c r="J753" s="544"/>
      <c r="K753" s="569"/>
      <c r="L753" s="544"/>
      <c r="M753" s="544"/>
      <c r="N753" s="544"/>
      <c r="O753" s="544"/>
      <c r="P753" s="544"/>
      <c r="Q753" s="544"/>
      <c r="R753" s="544"/>
      <c r="S753" s="544"/>
      <c r="T753" s="544"/>
      <c r="U753" s="544"/>
      <c r="V753" s="544"/>
      <c r="W753" s="544"/>
      <c r="X753" s="544"/>
      <c r="Y753" s="544"/>
      <c r="Z753" s="544"/>
      <c r="AA753" s="544"/>
      <c r="AB753" s="544"/>
    </row>
    <row r="754" spans="1:28" x14ac:dyDescent="0.2">
      <c r="A754" s="544"/>
      <c r="B754" s="544"/>
      <c r="C754" s="544"/>
      <c r="D754" s="544"/>
      <c r="E754" s="544"/>
      <c r="F754" s="569"/>
      <c r="G754" s="544"/>
      <c r="H754" s="544"/>
      <c r="I754" s="544"/>
      <c r="J754" s="544"/>
      <c r="K754" s="569"/>
      <c r="L754" s="544"/>
      <c r="M754" s="544"/>
      <c r="N754" s="544"/>
      <c r="O754" s="544"/>
      <c r="P754" s="544"/>
      <c r="Q754" s="544"/>
      <c r="R754" s="544"/>
      <c r="S754" s="544"/>
      <c r="T754" s="544"/>
      <c r="U754" s="544"/>
      <c r="V754" s="544"/>
      <c r="W754" s="544"/>
      <c r="X754" s="544"/>
      <c r="Y754" s="544"/>
      <c r="Z754" s="544"/>
      <c r="AA754" s="544"/>
      <c r="AB754" s="544"/>
    </row>
    <row r="755" spans="1:28" x14ac:dyDescent="0.2">
      <c r="A755" s="544"/>
      <c r="B755" s="544"/>
      <c r="C755" s="544"/>
      <c r="D755" s="544"/>
      <c r="E755" s="544"/>
      <c r="F755" s="569"/>
      <c r="G755" s="544"/>
      <c r="H755" s="544"/>
      <c r="I755" s="544"/>
      <c r="J755" s="544"/>
      <c r="K755" s="569"/>
      <c r="L755" s="544"/>
      <c r="M755" s="544"/>
      <c r="N755" s="544"/>
      <c r="O755" s="544"/>
      <c r="P755" s="544"/>
      <c r="Q755" s="544"/>
      <c r="R755" s="544"/>
      <c r="S755" s="544"/>
      <c r="T755" s="544"/>
      <c r="U755" s="544"/>
      <c r="V755" s="544"/>
      <c r="W755" s="544"/>
      <c r="X755" s="544"/>
      <c r="Y755" s="544"/>
      <c r="Z755" s="544"/>
      <c r="AA755" s="544"/>
      <c r="AB755" s="544"/>
    </row>
    <row r="756" spans="1:28" x14ac:dyDescent="0.2">
      <c r="A756" s="544"/>
      <c r="B756" s="544"/>
      <c r="C756" s="544"/>
      <c r="D756" s="544"/>
      <c r="E756" s="544"/>
      <c r="F756" s="569"/>
      <c r="G756" s="544"/>
      <c r="H756" s="544"/>
      <c r="I756" s="544"/>
      <c r="J756" s="544"/>
      <c r="K756" s="569"/>
      <c r="L756" s="544"/>
      <c r="M756" s="544"/>
      <c r="N756" s="544"/>
      <c r="O756" s="544"/>
      <c r="P756" s="544"/>
      <c r="Q756" s="544"/>
      <c r="R756" s="544"/>
      <c r="S756" s="544"/>
      <c r="T756" s="544"/>
      <c r="U756" s="544"/>
      <c r="V756" s="544"/>
      <c r="W756" s="544"/>
      <c r="X756" s="544"/>
      <c r="Y756" s="544"/>
      <c r="Z756" s="544"/>
      <c r="AA756" s="544"/>
      <c r="AB756" s="544"/>
    </row>
    <row r="757" spans="1:28" x14ac:dyDescent="0.2">
      <c r="A757" s="544"/>
      <c r="B757" s="544"/>
      <c r="C757" s="544"/>
      <c r="D757" s="544"/>
      <c r="E757" s="544"/>
      <c r="F757" s="569"/>
      <c r="G757" s="544"/>
      <c r="H757" s="544"/>
      <c r="I757" s="544"/>
      <c r="J757" s="544"/>
      <c r="K757" s="569"/>
      <c r="L757" s="544"/>
      <c r="M757" s="544"/>
      <c r="N757" s="544"/>
      <c r="O757" s="544"/>
      <c r="P757" s="544"/>
      <c r="Q757" s="544"/>
      <c r="R757" s="544"/>
      <c r="S757" s="544"/>
      <c r="T757" s="544"/>
      <c r="U757" s="544"/>
      <c r="V757" s="544"/>
      <c r="W757" s="544"/>
      <c r="X757" s="544"/>
      <c r="Y757" s="544"/>
      <c r="Z757" s="544"/>
      <c r="AA757" s="544"/>
      <c r="AB757" s="544"/>
    </row>
    <row r="758" spans="1:28" x14ac:dyDescent="0.2">
      <c r="A758" s="544"/>
      <c r="B758" s="544"/>
      <c r="C758" s="544"/>
      <c r="D758" s="544"/>
      <c r="E758" s="544"/>
      <c r="F758" s="569"/>
      <c r="G758" s="544"/>
      <c r="H758" s="544"/>
      <c r="I758" s="544"/>
      <c r="J758" s="544"/>
      <c r="K758" s="569"/>
      <c r="L758" s="544"/>
      <c r="M758" s="544"/>
      <c r="N758" s="544"/>
      <c r="O758" s="544"/>
      <c r="P758" s="544"/>
      <c r="Q758" s="544"/>
      <c r="R758" s="544"/>
      <c r="S758" s="544"/>
      <c r="T758" s="544"/>
      <c r="U758" s="544"/>
      <c r="V758" s="544"/>
      <c r="W758" s="544"/>
      <c r="X758" s="544"/>
      <c r="Y758" s="544"/>
      <c r="Z758" s="544"/>
      <c r="AA758" s="544"/>
      <c r="AB758" s="544"/>
    </row>
    <row r="759" spans="1:28" x14ac:dyDescent="0.2">
      <c r="A759" s="544"/>
      <c r="B759" s="544"/>
      <c r="C759" s="544"/>
      <c r="D759" s="544"/>
      <c r="E759" s="544"/>
      <c r="F759" s="569"/>
      <c r="G759" s="544"/>
      <c r="H759" s="544"/>
      <c r="I759" s="544"/>
      <c r="J759" s="544"/>
      <c r="K759" s="569"/>
      <c r="L759" s="544"/>
      <c r="M759" s="544"/>
      <c r="N759" s="544"/>
      <c r="O759" s="544"/>
      <c r="P759" s="544"/>
      <c r="Q759" s="544"/>
      <c r="R759" s="544"/>
      <c r="S759" s="544"/>
      <c r="T759" s="544"/>
      <c r="U759" s="544"/>
      <c r="V759" s="544"/>
      <c r="W759" s="544"/>
      <c r="X759" s="544"/>
      <c r="Y759" s="544"/>
      <c r="Z759" s="544"/>
      <c r="AA759" s="544"/>
      <c r="AB759" s="544"/>
    </row>
    <row r="760" spans="1:28" x14ac:dyDescent="0.2">
      <c r="A760" s="544"/>
      <c r="B760" s="544"/>
      <c r="C760" s="544"/>
      <c r="D760" s="544"/>
      <c r="E760" s="544"/>
      <c r="F760" s="569"/>
      <c r="G760" s="544"/>
      <c r="H760" s="544"/>
      <c r="I760" s="544"/>
      <c r="J760" s="544"/>
      <c r="K760" s="569"/>
      <c r="L760" s="544"/>
      <c r="M760" s="544"/>
      <c r="N760" s="544"/>
      <c r="O760" s="544"/>
      <c r="P760" s="544"/>
      <c r="Q760" s="544"/>
      <c r="R760" s="544"/>
      <c r="S760" s="544"/>
      <c r="T760" s="544"/>
      <c r="U760" s="544"/>
      <c r="V760" s="544"/>
      <c r="W760" s="544"/>
      <c r="X760" s="544"/>
      <c r="Y760" s="544"/>
      <c r="Z760" s="544"/>
      <c r="AA760" s="544"/>
      <c r="AB760" s="544"/>
    </row>
    <row r="761" spans="1:28" x14ac:dyDescent="0.2">
      <c r="A761" s="544"/>
      <c r="B761" s="544"/>
      <c r="C761" s="544"/>
      <c r="D761" s="544"/>
      <c r="E761" s="544"/>
      <c r="F761" s="569"/>
      <c r="G761" s="544"/>
      <c r="H761" s="544"/>
      <c r="I761" s="544"/>
      <c r="J761" s="544"/>
      <c r="K761" s="569"/>
      <c r="L761" s="544"/>
      <c r="M761" s="544"/>
      <c r="N761" s="544"/>
      <c r="O761" s="544"/>
      <c r="P761" s="544"/>
      <c r="Q761" s="544"/>
      <c r="R761" s="544"/>
      <c r="S761" s="544"/>
      <c r="T761" s="544"/>
      <c r="U761" s="544"/>
      <c r="V761" s="544"/>
      <c r="W761" s="544"/>
      <c r="X761" s="544"/>
      <c r="Y761" s="544"/>
      <c r="Z761" s="544"/>
      <c r="AA761" s="544"/>
      <c r="AB761" s="544"/>
    </row>
    <row r="762" spans="1:28" x14ac:dyDescent="0.2">
      <c r="A762" s="544"/>
      <c r="B762" s="544"/>
      <c r="C762" s="544"/>
      <c r="D762" s="544"/>
      <c r="E762" s="544"/>
      <c r="F762" s="569"/>
      <c r="G762" s="544"/>
      <c r="H762" s="544"/>
      <c r="I762" s="544"/>
      <c r="J762" s="544"/>
      <c r="K762" s="569"/>
      <c r="L762" s="544"/>
      <c r="M762" s="544"/>
      <c r="N762" s="544"/>
      <c r="O762" s="544"/>
      <c r="P762" s="544"/>
      <c r="Q762" s="544"/>
      <c r="R762" s="544"/>
      <c r="S762" s="544"/>
      <c r="T762" s="544"/>
      <c r="U762" s="544"/>
      <c r="V762" s="544"/>
      <c r="W762" s="544"/>
      <c r="X762" s="544"/>
      <c r="Y762" s="544"/>
      <c r="Z762" s="544"/>
      <c r="AA762" s="544"/>
      <c r="AB762" s="544"/>
    </row>
    <row r="763" spans="1:28" x14ac:dyDescent="0.2">
      <c r="A763" s="544"/>
      <c r="B763" s="544"/>
      <c r="C763" s="544"/>
      <c r="D763" s="544"/>
      <c r="E763" s="544"/>
      <c r="F763" s="569"/>
      <c r="G763" s="544"/>
      <c r="H763" s="544"/>
      <c r="I763" s="544"/>
      <c r="J763" s="544"/>
      <c r="K763" s="569"/>
      <c r="L763" s="544"/>
      <c r="M763" s="544"/>
      <c r="N763" s="544"/>
      <c r="O763" s="544"/>
      <c r="P763" s="544"/>
      <c r="Q763" s="544"/>
      <c r="R763" s="544"/>
      <c r="S763" s="544"/>
      <c r="T763" s="544"/>
      <c r="U763" s="544"/>
      <c r="V763" s="544"/>
      <c r="W763" s="544"/>
      <c r="X763" s="544"/>
      <c r="Y763" s="544"/>
      <c r="Z763" s="544"/>
      <c r="AA763" s="544"/>
      <c r="AB763" s="544"/>
    </row>
    <row r="764" spans="1:28" x14ac:dyDescent="0.2">
      <c r="A764" s="544"/>
      <c r="B764" s="544"/>
      <c r="C764" s="544"/>
      <c r="D764" s="544"/>
      <c r="E764" s="544"/>
      <c r="F764" s="569"/>
      <c r="G764" s="544"/>
      <c r="H764" s="544"/>
      <c r="I764" s="544"/>
      <c r="J764" s="544"/>
      <c r="K764" s="569"/>
      <c r="L764" s="544"/>
      <c r="M764" s="544"/>
      <c r="N764" s="544"/>
      <c r="O764" s="544"/>
      <c r="P764" s="544"/>
      <c r="Q764" s="544"/>
      <c r="R764" s="544"/>
      <c r="S764" s="544"/>
      <c r="T764" s="544"/>
      <c r="U764" s="544"/>
      <c r="V764" s="544"/>
      <c r="W764" s="544"/>
      <c r="X764" s="544"/>
      <c r="Y764" s="544"/>
      <c r="Z764" s="544"/>
      <c r="AA764" s="544"/>
      <c r="AB764" s="544"/>
    </row>
    <row r="765" spans="1:28" x14ac:dyDescent="0.2">
      <c r="A765" s="544"/>
      <c r="B765" s="544"/>
      <c r="C765" s="544"/>
      <c r="D765" s="544"/>
      <c r="E765" s="544"/>
      <c r="F765" s="569"/>
      <c r="G765" s="544"/>
      <c r="H765" s="544"/>
      <c r="I765" s="544"/>
      <c r="J765" s="544"/>
      <c r="K765" s="569"/>
      <c r="L765" s="544"/>
      <c r="M765" s="544"/>
      <c r="N765" s="544"/>
      <c r="O765" s="544"/>
      <c r="P765" s="544"/>
      <c r="Q765" s="544"/>
      <c r="R765" s="544"/>
      <c r="S765" s="544"/>
      <c r="T765" s="544"/>
      <c r="U765" s="544"/>
      <c r="V765" s="544"/>
      <c r="W765" s="544"/>
      <c r="X765" s="544"/>
      <c r="Y765" s="544"/>
      <c r="Z765" s="544"/>
      <c r="AA765" s="544"/>
      <c r="AB765" s="544"/>
    </row>
    <row r="766" spans="1:28" x14ac:dyDescent="0.2">
      <c r="A766" s="544"/>
      <c r="B766" s="544"/>
      <c r="C766" s="544"/>
      <c r="D766" s="544"/>
      <c r="E766" s="544"/>
      <c r="F766" s="569"/>
      <c r="G766" s="544"/>
      <c r="H766" s="544"/>
      <c r="I766" s="544"/>
      <c r="J766" s="544"/>
      <c r="K766" s="569"/>
      <c r="L766" s="544"/>
      <c r="M766" s="544"/>
      <c r="N766" s="544"/>
      <c r="O766" s="544"/>
      <c r="P766" s="544"/>
      <c r="Q766" s="544"/>
      <c r="R766" s="544"/>
      <c r="S766" s="544"/>
      <c r="T766" s="544"/>
      <c r="U766" s="544"/>
      <c r="V766" s="544"/>
      <c r="W766" s="544"/>
      <c r="X766" s="544"/>
      <c r="Y766" s="544"/>
      <c r="Z766" s="544"/>
      <c r="AA766" s="544"/>
      <c r="AB766" s="544"/>
    </row>
    <row r="767" spans="1:28" x14ac:dyDescent="0.2">
      <c r="A767" s="544"/>
      <c r="B767" s="544"/>
      <c r="C767" s="544"/>
      <c r="D767" s="544"/>
      <c r="E767" s="544"/>
      <c r="F767" s="569"/>
      <c r="G767" s="544"/>
      <c r="H767" s="544"/>
      <c r="I767" s="544"/>
      <c r="J767" s="544"/>
      <c r="K767" s="569"/>
      <c r="L767" s="544"/>
      <c r="M767" s="544"/>
      <c r="N767" s="544"/>
      <c r="O767" s="544"/>
      <c r="P767" s="544"/>
      <c r="Q767" s="544"/>
      <c r="R767" s="544"/>
      <c r="S767" s="544"/>
      <c r="T767" s="544"/>
      <c r="U767" s="544"/>
      <c r="V767" s="544"/>
      <c r="W767" s="544"/>
      <c r="X767" s="544"/>
      <c r="Y767" s="544"/>
      <c r="Z767" s="544"/>
      <c r="AA767" s="544"/>
      <c r="AB767" s="544"/>
    </row>
    <row r="768" spans="1:28" x14ac:dyDescent="0.2">
      <c r="A768" s="544"/>
      <c r="B768" s="544"/>
      <c r="C768" s="544"/>
      <c r="D768" s="544"/>
      <c r="E768" s="544"/>
      <c r="F768" s="569"/>
      <c r="G768" s="544"/>
      <c r="H768" s="544"/>
      <c r="I768" s="544"/>
      <c r="J768" s="544"/>
      <c r="K768" s="569"/>
      <c r="L768" s="544"/>
      <c r="M768" s="544"/>
      <c r="N768" s="544"/>
      <c r="O768" s="544"/>
      <c r="P768" s="544"/>
      <c r="Q768" s="544"/>
      <c r="R768" s="544"/>
      <c r="S768" s="544"/>
      <c r="T768" s="544"/>
      <c r="U768" s="544"/>
      <c r="V768" s="544"/>
      <c r="W768" s="544"/>
      <c r="X768" s="544"/>
      <c r="Y768" s="544"/>
      <c r="Z768" s="544"/>
      <c r="AA768" s="544"/>
      <c r="AB768" s="544"/>
    </row>
    <row r="769" spans="1:28" x14ac:dyDescent="0.2">
      <c r="A769" s="544"/>
      <c r="B769" s="544"/>
      <c r="C769" s="544"/>
      <c r="D769" s="544"/>
      <c r="E769" s="544"/>
      <c r="F769" s="569"/>
      <c r="G769" s="544"/>
      <c r="H769" s="544"/>
      <c r="I769" s="544"/>
      <c r="J769" s="544"/>
      <c r="K769" s="569"/>
      <c r="L769" s="544"/>
      <c r="M769" s="544"/>
      <c r="N769" s="544"/>
      <c r="O769" s="544"/>
      <c r="P769" s="544"/>
      <c r="Q769" s="544"/>
      <c r="R769" s="544"/>
      <c r="S769" s="544"/>
      <c r="T769" s="544"/>
      <c r="U769" s="544"/>
      <c r="V769" s="544"/>
      <c r="W769" s="544"/>
      <c r="X769" s="544"/>
      <c r="Y769" s="544"/>
      <c r="Z769" s="544"/>
      <c r="AA769" s="544"/>
      <c r="AB769" s="544"/>
    </row>
    <row r="770" spans="1:28" x14ac:dyDescent="0.2">
      <c r="A770" s="544"/>
      <c r="B770" s="544"/>
      <c r="C770" s="544"/>
      <c r="D770" s="544"/>
      <c r="E770" s="544"/>
      <c r="F770" s="569"/>
      <c r="G770" s="544"/>
      <c r="H770" s="544"/>
      <c r="I770" s="544"/>
      <c r="J770" s="544"/>
      <c r="K770" s="569"/>
      <c r="L770" s="544"/>
      <c r="M770" s="544"/>
      <c r="N770" s="544"/>
      <c r="O770" s="544"/>
      <c r="P770" s="544"/>
      <c r="Q770" s="544"/>
      <c r="R770" s="544"/>
      <c r="S770" s="544"/>
      <c r="T770" s="544"/>
      <c r="U770" s="544"/>
      <c r="V770" s="544"/>
      <c r="W770" s="544"/>
      <c r="X770" s="544"/>
      <c r="Y770" s="544"/>
      <c r="Z770" s="544"/>
      <c r="AA770" s="544"/>
      <c r="AB770" s="544"/>
    </row>
    <row r="771" spans="1:28" x14ac:dyDescent="0.2">
      <c r="A771" s="544"/>
      <c r="B771" s="544"/>
      <c r="C771" s="544"/>
      <c r="D771" s="544"/>
      <c r="E771" s="544"/>
      <c r="F771" s="569"/>
      <c r="G771" s="544"/>
      <c r="H771" s="544"/>
      <c r="I771" s="544"/>
      <c r="J771" s="544"/>
      <c r="K771" s="569"/>
      <c r="L771" s="544"/>
      <c r="M771" s="544"/>
      <c r="N771" s="544"/>
      <c r="O771" s="544"/>
      <c r="P771" s="544"/>
      <c r="Q771" s="544"/>
      <c r="R771" s="544"/>
      <c r="S771" s="544"/>
      <c r="T771" s="544"/>
      <c r="U771" s="544"/>
      <c r="V771" s="544"/>
      <c r="W771" s="544"/>
      <c r="X771" s="544"/>
      <c r="Y771" s="544"/>
      <c r="Z771" s="544"/>
      <c r="AA771" s="544"/>
      <c r="AB771" s="544"/>
    </row>
    <row r="772" spans="1:28" x14ac:dyDescent="0.2">
      <c r="A772" s="544"/>
      <c r="B772" s="544"/>
      <c r="C772" s="544"/>
      <c r="D772" s="544"/>
      <c r="E772" s="544"/>
      <c r="F772" s="569"/>
      <c r="G772" s="544"/>
      <c r="H772" s="544"/>
      <c r="I772" s="544"/>
      <c r="J772" s="544"/>
      <c r="K772" s="569"/>
      <c r="L772" s="544"/>
      <c r="M772" s="544"/>
      <c r="N772" s="544"/>
      <c r="O772" s="544"/>
      <c r="P772" s="544"/>
      <c r="Q772" s="544"/>
      <c r="R772" s="544"/>
      <c r="S772" s="544"/>
      <c r="T772" s="544"/>
      <c r="U772" s="544"/>
      <c r="V772" s="544"/>
      <c r="W772" s="544"/>
      <c r="X772" s="544"/>
      <c r="Y772" s="544"/>
      <c r="Z772" s="544"/>
      <c r="AA772" s="544"/>
      <c r="AB772" s="544"/>
    </row>
    <row r="773" spans="1:28" x14ac:dyDescent="0.2">
      <c r="A773" s="544"/>
      <c r="B773" s="544"/>
      <c r="C773" s="544"/>
      <c r="D773" s="544"/>
      <c r="E773" s="544"/>
      <c r="F773" s="569"/>
      <c r="G773" s="544"/>
      <c r="H773" s="544"/>
      <c r="I773" s="544"/>
      <c r="J773" s="544"/>
      <c r="K773" s="569"/>
      <c r="L773" s="544"/>
      <c r="M773" s="544"/>
      <c r="N773" s="544"/>
      <c r="O773" s="544"/>
      <c r="P773" s="544"/>
      <c r="Q773" s="544"/>
      <c r="R773" s="544"/>
      <c r="S773" s="544"/>
      <c r="T773" s="544"/>
      <c r="U773" s="544"/>
      <c r="V773" s="544"/>
      <c r="W773" s="544"/>
      <c r="X773" s="544"/>
      <c r="Y773" s="544"/>
      <c r="Z773" s="544"/>
      <c r="AA773" s="544"/>
      <c r="AB773" s="544"/>
    </row>
    <row r="774" spans="1:28" x14ac:dyDescent="0.2">
      <c r="A774" s="544"/>
      <c r="B774" s="544"/>
      <c r="C774" s="544"/>
      <c r="D774" s="544"/>
      <c r="E774" s="544"/>
      <c r="F774" s="569"/>
      <c r="G774" s="544"/>
      <c r="H774" s="544"/>
      <c r="I774" s="544"/>
      <c r="J774" s="544"/>
      <c r="K774" s="569"/>
      <c r="L774" s="544"/>
      <c r="M774" s="544"/>
      <c r="N774" s="544"/>
      <c r="O774" s="544"/>
      <c r="P774" s="544"/>
      <c r="Q774" s="544"/>
      <c r="R774" s="544"/>
      <c r="S774" s="544"/>
      <c r="T774" s="544"/>
      <c r="U774" s="544"/>
      <c r="V774" s="544"/>
      <c r="W774" s="544"/>
      <c r="X774" s="544"/>
      <c r="Y774" s="544"/>
      <c r="Z774" s="544"/>
      <c r="AA774" s="544"/>
      <c r="AB774" s="544"/>
    </row>
    <row r="775" spans="1:28" x14ac:dyDescent="0.2">
      <c r="A775" s="544"/>
      <c r="B775" s="544"/>
      <c r="C775" s="544"/>
      <c r="D775" s="544"/>
      <c r="E775" s="544"/>
      <c r="F775" s="569"/>
      <c r="G775" s="544"/>
      <c r="H775" s="544"/>
      <c r="I775" s="544"/>
      <c r="J775" s="544"/>
      <c r="K775" s="569"/>
      <c r="L775" s="544"/>
      <c r="M775" s="544"/>
      <c r="N775" s="544"/>
      <c r="O775" s="544"/>
      <c r="P775" s="544"/>
      <c r="Q775" s="544"/>
      <c r="R775" s="544"/>
      <c r="S775" s="544"/>
      <c r="T775" s="544"/>
      <c r="U775" s="544"/>
      <c r="V775" s="544"/>
      <c r="W775" s="544"/>
      <c r="X775" s="544"/>
      <c r="Y775" s="544"/>
      <c r="Z775" s="544"/>
      <c r="AA775" s="544"/>
      <c r="AB775" s="544"/>
    </row>
    <row r="776" spans="1:28" x14ac:dyDescent="0.2">
      <c r="A776" s="544"/>
      <c r="B776" s="544"/>
      <c r="C776" s="544"/>
      <c r="D776" s="544"/>
      <c r="E776" s="544"/>
      <c r="F776" s="569"/>
      <c r="G776" s="544"/>
      <c r="H776" s="544"/>
      <c r="I776" s="544"/>
      <c r="J776" s="544"/>
      <c r="K776" s="569"/>
      <c r="L776" s="544"/>
      <c r="M776" s="544"/>
      <c r="N776" s="544"/>
      <c r="O776" s="544"/>
      <c r="P776" s="544"/>
      <c r="Q776" s="544"/>
      <c r="R776" s="544"/>
      <c r="S776" s="544"/>
      <c r="T776" s="544"/>
      <c r="U776" s="544"/>
      <c r="V776" s="544"/>
      <c r="W776" s="544"/>
      <c r="X776" s="544"/>
      <c r="Y776" s="544"/>
      <c r="Z776" s="544"/>
      <c r="AA776" s="544"/>
      <c r="AB776" s="544"/>
    </row>
    <row r="777" spans="1:28" x14ac:dyDescent="0.2">
      <c r="A777" s="544"/>
      <c r="B777" s="544"/>
      <c r="C777" s="544"/>
      <c r="D777" s="544"/>
      <c r="E777" s="544"/>
      <c r="F777" s="569"/>
      <c r="G777" s="544"/>
      <c r="H777" s="544"/>
      <c r="I777" s="544"/>
      <c r="J777" s="544"/>
      <c r="K777" s="569"/>
      <c r="L777" s="544"/>
      <c r="M777" s="544"/>
      <c r="N777" s="544"/>
      <c r="O777" s="544"/>
      <c r="P777" s="544"/>
      <c r="Q777" s="544"/>
      <c r="R777" s="544"/>
      <c r="S777" s="544"/>
      <c r="T777" s="544"/>
      <c r="U777" s="544"/>
      <c r="V777" s="544"/>
      <c r="W777" s="544"/>
      <c r="X777" s="544"/>
      <c r="Y777" s="544"/>
      <c r="Z777" s="544"/>
      <c r="AA777" s="544"/>
      <c r="AB777" s="544"/>
    </row>
    <row r="778" spans="1:28" x14ac:dyDescent="0.2">
      <c r="A778" s="544"/>
      <c r="B778" s="544"/>
      <c r="C778" s="544"/>
      <c r="D778" s="544"/>
      <c r="E778" s="544"/>
      <c r="F778" s="569"/>
      <c r="G778" s="544"/>
      <c r="H778" s="544"/>
      <c r="I778" s="544"/>
      <c r="J778" s="544"/>
      <c r="K778" s="569"/>
      <c r="L778" s="544"/>
      <c r="M778" s="544"/>
      <c r="N778" s="544"/>
      <c r="O778" s="544"/>
      <c r="P778" s="544"/>
      <c r="Q778" s="544"/>
      <c r="R778" s="544"/>
      <c r="S778" s="544"/>
      <c r="T778" s="544"/>
      <c r="U778" s="544"/>
      <c r="V778" s="544"/>
      <c r="W778" s="544"/>
      <c r="X778" s="544"/>
      <c r="Y778" s="544"/>
      <c r="Z778" s="544"/>
      <c r="AA778" s="544"/>
      <c r="AB778" s="544"/>
    </row>
    <row r="779" spans="1:28" x14ac:dyDescent="0.2">
      <c r="A779" s="544"/>
      <c r="B779" s="544"/>
      <c r="C779" s="544"/>
      <c r="D779" s="544"/>
      <c r="E779" s="544"/>
      <c r="F779" s="569"/>
      <c r="G779" s="544"/>
      <c r="H779" s="544"/>
      <c r="I779" s="544"/>
      <c r="J779" s="544"/>
      <c r="K779" s="569"/>
      <c r="L779" s="544"/>
      <c r="M779" s="544"/>
      <c r="N779" s="544"/>
      <c r="O779" s="544"/>
      <c r="P779" s="544"/>
      <c r="Q779" s="544"/>
      <c r="R779" s="544"/>
      <c r="S779" s="544"/>
      <c r="T779" s="544"/>
      <c r="U779" s="544"/>
      <c r="V779" s="544"/>
      <c r="W779" s="544"/>
      <c r="X779" s="544"/>
      <c r="Y779" s="544"/>
      <c r="Z779" s="544"/>
      <c r="AA779" s="544"/>
      <c r="AB779" s="544"/>
    </row>
    <row r="780" spans="1:28" x14ac:dyDescent="0.2">
      <c r="A780" s="544"/>
      <c r="B780" s="544"/>
      <c r="C780" s="544"/>
      <c r="D780" s="544"/>
      <c r="E780" s="544"/>
      <c r="F780" s="569"/>
      <c r="G780" s="544"/>
      <c r="H780" s="544"/>
      <c r="I780" s="544"/>
      <c r="J780" s="544"/>
      <c r="K780" s="569"/>
      <c r="L780" s="544"/>
      <c r="M780" s="544"/>
      <c r="N780" s="544"/>
      <c r="O780" s="544"/>
      <c r="P780" s="544"/>
      <c r="Q780" s="544"/>
      <c r="R780" s="544"/>
      <c r="S780" s="544"/>
      <c r="T780" s="544"/>
      <c r="U780" s="544"/>
      <c r="V780" s="544"/>
      <c r="W780" s="544"/>
      <c r="X780" s="544"/>
      <c r="Y780" s="544"/>
      <c r="Z780" s="544"/>
      <c r="AA780" s="544"/>
      <c r="AB780" s="544"/>
    </row>
    <row r="781" spans="1:28" x14ac:dyDescent="0.2">
      <c r="A781" s="544"/>
      <c r="B781" s="544"/>
      <c r="C781" s="544"/>
      <c r="D781" s="544"/>
      <c r="E781" s="544"/>
      <c r="F781" s="569"/>
      <c r="G781" s="544"/>
      <c r="H781" s="544"/>
      <c r="I781" s="544"/>
      <c r="J781" s="544"/>
      <c r="K781" s="569"/>
      <c r="L781" s="544"/>
      <c r="M781" s="544"/>
      <c r="N781" s="544"/>
      <c r="O781" s="544"/>
      <c r="P781" s="544"/>
      <c r="Q781" s="544"/>
      <c r="R781" s="544"/>
      <c r="S781" s="544"/>
      <c r="T781" s="544"/>
      <c r="U781" s="544"/>
      <c r="V781" s="544"/>
      <c r="W781" s="544"/>
      <c r="X781" s="544"/>
      <c r="Y781" s="544"/>
      <c r="Z781" s="544"/>
      <c r="AA781" s="544"/>
      <c r="AB781" s="544"/>
    </row>
    <row r="782" spans="1:28" x14ac:dyDescent="0.2">
      <c r="A782" s="544"/>
      <c r="B782" s="544"/>
      <c r="C782" s="544"/>
      <c r="D782" s="544"/>
      <c r="E782" s="544"/>
      <c r="F782" s="569"/>
      <c r="G782" s="544"/>
      <c r="H782" s="544"/>
      <c r="I782" s="544"/>
      <c r="J782" s="544"/>
      <c r="K782" s="569"/>
      <c r="L782" s="544"/>
      <c r="M782" s="544"/>
      <c r="N782" s="544"/>
      <c r="O782" s="544"/>
      <c r="P782" s="544"/>
      <c r="Q782" s="544"/>
      <c r="R782" s="544"/>
      <c r="S782" s="544"/>
      <c r="T782" s="544"/>
      <c r="U782" s="544"/>
      <c r="V782" s="544"/>
      <c r="W782" s="544"/>
      <c r="X782" s="544"/>
      <c r="Y782" s="544"/>
      <c r="Z782" s="544"/>
      <c r="AA782" s="544"/>
      <c r="AB782" s="544"/>
    </row>
    <row r="783" spans="1:28" x14ac:dyDescent="0.2">
      <c r="A783" s="544"/>
      <c r="B783" s="544"/>
      <c r="C783" s="544"/>
      <c r="D783" s="544"/>
      <c r="E783" s="544"/>
      <c r="F783" s="569"/>
      <c r="G783" s="544"/>
      <c r="H783" s="544"/>
      <c r="I783" s="544"/>
      <c r="J783" s="544"/>
      <c r="K783" s="569"/>
      <c r="L783" s="544"/>
      <c r="M783" s="544"/>
      <c r="N783" s="544"/>
      <c r="O783" s="544"/>
      <c r="P783" s="544"/>
      <c r="Q783" s="544"/>
      <c r="R783" s="544"/>
      <c r="S783" s="544"/>
      <c r="T783" s="544"/>
      <c r="U783" s="544"/>
      <c r="V783" s="544"/>
      <c r="W783" s="544"/>
      <c r="X783" s="544"/>
      <c r="Y783" s="544"/>
      <c r="Z783" s="544"/>
      <c r="AA783" s="544"/>
      <c r="AB783" s="544"/>
    </row>
    <row r="784" spans="1:28" x14ac:dyDescent="0.2">
      <c r="A784" s="544"/>
      <c r="B784" s="544"/>
      <c r="C784" s="544"/>
      <c r="D784" s="544"/>
      <c r="E784" s="544"/>
      <c r="F784" s="569"/>
      <c r="G784" s="544"/>
      <c r="H784" s="544"/>
      <c r="I784" s="544"/>
      <c r="J784" s="544"/>
      <c r="K784" s="569"/>
      <c r="L784" s="544"/>
      <c r="M784" s="544"/>
      <c r="N784" s="544"/>
      <c r="O784" s="544"/>
      <c r="P784" s="544"/>
      <c r="Q784" s="544"/>
      <c r="R784" s="544"/>
      <c r="S784" s="544"/>
      <c r="T784" s="544"/>
      <c r="U784" s="544"/>
      <c r="V784" s="544"/>
      <c r="W784" s="544"/>
      <c r="X784" s="544"/>
      <c r="Y784" s="544"/>
      <c r="Z784" s="544"/>
      <c r="AA784" s="544"/>
      <c r="AB784" s="544"/>
    </row>
    <row r="785" spans="1:28" x14ac:dyDescent="0.2">
      <c r="A785" s="544"/>
      <c r="B785" s="544"/>
      <c r="C785" s="544"/>
      <c r="D785" s="544"/>
      <c r="E785" s="544"/>
      <c r="F785" s="569"/>
      <c r="G785" s="544"/>
      <c r="H785" s="544"/>
      <c r="I785" s="544"/>
      <c r="J785" s="544"/>
      <c r="K785" s="569"/>
      <c r="L785" s="544"/>
      <c r="M785" s="544"/>
      <c r="N785" s="544"/>
      <c r="O785" s="544"/>
      <c r="P785" s="544"/>
      <c r="Q785" s="544"/>
      <c r="R785" s="544"/>
      <c r="S785" s="544"/>
      <c r="T785" s="544"/>
      <c r="U785" s="544"/>
      <c r="V785" s="544"/>
      <c r="W785" s="544"/>
      <c r="X785" s="544"/>
      <c r="Y785" s="544"/>
      <c r="Z785" s="544"/>
      <c r="AA785" s="544"/>
      <c r="AB785" s="544"/>
    </row>
    <row r="786" spans="1:28" x14ac:dyDescent="0.2">
      <c r="A786" s="544"/>
      <c r="B786" s="544"/>
      <c r="C786" s="544"/>
      <c r="D786" s="544"/>
      <c r="E786" s="544"/>
      <c r="F786" s="569"/>
      <c r="G786" s="544"/>
      <c r="H786" s="544"/>
      <c r="I786" s="544"/>
      <c r="J786" s="544"/>
      <c r="K786" s="569"/>
      <c r="L786" s="544"/>
      <c r="M786" s="544"/>
      <c r="N786" s="544"/>
      <c r="O786" s="544"/>
      <c r="P786" s="544"/>
      <c r="Q786" s="544"/>
      <c r="R786" s="544"/>
      <c r="S786" s="544"/>
      <c r="T786" s="544"/>
      <c r="U786" s="544"/>
      <c r="V786" s="544"/>
      <c r="W786" s="544"/>
      <c r="X786" s="544"/>
      <c r="Y786" s="544"/>
      <c r="Z786" s="544"/>
      <c r="AA786" s="544"/>
      <c r="AB786" s="544"/>
    </row>
    <row r="787" spans="1:28" x14ac:dyDescent="0.2">
      <c r="A787" s="544"/>
      <c r="B787" s="544"/>
      <c r="C787" s="544"/>
      <c r="D787" s="544"/>
      <c r="E787" s="544"/>
      <c r="F787" s="569"/>
      <c r="G787" s="544"/>
      <c r="H787" s="544"/>
      <c r="I787" s="544"/>
      <c r="J787" s="544"/>
      <c r="K787" s="569"/>
      <c r="L787" s="544"/>
      <c r="M787" s="544"/>
      <c r="N787" s="544"/>
      <c r="O787" s="544"/>
      <c r="P787" s="544"/>
      <c r="Q787" s="544"/>
      <c r="R787" s="544"/>
      <c r="S787" s="544"/>
      <c r="T787" s="544"/>
      <c r="U787" s="544"/>
      <c r="V787" s="544"/>
      <c r="W787" s="544"/>
      <c r="X787" s="544"/>
      <c r="Y787" s="544"/>
      <c r="Z787" s="544"/>
      <c r="AA787" s="544"/>
      <c r="AB787" s="544"/>
    </row>
    <row r="788" spans="1:28" x14ac:dyDescent="0.2">
      <c r="A788" s="544"/>
      <c r="B788" s="544"/>
      <c r="C788" s="544"/>
      <c r="D788" s="544"/>
      <c r="E788" s="544"/>
      <c r="F788" s="569"/>
      <c r="G788" s="544"/>
      <c r="H788" s="544"/>
      <c r="I788" s="544"/>
      <c r="J788" s="544"/>
      <c r="K788" s="569"/>
      <c r="L788" s="544"/>
      <c r="M788" s="544"/>
      <c r="N788" s="544"/>
      <c r="O788" s="544"/>
      <c r="P788" s="544"/>
      <c r="Q788" s="544"/>
      <c r="R788" s="544"/>
      <c r="S788" s="544"/>
      <c r="T788" s="544"/>
      <c r="U788" s="544"/>
      <c r="V788" s="544"/>
      <c r="W788" s="544"/>
      <c r="X788" s="544"/>
      <c r="Y788" s="544"/>
      <c r="Z788" s="544"/>
      <c r="AA788" s="544"/>
      <c r="AB788" s="544"/>
    </row>
    <row r="789" spans="1:28" x14ac:dyDescent="0.2">
      <c r="A789" s="544"/>
      <c r="B789" s="544"/>
      <c r="C789" s="544"/>
      <c r="D789" s="544"/>
      <c r="E789" s="544"/>
      <c r="F789" s="569"/>
      <c r="G789" s="544"/>
      <c r="H789" s="544"/>
      <c r="I789" s="544"/>
      <c r="J789" s="544"/>
      <c r="K789" s="569"/>
      <c r="L789" s="544"/>
      <c r="M789" s="544"/>
      <c r="N789" s="544"/>
      <c r="O789" s="544"/>
      <c r="P789" s="544"/>
      <c r="Q789" s="544"/>
      <c r="R789" s="544"/>
      <c r="S789" s="544"/>
      <c r="T789" s="544"/>
      <c r="U789" s="544"/>
      <c r="V789" s="544"/>
      <c r="W789" s="544"/>
      <c r="X789" s="544"/>
      <c r="Y789" s="544"/>
      <c r="Z789" s="544"/>
      <c r="AA789" s="544"/>
      <c r="AB789" s="544"/>
    </row>
    <row r="790" spans="1:28" x14ac:dyDescent="0.2">
      <c r="A790" s="544"/>
      <c r="B790" s="544"/>
      <c r="C790" s="544"/>
      <c r="D790" s="544"/>
      <c r="E790" s="544"/>
      <c r="F790" s="569"/>
      <c r="G790" s="544"/>
      <c r="H790" s="544"/>
      <c r="I790" s="544"/>
      <c r="J790" s="544"/>
      <c r="K790" s="569"/>
      <c r="L790" s="544"/>
      <c r="M790" s="544"/>
      <c r="N790" s="544"/>
      <c r="O790" s="544"/>
      <c r="P790" s="544"/>
      <c r="Q790" s="544"/>
      <c r="R790" s="544"/>
      <c r="S790" s="544"/>
      <c r="T790" s="544"/>
      <c r="U790" s="544"/>
      <c r="V790" s="544"/>
      <c r="W790" s="544"/>
      <c r="X790" s="544"/>
      <c r="Y790" s="544"/>
      <c r="Z790" s="544"/>
      <c r="AA790" s="544"/>
      <c r="AB790" s="544"/>
    </row>
    <row r="791" spans="1:28" x14ac:dyDescent="0.2">
      <c r="A791" s="544"/>
      <c r="B791" s="544"/>
      <c r="C791" s="544"/>
      <c r="D791" s="544"/>
      <c r="E791" s="544"/>
      <c r="F791" s="569"/>
      <c r="G791" s="544"/>
      <c r="H791" s="544"/>
      <c r="I791" s="544"/>
      <c r="J791" s="544"/>
      <c r="K791" s="569"/>
      <c r="L791" s="544"/>
      <c r="M791" s="544"/>
      <c r="N791" s="544"/>
      <c r="O791" s="544"/>
      <c r="P791" s="544"/>
      <c r="Q791" s="544"/>
      <c r="R791" s="544"/>
      <c r="S791" s="544"/>
      <c r="T791" s="544"/>
      <c r="U791" s="544"/>
      <c r="V791" s="544"/>
      <c r="W791" s="544"/>
      <c r="X791" s="544"/>
      <c r="Y791" s="544"/>
      <c r="Z791" s="544"/>
      <c r="AA791" s="544"/>
      <c r="AB791" s="544"/>
    </row>
    <row r="792" spans="1:28" x14ac:dyDescent="0.2">
      <c r="A792" s="544"/>
      <c r="B792" s="544"/>
      <c r="C792" s="544"/>
      <c r="D792" s="544"/>
      <c r="E792" s="544"/>
      <c r="F792" s="569"/>
      <c r="G792" s="544"/>
      <c r="H792" s="544"/>
      <c r="I792" s="544"/>
      <c r="J792" s="544"/>
      <c r="K792" s="569"/>
      <c r="L792" s="544"/>
      <c r="M792" s="544"/>
      <c r="N792" s="544"/>
      <c r="O792" s="544"/>
      <c r="P792" s="544"/>
      <c r="Q792" s="544"/>
      <c r="R792" s="544"/>
      <c r="S792" s="544"/>
      <c r="T792" s="544"/>
      <c r="U792" s="544"/>
      <c r="V792" s="544"/>
      <c r="W792" s="544"/>
      <c r="X792" s="544"/>
      <c r="Y792" s="544"/>
      <c r="Z792" s="544"/>
      <c r="AA792" s="544"/>
      <c r="AB792" s="544"/>
    </row>
    <row r="793" spans="1:28" x14ac:dyDescent="0.2">
      <c r="A793" s="544"/>
      <c r="B793" s="544"/>
      <c r="C793" s="544"/>
      <c r="D793" s="544"/>
      <c r="E793" s="544"/>
      <c r="F793" s="569"/>
      <c r="G793" s="544"/>
      <c r="H793" s="544"/>
      <c r="I793" s="544"/>
      <c r="J793" s="544"/>
      <c r="K793" s="569"/>
      <c r="L793" s="544"/>
      <c r="M793" s="544"/>
      <c r="N793" s="544"/>
      <c r="O793" s="544"/>
      <c r="P793" s="544"/>
      <c r="Q793" s="544"/>
      <c r="R793" s="544"/>
      <c r="S793" s="544"/>
      <c r="T793" s="544"/>
      <c r="U793" s="544"/>
      <c r="V793" s="544"/>
      <c r="W793" s="544"/>
      <c r="X793" s="544"/>
      <c r="Y793" s="544"/>
      <c r="Z793" s="544"/>
      <c r="AA793" s="544"/>
      <c r="AB793" s="544"/>
    </row>
    <row r="794" spans="1:28" x14ac:dyDescent="0.2">
      <c r="A794" s="544"/>
      <c r="B794" s="544"/>
      <c r="C794" s="544"/>
      <c r="D794" s="544"/>
      <c r="E794" s="544"/>
      <c r="F794" s="569"/>
      <c r="G794" s="544"/>
      <c r="H794" s="544"/>
      <c r="I794" s="544"/>
      <c r="J794" s="544"/>
      <c r="K794" s="569"/>
      <c r="L794" s="544"/>
      <c r="M794" s="544"/>
      <c r="N794" s="544"/>
      <c r="O794" s="544"/>
      <c r="P794" s="544"/>
      <c r="Q794" s="544"/>
      <c r="R794" s="544"/>
      <c r="S794" s="544"/>
      <c r="T794" s="544"/>
      <c r="U794" s="544"/>
      <c r="V794" s="544"/>
      <c r="W794" s="544"/>
      <c r="X794" s="544"/>
      <c r="Y794" s="544"/>
      <c r="Z794" s="544"/>
      <c r="AA794" s="544"/>
      <c r="AB794" s="544"/>
    </row>
    <row r="795" spans="1:28" x14ac:dyDescent="0.2">
      <c r="A795" s="544"/>
      <c r="B795" s="544"/>
      <c r="C795" s="544"/>
      <c r="D795" s="544"/>
      <c r="E795" s="544"/>
      <c r="F795" s="569"/>
      <c r="G795" s="544"/>
      <c r="H795" s="544"/>
      <c r="I795" s="544"/>
      <c r="J795" s="544"/>
      <c r="K795" s="569"/>
      <c r="L795" s="544"/>
      <c r="M795" s="544"/>
      <c r="N795" s="544"/>
      <c r="O795" s="544"/>
      <c r="P795" s="544"/>
      <c r="Q795" s="544"/>
      <c r="R795" s="544"/>
      <c r="S795" s="544"/>
      <c r="T795" s="544"/>
      <c r="U795" s="544"/>
      <c r="V795" s="544"/>
      <c r="W795" s="544"/>
      <c r="X795" s="544"/>
      <c r="Y795" s="544"/>
      <c r="Z795" s="544"/>
      <c r="AA795" s="544"/>
      <c r="AB795" s="544"/>
    </row>
    <row r="796" spans="1:28" x14ac:dyDescent="0.2">
      <c r="A796" s="544"/>
      <c r="B796" s="544"/>
      <c r="C796" s="544"/>
      <c r="D796" s="544"/>
      <c r="E796" s="544"/>
      <c r="F796" s="569"/>
      <c r="G796" s="544"/>
      <c r="H796" s="544"/>
      <c r="I796" s="544"/>
      <c r="J796" s="544"/>
      <c r="K796" s="569"/>
      <c r="L796" s="544"/>
      <c r="M796" s="544"/>
      <c r="N796" s="544"/>
      <c r="O796" s="544"/>
      <c r="P796" s="544"/>
      <c r="Q796" s="544"/>
      <c r="R796" s="544"/>
      <c r="S796" s="544"/>
      <c r="T796" s="544"/>
      <c r="U796" s="544"/>
      <c r="V796" s="544"/>
      <c r="W796" s="544"/>
      <c r="X796" s="544"/>
      <c r="Y796" s="544"/>
      <c r="Z796" s="544"/>
      <c r="AA796" s="544"/>
      <c r="AB796" s="544"/>
    </row>
    <row r="797" spans="1:28" x14ac:dyDescent="0.2">
      <c r="A797" s="544"/>
      <c r="B797" s="544"/>
      <c r="C797" s="544"/>
      <c r="D797" s="544"/>
      <c r="E797" s="544"/>
      <c r="F797" s="569"/>
      <c r="G797" s="544"/>
      <c r="H797" s="544"/>
      <c r="I797" s="544"/>
      <c r="J797" s="544"/>
      <c r="K797" s="569"/>
      <c r="L797" s="544"/>
      <c r="M797" s="544"/>
      <c r="N797" s="544"/>
      <c r="O797" s="544"/>
      <c r="P797" s="544"/>
      <c r="Q797" s="544"/>
      <c r="R797" s="544"/>
      <c r="S797" s="544"/>
      <c r="T797" s="544"/>
      <c r="U797" s="544"/>
      <c r="V797" s="544"/>
      <c r="W797" s="544"/>
      <c r="X797" s="544"/>
      <c r="Y797" s="544"/>
      <c r="Z797" s="544"/>
      <c r="AA797" s="544"/>
      <c r="AB797" s="544"/>
    </row>
    <row r="798" spans="1:28" x14ac:dyDescent="0.2">
      <c r="A798" s="544"/>
      <c r="B798" s="544"/>
      <c r="C798" s="544"/>
      <c r="D798" s="544"/>
      <c r="E798" s="544"/>
      <c r="F798" s="569"/>
      <c r="G798" s="544"/>
      <c r="H798" s="544"/>
      <c r="I798" s="544"/>
      <c r="J798" s="544"/>
      <c r="K798" s="569"/>
      <c r="L798" s="544"/>
      <c r="M798" s="544"/>
      <c r="N798" s="544"/>
      <c r="O798" s="544"/>
      <c r="P798" s="544"/>
      <c r="Q798" s="544"/>
      <c r="R798" s="544"/>
      <c r="S798" s="544"/>
      <c r="T798" s="544"/>
      <c r="U798" s="544"/>
      <c r="V798" s="544"/>
      <c r="W798" s="544"/>
      <c r="X798" s="544"/>
      <c r="Y798" s="544"/>
      <c r="Z798" s="544"/>
      <c r="AA798" s="544"/>
      <c r="AB798" s="544"/>
    </row>
    <row r="799" spans="1:28" x14ac:dyDescent="0.2">
      <c r="A799" s="544"/>
      <c r="B799" s="544"/>
      <c r="C799" s="544"/>
      <c r="D799" s="544"/>
      <c r="E799" s="544"/>
      <c r="F799" s="569"/>
      <c r="G799" s="544"/>
      <c r="H799" s="544"/>
      <c r="I799" s="544"/>
      <c r="J799" s="544"/>
      <c r="K799" s="569"/>
      <c r="L799" s="544"/>
      <c r="M799" s="544"/>
      <c r="N799" s="544"/>
      <c r="O799" s="544"/>
      <c r="P799" s="544"/>
      <c r="Q799" s="544"/>
      <c r="R799" s="544"/>
      <c r="S799" s="544"/>
      <c r="T799" s="544"/>
      <c r="U799" s="544"/>
      <c r="V799" s="544"/>
      <c r="W799" s="544"/>
      <c r="X799" s="544"/>
      <c r="Y799" s="544"/>
      <c r="Z799" s="544"/>
      <c r="AA799" s="544"/>
      <c r="AB799" s="544"/>
    </row>
    <row r="800" spans="1:28" x14ac:dyDescent="0.2">
      <c r="A800" s="544"/>
      <c r="B800" s="544"/>
      <c r="C800" s="544"/>
      <c r="D800" s="544"/>
      <c r="E800" s="544"/>
      <c r="F800" s="569"/>
      <c r="G800" s="544"/>
      <c r="H800" s="544"/>
      <c r="I800" s="544"/>
      <c r="J800" s="544"/>
      <c r="K800" s="569"/>
      <c r="L800" s="544"/>
      <c r="M800" s="544"/>
      <c r="N800" s="544"/>
      <c r="O800" s="544"/>
      <c r="P800" s="544"/>
      <c r="Q800" s="544"/>
      <c r="R800" s="544"/>
      <c r="S800" s="544"/>
      <c r="T800" s="544"/>
      <c r="U800" s="544"/>
      <c r="V800" s="544"/>
      <c r="W800" s="544"/>
      <c r="X800" s="544"/>
      <c r="Y800" s="544"/>
      <c r="Z800" s="544"/>
      <c r="AA800" s="544"/>
      <c r="AB800" s="544"/>
    </row>
    <row r="801" spans="1:28" x14ac:dyDescent="0.2">
      <c r="A801" s="544"/>
      <c r="B801" s="544"/>
      <c r="C801" s="544"/>
      <c r="D801" s="544"/>
      <c r="E801" s="544"/>
      <c r="F801" s="569"/>
      <c r="G801" s="544"/>
      <c r="H801" s="544"/>
      <c r="I801" s="544"/>
      <c r="J801" s="544"/>
      <c r="K801" s="569"/>
      <c r="L801" s="544"/>
      <c r="M801" s="544"/>
      <c r="N801" s="544"/>
      <c r="O801" s="544"/>
      <c r="P801" s="544"/>
      <c r="Q801" s="544"/>
      <c r="R801" s="544"/>
      <c r="S801" s="544"/>
      <c r="T801" s="544"/>
      <c r="U801" s="544"/>
      <c r="V801" s="544"/>
      <c r="W801" s="544"/>
      <c r="X801" s="544"/>
      <c r="Y801" s="544"/>
      <c r="Z801" s="544"/>
      <c r="AA801" s="544"/>
      <c r="AB801" s="544"/>
    </row>
    <row r="802" spans="1:28" x14ac:dyDescent="0.2">
      <c r="A802" s="544"/>
      <c r="B802" s="544"/>
      <c r="C802" s="544"/>
      <c r="D802" s="544"/>
      <c r="E802" s="544"/>
      <c r="F802" s="569"/>
      <c r="G802" s="544"/>
      <c r="H802" s="544"/>
      <c r="I802" s="544"/>
      <c r="J802" s="544"/>
      <c r="K802" s="569"/>
      <c r="L802" s="544"/>
      <c r="M802" s="544"/>
      <c r="N802" s="544"/>
      <c r="O802" s="544"/>
      <c r="P802" s="544"/>
      <c r="Q802" s="544"/>
      <c r="R802" s="544"/>
      <c r="S802" s="544"/>
      <c r="T802" s="544"/>
      <c r="U802" s="544"/>
      <c r="V802" s="544"/>
      <c r="W802" s="544"/>
      <c r="X802" s="544"/>
      <c r="Y802" s="544"/>
      <c r="Z802" s="544"/>
      <c r="AA802" s="544"/>
      <c r="AB802" s="544"/>
    </row>
    <row r="803" spans="1:28" x14ac:dyDescent="0.2">
      <c r="A803" s="544"/>
      <c r="B803" s="544"/>
      <c r="C803" s="544"/>
      <c r="D803" s="544"/>
      <c r="E803" s="544"/>
      <c r="F803" s="569"/>
      <c r="G803" s="544"/>
      <c r="H803" s="544"/>
      <c r="I803" s="544"/>
      <c r="J803" s="544"/>
      <c r="K803" s="569"/>
      <c r="L803" s="544"/>
      <c r="M803" s="544"/>
      <c r="N803" s="544"/>
      <c r="O803" s="544"/>
      <c r="P803" s="544"/>
      <c r="Q803" s="544"/>
      <c r="R803" s="544"/>
      <c r="S803" s="544"/>
      <c r="T803" s="544"/>
      <c r="U803" s="544"/>
      <c r="V803" s="544"/>
      <c r="W803" s="544"/>
      <c r="X803" s="544"/>
      <c r="Y803" s="544"/>
      <c r="Z803" s="544"/>
      <c r="AA803" s="544"/>
      <c r="AB803" s="544"/>
    </row>
    <row r="804" spans="1:28" x14ac:dyDescent="0.2">
      <c r="A804" s="544"/>
      <c r="B804" s="544"/>
      <c r="C804" s="544"/>
      <c r="D804" s="544"/>
      <c r="E804" s="544"/>
      <c r="F804" s="569"/>
      <c r="G804" s="544"/>
      <c r="H804" s="544"/>
      <c r="I804" s="544"/>
      <c r="J804" s="544"/>
      <c r="K804" s="569"/>
      <c r="L804" s="544"/>
      <c r="M804" s="544"/>
      <c r="N804" s="544"/>
      <c r="O804" s="544"/>
      <c r="P804" s="544"/>
      <c r="Q804" s="544"/>
      <c r="R804" s="544"/>
      <c r="S804" s="544"/>
      <c r="T804" s="544"/>
      <c r="U804" s="544"/>
      <c r="V804" s="544"/>
      <c r="W804" s="544"/>
      <c r="X804" s="544"/>
      <c r="Y804" s="544"/>
      <c r="Z804" s="544"/>
      <c r="AA804" s="544"/>
      <c r="AB804" s="544"/>
    </row>
    <row r="805" spans="1:28" x14ac:dyDescent="0.2">
      <c r="A805" s="544"/>
      <c r="B805" s="544"/>
      <c r="C805" s="544"/>
      <c r="D805" s="544"/>
      <c r="E805" s="544"/>
      <c r="F805" s="569"/>
      <c r="G805" s="544"/>
      <c r="H805" s="544"/>
      <c r="I805" s="544"/>
      <c r="J805" s="544"/>
      <c r="K805" s="569"/>
      <c r="L805" s="544"/>
      <c r="M805" s="544"/>
      <c r="N805" s="544"/>
      <c r="O805" s="544"/>
      <c r="P805" s="544"/>
      <c r="Q805" s="544"/>
      <c r="R805" s="544"/>
      <c r="S805" s="544"/>
      <c r="T805" s="544"/>
      <c r="U805" s="544"/>
      <c r="V805" s="544"/>
      <c r="W805" s="544"/>
      <c r="X805" s="544"/>
      <c r="Y805" s="544"/>
      <c r="Z805" s="544"/>
      <c r="AA805" s="544"/>
      <c r="AB805" s="544"/>
    </row>
    <row r="806" spans="1:28" x14ac:dyDescent="0.2">
      <c r="A806" s="544"/>
      <c r="B806" s="544"/>
      <c r="C806" s="544"/>
      <c r="D806" s="544"/>
      <c r="E806" s="544"/>
      <c r="F806" s="569"/>
      <c r="G806" s="544"/>
      <c r="H806" s="544"/>
      <c r="I806" s="544"/>
      <c r="J806" s="544"/>
      <c r="K806" s="569"/>
      <c r="L806" s="544"/>
      <c r="M806" s="544"/>
      <c r="N806" s="544"/>
      <c r="O806" s="544"/>
      <c r="P806" s="544"/>
      <c r="Q806" s="544"/>
      <c r="R806" s="544"/>
      <c r="S806" s="544"/>
      <c r="T806" s="544"/>
      <c r="U806" s="544"/>
      <c r="V806" s="544"/>
      <c r="W806" s="544"/>
      <c r="X806" s="544"/>
      <c r="Y806" s="544"/>
      <c r="Z806" s="544"/>
      <c r="AA806" s="544"/>
      <c r="AB806" s="544"/>
    </row>
    <row r="807" spans="1:28" x14ac:dyDescent="0.2">
      <c r="A807" s="544"/>
      <c r="B807" s="544"/>
      <c r="C807" s="544"/>
      <c r="D807" s="544"/>
      <c r="E807" s="544"/>
      <c r="F807" s="569"/>
      <c r="G807" s="544"/>
      <c r="H807" s="544"/>
      <c r="I807" s="544"/>
      <c r="J807" s="544"/>
      <c r="K807" s="569"/>
      <c r="L807" s="544"/>
      <c r="M807" s="544"/>
      <c r="N807" s="544"/>
      <c r="O807" s="544"/>
      <c r="P807" s="544"/>
      <c r="Q807" s="544"/>
      <c r="R807" s="544"/>
      <c r="S807" s="544"/>
      <c r="T807" s="544"/>
      <c r="U807" s="544"/>
      <c r="V807" s="544"/>
      <c r="W807" s="544"/>
      <c r="X807" s="544"/>
      <c r="Y807" s="544"/>
      <c r="Z807" s="544"/>
      <c r="AA807" s="544"/>
      <c r="AB807" s="544"/>
    </row>
    <row r="808" spans="1:28" x14ac:dyDescent="0.2">
      <c r="A808" s="544"/>
      <c r="B808" s="544"/>
      <c r="C808" s="544"/>
      <c r="D808" s="544"/>
      <c r="E808" s="544"/>
      <c r="F808" s="569"/>
      <c r="G808" s="544"/>
      <c r="H808" s="544"/>
      <c r="I808" s="544"/>
      <c r="J808" s="544"/>
      <c r="K808" s="569"/>
      <c r="L808" s="544"/>
      <c r="M808" s="544"/>
      <c r="N808" s="544"/>
      <c r="O808" s="544"/>
      <c r="P808" s="544"/>
      <c r="Q808" s="544"/>
      <c r="R808" s="544"/>
      <c r="S808" s="544"/>
      <c r="T808" s="544"/>
      <c r="U808" s="544"/>
      <c r="V808" s="544"/>
      <c r="W808" s="544"/>
      <c r="X808" s="544"/>
      <c r="Y808" s="544"/>
      <c r="Z808" s="544"/>
      <c r="AA808" s="544"/>
      <c r="AB808" s="544"/>
    </row>
    <row r="809" spans="1:28" x14ac:dyDescent="0.2">
      <c r="A809" s="544"/>
      <c r="B809" s="544"/>
      <c r="C809" s="544"/>
      <c r="D809" s="544"/>
      <c r="E809" s="544"/>
      <c r="F809" s="569"/>
      <c r="G809" s="544"/>
      <c r="H809" s="544"/>
      <c r="I809" s="544"/>
      <c r="J809" s="544"/>
      <c r="K809" s="569"/>
      <c r="L809" s="544"/>
      <c r="M809" s="544"/>
      <c r="N809" s="544"/>
      <c r="O809" s="544"/>
      <c r="P809" s="544"/>
      <c r="Q809" s="544"/>
      <c r="R809" s="544"/>
      <c r="S809" s="544"/>
      <c r="T809" s="544"/>
      <c r="U809" s="544"/>
      <c r="V809" s="544"/>
      <c r="W809" s="544"/>
      <c r="X809" s="544"/>
      <c r="Y809" s="544"/>
      <c r="Z809" s="544"/>
      <c r="AA809" s="544"/>
      <c r="AB809" s="544"/>
    </row>
    <row r="810" spans="1:28" x14ac:dyDescent="0.2">
      <c r="A810" s="544"/>
      <c r="B810" s="544"/>
      <c r="C810" s="544"/>
      <c r="D810" s="544"/>
      <c r="E810" s="544"/>
      <c r="F810" s="569"/>
      <c r="G810" s="544"/>
      <c r="H810" s="544"/>
      <c r="I810" s="544"/>
      <c r="J810" s="544"/>
      <c r="K810" s="569"/>
      <c r="L810" s="544"/>
      <c r="M810" s="544"/>
      <c r="N810" s="544"/>
      <c r="O810" s="544"/>
      <c r="P810" s="544"/>
      <c r="Q810" s="544"/>
      <c r="R810" s="544"/>
      <c r="S810" s="544"/>
      <c r="T810" s="544"/>
      <c r="U810" s="544"/>
      <c r="V810" s="544"/>
      <c r="W810" s="544"/>
      <c r="X810" s="544"/>
      <c r="Y810" s="544"/>
      <c r="Z810" s="544"/>
      <c r="AA810" s="544"/>
      <c r="AB810" s="544"/>
    </row>
    <row r="811" spans="1:28" x14ac:dyDescent="0.2">
      <c r="A811" s="544"/>
      <c r="B811" s="544"/>
      <c r="C811" s="544"/>
      <c r="D811" s="544"/>
      <c r="E811" s="544"/>
      <c r="F811" s="569"/>
      <c r="G811" s="544"/>
      <c r="H811" s="544"/>
      <c r="I811" s="544"/>
      <c r="J811" s="544"/>
      <c r="K811" s="569"/>
      <c r="L811" s="544"/>
      <c r="M811" s="544"/>
      <c r="N811" s="544"/>
      <c r="O811" s="544"/>
      <c r="P811" s="544"/>
      <c r="Q811" s="544"/>
      <c r="R811" s="544"/>
      <c r="S811" s="544"/>
      <c r="T811" s="544"/>
      <c r="U811" s="544"/>
      <c r="V811" s="544"/>
      <c r="W811" s="544"/>
      <c r="X811" s="544"/>
      <c r="Y811" s="544"/>
      <c r="Z811" s="544"/>
      <c r="AA811" s="544"/>
      <c r="AB811" s="544"/>
    </row>
    <row r="812" spans="1:28" x14ac:dyDescent="0.2">
      <c r="A812" s="544"/>
      <c r="B812" s="544"/>
      <c r="C812" s="544"/>
      <c r="D812" s="544"/>
      <c r="E812" s="544"/>
      <c r="F812" s="569"/>
      <c r="G812" s="544"/>
      <c r="H812" s="544"/>
      <c r="I812" s="544"/>
      <c r="J812" s="544"/>
      <c r="K812" s="569"/>
      <c r="L812" s="544"/>
      <c r="M812" s="544"/>
      <c r="N812" s="544"/>
      <c r="O812" s="544"/>
      <c r="P812" s="544"/>
      <c r="Q812" s="544"/>
      <c r="R812" s="544"/>
      <c r="S812" s="544"/>
      <c r="T812" s="544"/>
      <c r="U812" s="544"/>
      <c r="V812" s="544"/>
      <c r="W812" s="544"/>
      <c r="X812" s="544"/>
      <c r="Y812" s="544"/>
      <c r="Z812" s="544"/>
      <c r="AA812" s="544"/>
      <c r="AB812" s="544"/>
    </row>
    <row r="813" spans="1:28" x14ac:dyDescent="0.2">
      <c r="A813" s="544"/>
      <c r="B813" s="544"/>
      <c r="C813" s="544"/>
      <c r="D813" s="544"/>
      <c r="E813" s="544"/>
      <c r="F813" s="569"/>
      <c r="G813" s="544"/>
      <c r="H813" s="544"/>
      <c r="I813" s="544"/>
      <c r="J813" s="544"/>
      <c r="K813" s="569"/>
      <c r="L813" s="544"/>
      <c r="M813" s="544"/>
      <c r="N813" s="544"/>
      <c r="O813" s="544"/>
      <c r="P813" s="544"/>
      <c r="Q813" s="544"/>
      <c r="R813" s="544"/>
      <c r="S813" s="544"/>
      <c r="T813" s="544"/>
      <c r="U813" s="544"/>
      <c r="V813" s="544"/>
      <c r="W813" s="544"/>
      <c r="X813" s="544"/>
      <c r="Y813" s="544"/>
      <c r="Z813" s="544"/>
      <c r="AA813" s="544"/>
      <c r="AB813" s="544"/>
    </row>
    <row r="814" spans="1:28" x14ac:dyDescent="0.2">
      <c r="A814" s="544"/>
      <c r="B814" s="544"/>
      <c r="C814" s="544"/>
      <c r="D814" s="544"/>
      <c r="E814" s="544"/>
      <c r="F814" s="569"/>
      <c r="G814" s="544"/>
      <c r="H814" s="544"/>
      <c r="I814" s="544"/>
      <c r="J814" s="544"/>
      <c r="K814" s="569"/>
      <c r="L814" s="544"/>
      <c r="M814" s="544"/>
      <c r="N814" s="544"/>
      <c r="O814" s="544"/>
      <c r="P814" s="544"/>
      <c r="Q814" s="544"/>
      <c r="R814" s="544"/>
      <c r="S814" s="544"/>
      <c r="T814" s="544"/>
      <c r="U814" s="544"/>
      <c r="V814" s="544"/>
      <c r="W814" s="544"/>
      <c r="X814" s="544"/>
      <c r="Y814" s="544"/>
      <c r="Z814" s="544"/>
      <c r="AA814" s="544"/>
      <c r="AB814" s="544"/>
    </row>
    <row r="815" spans="1:28" x14ac:dyDescent="0.2">
      <c r="A815" s="544"/>
      <c r="B815" s="544"/>
      <c r="C815" s="544"/>
      <c r="D815" s="544"/>
      <c r="E815" s="544"/>
      <c r="F815" s="569"/>
      <c r="G815" s="544"/>
      <c r="H815" s="544"/>
      <c r="I815" s="544"/>
      <c r="J815" s="544"/>
      <c r="K815" s="569"/>
      <c r="L815" s="544"/>
      <c r="M815" s="544"/>
      <c r="N815" s="544"/>
      <c r="O815" s="544"/>
      <c r="P815" s="544"/>
      <c r="Q815" s="544"/>
      <c r="R815" s="544"/>
      <c r="S815" s="544"/>
      <c r="T815" s="544"/>
      <c r="U815" s="544"/>
      <c r="V815" s="544"/>
      <c r="W815" s="544"/>
      <c r="X815" s="544"/>
      <c r="Y815" s="544"/>
      <c r="Z815" s="544"/>
      <c r="AA815" s="544"/>
      <c r="AB815" s="544"/>
    </row>
    <row r="816" spans="1:28" x14ac:dyDescent="0.2">
      <c r="A816" s="544"/>
      <c r="B816" s="544"/>
      <c r="C816" s="544"/>
      <c r="D816" s="544"/>
      <c r="E816" s="544"/>
      <c r="F816" s="569"/>
      <c r="G816" s="544"/>
      <c r="H816" s="544"/>
      <c r="I816" s="544"/>
      <c r="J816" s="544"/>
      <c r="K816" s="569"/>
      <c r="L816" s="544"/>
      <c r="M816" s="544"/>
      <c r="N816" s="544"/>
      <c r="O816" s="544"/>
      <c r="P816" s="544"/>
      <c r="Q816" s="544"/>
      <c r="R816" s="544"/>
      <c r="S816" s="544"/>
      <c r="T816" s="544"/>
      <c r="U816" s="544"/>
      <c r="V816" s="544"/>
      <c r="W816" s="544"/>
      <c r="X816" s="544"/>
      <c r="Y816" s="544"/>
      <c r="Z816" s="544"/>
      <c r="AA816" s="544"/>
      <c r="AB816" s="544"/>
    </row>
    <row r="817" spans="1:28" x14ac:dyDescent="0.2">
      <c r="A817" s="544"/>
      <c r="B817" s="544"/>
      <c r="C817" s="544"/>
      <c r="D817" s="544"/>
      <c r="E817" s="544"/>
      <c r="F817" s="569"/>
      <c r="G817" s="544"/>
      <c r="H817" s="544"/>
      <c r="I817" s="544"/>
      <c r="J817" s="544"/>
      <c r="K817" s="569"/>
      <c r="L817" s="544"/>
      <c r="M817" s="544"/>
      <c r="N817" s="544"/>
      <c r="O817" s="544"/>
      <c r="P817" s="544"/>
      <c r="Q817" s="544"/>
      <c r="R817" s="544"/>
      <c r="S817" s="544"/>
      <c r="T817" s="544"/>
      <c r="U817" s="544"/>
      <c r="V817" s="544"/>
      <c r="W817" s="544"/>
      <c r="X817" s="544"/>
      <c r="Y817" s="544"/>
      <c r="Z817" s="544"/>
      <c r="AA817" s="544"/>
      <c r="AB817" s="544"/>
    </row>
    <row r="818" spans="1:28" x14ac:dyDescent="0.2">
      <c r="A818" s="544"/>
      <c r="B818" s="544"/>
      <c r="C818" s="544"/>
      <c r="D818" s="544"/>
      <c r="E818" s="544"/>
      <c r="F818" s="569"/>
      <c r="G818" s="544"/>
      <c r="H818" s="544"/>
      <c r="I818" s="544"/>
      <c r="J818" s="544"/>
      <c r="K818" s="569"/>
      <c r="L818" s="544"/>
      <c r="M818" s="544"/>
      <c r="N818" s="544"/>
      <c r="O818" s="544"/>
      <c r="P818" s="544"/>
      <c r="Q818" s="544"/>
      <c r="R818" s="544"/>
      <c r="S818" s="544"/>
      <c r="T818" s="544"/>
      <c r="U818" s="544"/>
      <c r="V818" s="544"/>
      <c r="W818" s="544"/>
      <c r="X818" s="544"/>
      <c r="Y818" s="544"/>
      <c r="Z818" s="544"/>
      <c r="AA818" s="544"/>
      <c r="AB818" s="544"/>
    </row>
    <row r="819" spans="1:28" x14ac:dyDescent="0.2">
      <c r="A819" s="544"/>
      <c r="B819" s="544"/>
      <c r="C819" s="544"/>
      <c r="D819" s="544"/>
      <c r="E819" s="544"/>
      <c r="F819" s="569"/>
      <c r="G819" s="544"/>
      <c r="H819" s="544"/>
      <c r="I819" s="544"/>
      <c r="J819" s="544"/>
      <c r="K819" s="569"/>
      <c r="L819" s="544"/>
      <c r="M819" s="544"/>
      <c r="N819" s="544"/>
      <c r="O819" s="544"/>
      <c r="P819" s="544"/>
      <c r="Q819" s="544"/>
      <c r="R819" s="544"/>
      <c r="S819" s="544"/>
      <c r="T819" s="544"/>
      <c r="U819" s="544"/>
      <c r="V819" s="544"/>
      <c r="W819" s="544"/>
      <c r="X819" s="544"/>
      <c r="Y819" s="544"/>
      <c r="Z819" s="544"/>
      <c r="AA819" s="544"/>
      <c r="AB819" s="544"/>
    </row>
    <row r="820" spans="1:28" x14ac:dyDescent="0.2">
      <c r="A820" s="544"/>
      <c r="B820" s="544"/>
      <c r="C820" s="544"/>
      <c r="D820" s="544"/>
      <c r="E820" s="544"/>
      <c r="F820" s="569"/>
      <c r="G820" s="544"/>
      <c r="H820" s="544"/>
      <c r="I820" s="544"/>
      <c r="J820" s="544"/>
      <c r="K820" s="569"/>
      <c r="L820" s="544"/>
      <c r="M820" s="544"/>
      <c r="N820" s="544"/>
      <c r="O820" s="544"/>
      <c r="P820" s="544"/>
      <c r="Q820" s="544"/>
      <c r="R820" s="544"/>
      <c r="S820" s="544"/>
      <c r="T820" s="544"/>
      <c r="U820" s="544"/>
      <c r="V820" s="544"/>
      <c r="W820" s="544"/>
      <c r="X820" s="544"/>
      <c r="Y820" s="544"/>
      <c r="Z820" s="544"/>
      <c r="AA820" s="544"/>
      <c r="AB820" s="544"/>
    </row>
    <row r="821" spans="1:28" x14ac:dyDescent="0.2">
      <c r="A821" s="544"/>
      <c r="B821" s="544"/>
      <c r="C821" s="544"/>
      <c r="D821" s="544"/>
      <c r="E821" s="544"/>
      <c r="F821" s="569"/>
      <c r="G821" s="544"/>
      <c r="H821" s="544"/>
      <c r="I821" s="544"/>
      <c r="J821" s="544"/>
      <c r="K821" s="569"/>
      <c r="L821" s="544"/>
      <c r="M821" s="544"/>
      <c r="N821" s="544"/>
      <c r="O821" s="544"/>
      <c r="P821" s="544"/>
      <c r="Q821" s="544"/>
      <c r="R821" s="544"/>
      <c r="S821" s="544"/>
      <c r="T821" s="544"/>
      <c r="U821" s="544"/>
      <c r="V821" s="544"/>
      <c r="W821" s="544"/>
      <c r="X821" s="544"/>
      <c r="Y821" s="544"/>
      <c r="Z821" s="544"/>
      <c r="AA821" s="544"/>
      <c r="AB821" s="544"/>
    </row>
    <row r="822" spans="1:28" x14ac:dyDescent="0.2">
      <c r="A822" s="544"/>
      <c r="B822" s="544"/>
      <c r="C822" s="544"/>
      <c r="D822" s="544"/>
      <c r="E822" s="544"/>
      <c r="F822" s="569"/>
      <c r="G822" s="544"/>
      <c r="H822" s="544"/>
      <c r="I822" s="544"/>
      <c r="J822" s="544"/>
      <c r="K822" s="569"/>
      <c r="L822" s="544"/>
      <c r="M822" s="544"/>
      <c r="N822" s="544"/>
      <c r="O822" s="544"/>
      <c r="P822" s="544"/>
      <c r="Q822" s="544"/>
      <c r="R822" s="544"/>
      <c r="S822" s="544"/>
      <c r="T822" s="544"/>
      <c r="U822" s="544"/>
      <c r="V822" s="544"/>
      <c r="W822" s="544"/>
      <c r="X822" s="544"/>
      <c r="Y822" s="544"/>
      <c r="Z822" s="544"/>
      <c r="AA822" s="544"/>
      <c r="AB822" s="544"/>
    </row>
    <row r="823" spans="1:28" x14ac:dyDescent="0.2">
      <c r="A823" s="544"/>
      <c r="B823" s="544"/>
      <c r="C823" s="544"/>
      <c r="D823" s="544"/>
      <c r="E823" s="544"/>
      <c r="F823" s="569"/>
      <c r="G823" s="544"/>
      <c r="H823" s="544"/>
      <c r="I823" s="544"/>
      <c r="J823" s="544"/>
      <c r="K823" s="569"/>
      <c r="L823" s="544"/>
      <c r="M823" s="544"/>
      <c r="N823" s="544"/>
      <c r="O823" s="544"/>
      <c r="P823" s="544"/>
      <c r="Q823" s="544"/>
      <c r="R823" s="544"/>
      <c r="S823" s="544"/>
      <c r="T823" s="544"/>
      <c r="U823" s="544"/>
      <c r="V823" s="544"/>
      <c r="W823" s="544"/>
      <c r="X823" s="544"/>
      <c r="Y823" s="544"/>
      <c r="Z823" s="544"/>
      <c r="AA823" s="544"/>
      <c r="AB823" s="544"/>
    </row>
    <row r="824" spans="1:28" x14ac:dyDescent="0.2">
      <c r="A824" s="544"/>
      <c r="B824" s="544"/>
      <c r="C824" s="544"/>
      <c r="D824" s="544"/>
      <c r="E824" s="544"/>
      <c r="F824" s="569"/>
      <c r="G824" s="544"/>
      <c r="H824" s="544"/>
      <c r="I824" s="544"/>
      <c r="J824" s="544"/>
      <c r="K824" s="569"/>
      <c r="L824" s="544"/>
      <c r="M824" s="544"/>
      <c r="N824" s="544"/>
      <c r="O824" s="544"/>
      <c r="P824" s="544"/>
      <c r="Q824" s="544"/>
      <c r="R824" s="544"/>
      <c r="S824" s="544"/>
      <c r="T824" s="544"/>
      <c r="U824" s="544"/>
      <c r="V824" s="544"/>
      <c r="W824" s="544"/>
      <c r="X824" s="544"/>
      <c r="Y824" s="544"/>
      <c r="Z824" s="544"/>
      <c r="AA824" s="544"/>
      <c r="AB824" s="544"/>
    </row>
    <row r="825" spans="1:28" x14ac:dyDescent="0.2">
      <c r="A825" s="544"/>
      <c r="B825" s="544"/>
      <c r="C825" s="544"/>
      <c r="D825" s="544"/>
      <c r="E825" s="544"/>
      <c r="F825" s="569"/>
      <c r="G825" s="544"/>
      <c r="H825" s="544"/>
      <c r="I825" s="544"/>
      <c r="J825" s="544"/>
      <c r="K825" s="569"/>
      <c r="L825" s="544"/>
      <c r="M825" s="544"/>
      <c r="N825" s="544"/>
      <c r="O825" s="544"/>
      <c r="P825" s="544"/>
      <c r="Q825" s="544"/>
      <c r="R825" s="544"/>
      <c r="S825" s="544"/>
      <c r="T825" s="544"/>
      <c r="U825" s="544"/>
      <c r="V825" s="544"/>
      <c r="W825" s="544"/>
      <c r="X825" s="544"/>
      <c r="Y825" s="544"/>
      <c r="Z825" s="544"/>
      <c r="AA825" s="544"/>
      <c r="AB825" s="544"/>
    </row>
    <row r="826" spans="1:28" x14ac:dyDescent="0.2">
      <c r="A826" s="544"/>
      <c r="B826" s="544"/>
      <c r="C826" s="544"/>
      <c r="D826" s="544"/>
      <c r="E826" s="544"/>
      <c r="F826" s="569"/>
      <c r="G826" s="544"/>
      <c r="H826" s="544"/>
      <c r="I826" s="544"/>
      <c r="J826" s="544"/>
      <c r="K826" s="569"/>
      <c r="L826" s="544"/>
      <c r="M826" s="544"/>
      <c r="N826" s="544"/>
      <c r="O826" s="544"/>
      <c r="P826" s="544"/>
      <c r="Q826" s="544"/>
      <c r="R826" s="544"/>
      <c r="S826" s="544"/>
      <c r="T826" s="544"/>
      <c r="U826" s="544"/>
      <c r="V826" s="544"/>
      <c r="W826" s="544"/>
      <c r="X826" s="544"/>
      <c r="Y826" s="544"/>
      <c r="Z826" s="544"/>
      <c r="AA826" s="544"/>
      <c r="AB826" s="544"/>
    </row>
    <row r="827" spans="1:28" x14ac:dyDescent="0.2">
      <c r="A827" s="544"/>
      <c r="B827" s="544"/>
      <c r="C827" s="544"/>
      <c r="D827" s="544"/>
      <c r="E827" s="544"/>
      <c r="F827" s="569"/>
      <c r="G827" s="544"/>
      <c r="H827" s="544"/>
      <c r="I827" s="544"/>
      <c r="J827" s="544"/>
      <c r="K827" s="569"/>
      <c r="L827" s="544"/>
      <c r="M827" s="544"/>
      <c r="N827" s="544"/>
      <c r="O827" s="544"/>
      <c r="P827" s="544"/>
      <c r="Q827" s="544"/>
      <c r="R827" s="544"/>
      <c r="S827" s="544"/>
      <c r="T827" s="544"/>
      <c r="U827" s="544"/>
      <c r="V827" s="544"/>
      <c r="W827" s="544"/>
      <c r="X827" s="544"/>
      <c r="Y827" s="544"/>
      <c r="Z827" s="544"/>
      <c r="AA827" s="544"/>
      <c r="AB827" s="544"/>
    </row>
    <row r="828" spans="1:28" x14ac:dyDescent="0.2">
      <c r="A828" s="544"/>
      <c r="B828" s="544"/>
      <c r="C828" s="544"/>
      <c r="D828" s="544"/>
      <c r="E828" s="544"/>
      <c r="F828" s="569"/>
      <c r="G828" s="544"/>
      <c r="H828" s="544"/>
      <c r="I828" s="544"/>
      <c r="J828" s="544"/>
      <c r="K828" s="569"/>
      <c r="L828" s="544"/>
      <c r="M828" s="544"/>
      <c r="N828" s="544"/>
      <c r="O828" s="544"/>
      <c r="P828" s="544"/>
      <c r="Q828" s="544"/>
      <c r="R828" s="544"/>
      <c r="S828" s="544"/>
      <c r="T828" s="544"/>
      <c r="U828" s="544"/>
      <c r="V828" s="544"/>
      <c r="W828" s="544"/>
      <c r="X828" s="544"/>
      <c r="Y828" s="544"/>
      <c r="Z828" s="544"/>
      <c r="AA828" s="544"/>
      <c r="AB828" s="544"/>
    </row>
    <row r="829" spans="1:28" x14ac:dyDescent="0.2">
      <c r="A829" s="544"/>
      <c r="B829" s="544"/>
      <c r="C829" s="544"/>
      <c r="D829" s="544"/>
      <c r="E829" s="544"/>
      <c r="F829" s="569"/>
      <c r="G829" s="544"/>
      <c r="H829" s="544"/>
      <c r="I829" s="544"/>
      <c r="J829" s="544"/>
      <c r="K829" s="569"/>
      <c r="L829" s="544"/>
      <c r="M829" s="544"/>
      <c r="N829" s="544"/>
      <c r="O829" s="544"/>
      <c r="P829" s="544"/>
      <c r="Q829" s="544"/>
      <c r="R829" s="544"/>
      <c r="S829" s="544"/>
      <c r="T829" s="544"/>
      <c r="U829" s="544"/>
      <c r="V829" s="544"/>
      <c r="W829" s="544"/>
      <c r="X829" s="544"/>
      <c r="Y829" s="544"/>
      <c r="Z829" s="544"/>
      <c r="AA829" s="544"/>
      <c r="AB829" s="544"/>
    </row>
    <row r="830" spans="1:28" x14ac:dyDescent="0.2">
      <c r="A830" s="544"/>
      <c r="B830" s="544"/>
      <c r="C830" s="544"/>
      <c r="D830" s="544"/>
      <c r="E830" s="544"/>
      <c r="F830" s="569"/>
      <c r="G830" s="544"/>
      <c r="H830" s="544"/>
      <c r="I830" s="544"/>
      <c r="J830" s="544"/>
      <c r="K830" s="569"/>
      <c r="L830" s="544"/>
      <c r="M830" s="544"/>
      <c r="N830" s="544"/>
      <c r="O830" s="544"/>
      <c r="P830" s="544"/>
      <c r="Q830" s="544"/>
      <c r="R830" s="544"/>
      <c r="S830" s="544"/>
      <c r="T830" s="544"/>
      <c r="U830" s="544"/>
      <c r="V830" s="544"/>
      <c r="W830" s="544"/>
      <c r="X830" s="544"/>
      <c r="Y830" s="544"/>
      <c r="Z830" s="544"/>
      <c r="AA830" s="544"/>
      <c r="AB830" s="544"/>
    </row>
    <row r="831" spans="1:28" x14ac:dyDescent="0.2">
      <c r="A831" s="544"/>
      <c r="B831" s="544"/>
      <c r="C831" s="544"/>
      <c r="D831" s="544"/>
      <c r="E831" s="544"/>
      <c r="F831" s="569"/>
      <c r="G831" s="544"/>
      <c r="H831" s="544"/>
      <c r="I831" s="544"/>
      <c r="J831" s="544"/>
      <c r="K831" s="569"/>
      <c r="L831" s="544"/>
      <c r="M831" s="544"/>
      <c r="N831" s="544"/>
      <c r="O831" s="544"/>
      <c r="P831" s="544"/>
      <c r="Q831" s="544"/>
      <c r="R831" s="544"/>
      <c r="S831" s="544"/>
      <c r="T831" s="544"/>
      <c r="U831" s="544"/>
      <c r="V831" s="544"/>
      <c r="W831" s="544"/>
      <c r="X831" s="544"/>
      <c r="Y831" s="544"/>
      <c r="Z831" s="544"/>
      <c r="AA831" s="544"/>
      <c r="AB831" s="544"/>
    </row>
    <row r="832" spans="1:28" x14ac:dyDescent="0.2">
      <c r="A832" s="544"/>
      <c r="B832" s="544"/>
      <c r="C832" s="544"/>
      <c r="D832" s="544"/>
      <c r="E832" s="544"/>
      <c r="F832" s="569"/>
      <c r="G832" s="544"/>
      <c r="H832" s="544"/>
      <c r="I832" s="544"/>
      <c r="J832" s="544"/>
      <c r="K832" s="569"/>
      <c r="L832" s="544"/>
      <c r="M832" s="544"/>
      <c r="N832" s="544"/>
      <c r="O832" s="544"/>
      <c r="P832" s="544"/>
      <c r="Q832" s="544"/>
      <c r="R832" s="544"/>
      <c r="S832" s="544"/>
      <c r="T832" s="544"/>
      <c r="U832" s="544"/>
      <c r="V832" s="544"/>
      <c r="W832" s="544"/>
      <c r="X832" s="544"/>
      <c r="Y832" s="544"/>
      <c r="Z832" s="544"/>
      <c r="AA832" s="544"/>
      <c r="AB832" s="544"/>
    </row>
    <row r="833" spans="1:28" x14ac:dyDescent="0.2">
      <c r="A833" s="544"/>
      <c r="B833" s="544"/>
      <c r="C833" s="544"/>
      <c r="D833" s="544"/>
      <c r="E833" s="544"/>
      <c r="F833" s="569"/>
      <c r="G833" s="544"/>
      <c r="H833" s="544"/>
      <c r="I833" s="544"/>
      <c r="J833" s="544"/>
      <c r="K833" s="569"/>
      <c r="L833" s="544"/>
      <c r="M833" s="544"/>
      <c r="N833" s="544"/>
      <c r="O833" s="544"/>
      <c r="P833" s="544"/>
      <c r="Q833" s="544"/>
      <c r="R833" s="544"/>
      <c r="S833" s="544"/>
      <c r="T833" s="544"/>
      <c r="U833" s="544"/>
      <c r="V833" s="544"/>
      <c r="W833" s="544"/>
      <c r="X833" s="544"/>
      <c r="Y833" s="544"/>
      <c r="Z833" s="544"/>
      <c r="AA833" s="544"/>
      <c r="AB833" s="544"/>
    </row>
    <row r="834" spans="1:28" x14ac:dyDescent="0.2">
      <c r="A834" s="544"/>
      <c r="B834" s="544"/>
      <c r="C834" s="544"/>
      <c r="D834" s="544"/>
      <c r="E834" s="544"/>
      <c r="F834" s="569"/>
      <c r="G834" s="544"/>
      <c r="H834" s="544"/>
      <c r="I834" s="544"/>
      <c r="J834" s="544"/>
      <c r="K834" s="569"/>
      <c r="L834" s="544"/>
      <c r="M834" s="544"/>
      <c r="N834" s="544"/>
      <c r="O834" s="544"/>
      <c r="P834" s="544"/>
      <c r="Q834" s="544"/>
      <c r="R834" s="544"/>
      <c r="S834" s="544"/>
      <c r="T834" s="544"/>
      <c r="U834" s="544"/>
      <c r="V834" s="544"/>
      <c r="W834" s="544"/>
      <c r="X834" s="544"/>
      <c r="Y834" s="544"/>
      <c r="Z834" s="544"/>
      <c r="AA834" s="544"/>
      <c r="AB834" s="544"/>
    </row>
    <row r="835" spans="1:28" x14ac:dyDescent="0.2">
      <c r="A835" s="544"/>
      <c r="B835" s="544"/>
      <c r="C835" s="544"/>
      <c r="D835" s="544"/>
      <c r="E835" s="544"/>
      <c r="F835" s="569"/>
      <c r="G835" s="544"/>
      <c r="H835" s="544"/>
      <c r="I835" s="544"/>
      <c r="J835" s="544"/>
      <c r="K835" s="569"/>
      <c r="L835" s="544"/>
      <c r="M835" s="544"/>
      <c r="N835" s="544"/>
      <c r="O835" s="544"/>
      <c r="P835" s="544"/>
      <c r="Q835" s="544"/>
      <c r="R835" s="544"/>
      <c r="S835" s="544"/>
      <c r="T835" s="544"/>
      <c r="U835" s="544"/>
      <c r="V835" s="544"/>
      <c r="W835" s="544"/>
      <c r="X835" s="544"/>
      <c r="Y835" s="544"/>
      <c r="Z835" s="544"/>
      <c r="AA835" s="544"/>
      <c r="AB835" s="544"/>
    </row>
    <row r="836" spans="1:28" x14ac:dyDescent="0.2">
      <c r="A836" s="544"/>
      <c r="B836" s="544"/>
      <c r="C836" s="544"/>
      <c r="D836" s="544"/>
      <c r="E836" s="544"/>
      <c r="F836" s="569"/>
      <c r="G836" s="544"/>
      <c r="H836" s="544"/>
      <c r="I836" s="544"/>
      <c r="J836" s="544"/>
      <c r="K836" s="569"/>
      <c r="L836" s="544"/>
      <c r="M836" s="544"/>
      <c r="N836" s="544"/>
      <c r="O836" s="544"/>
      <c r="P836" s="544"/>
      <c r="Q836" s="544"/>
      <c r="R836" s="544"/>
      <c r="S836" s="544"/>
      <c r="T836" s="544"/>
      <c r="U836" s="544"/>
      <c r="V836" s="544"/>
      <c r="W836" s="544"/>
      <c r="X836" s="544"/>
      <c r="Y836" s="544"/>
      <c r="Z836" s="544"/>
      <c r="AA836" s="544"/>
      <c r="AB836" s="544"/>
    </row>
    <row r="837" spans="1:28" x14ac:dyDescent="0.2">
      <c r="A837" s="544"/>
      <c r="B837" s="544"/>
      <c r="C837" s="544"/>
      <c r="D837" s="544"/>
      <c r="E837" s="544"/>
      <c r="F837" s="569"/>
      <c r="G837" s="544"/>
      <c r="H837" s="544"/>
      <c r="I837" s="544"/>
      <c r="J837" s="544"/>
      <c r="K837" s="569"/>
      <c r="L837" s="544"/>
      <c r="M837" s="544"/>
      <c r="N837" s="544"/>
      <c r="O837" s="544"/>
      <c r="P837" s="544"/>
      <c r="Q837" s="544"/>
      <c r="R837" s="544"/>
      <c r="S837" s="544"/>
      <c r="T837" s="544"/>
      <c r="U837" s="544"/>
      <c r="V837" s="544"/>
      <c r="W837" s="544"/>
      <c r="X837" s="544"/>
      <c r="Y837" s="544"/>
      <c r="Z837" s="544"/>
      <c r="AA837" s="544"/>
      <c r="AB837" s="544"/>
    </row>
    <row r="838" spans="1:28" x14ac:dyDescent="0.2">
      <c r="A838" s="544"/>
      <c r="B838" s="544"/>
      <c r="C838" s="544"/>
      <c r="D838" s="544"/>
      <c r="E838" s="544"/>
      <c r="F838" s="569"/>
      <c r="G838" s="544"/>
      <c r="H838" s="544"/>
      <c r="I838" s="544"/>
      <c r="J838" s="544"/>
      <c r="K838" s="569"/>
      <c r="L838" s="544"/>
      <c r="M838" s="544"/>
      <c r="N838" s="544"/>
      <c r="O838" s="544"/>
      <c r="P838" s="544"/>
      <c r="Q838" s="544"/>
      <c r="R838" s="544"/>
      <c r="S838" s="544"/>
      <c r="T838" s="544"/>
      <c r="U838" s="544"/>
      <c r="V838" s="544"/>
      <c r="W838" s="544"/>
      <c r="X838" s="544"/>
      <c r="Y838" s="544"/>
      <c r="Z838" s="544"/>
      <c r="AA838" s="544"/>
      <c r="AB838" s="544"/>
    </row>
    <row r="839" spans="1:28" x14ac:dyDescent="0.2">
      <c r="A839" s="544"/>
      <c r="B839" s="544"/>
      <c r="C839" s="544"/>
      <c r="D839" s="544"/>
      <c r="E839" s="544"/>
      <c r="F839" s="569"/>
      <c r="G839" s="544"/>
      <c r="H839" s="544"/>
      <c r="I839" s="544"/>
      <c r="J839" s="544"/>
      <c r="K839" s="569"/>
      <c r="L839" s="544"/>
      <c r="M839" s="544"/>
      <c r="N839" s="544"/>
      <c r="O839" s="544"/>
      <c r="P839" s="544"/>
      <c r="Q839" s="544"/>
      <c r="R839" s="544"/>
      <c r="S839" s="544"/>
      <c r="T839" s="544"/>
      <c r="U839" s="544"/>
      <c r="V839" s="544"/>
      <c r="W839" s="544"/>
      <c r="X839" s="544"/>
      <c r="Y839" s="544"/>
      <c r="Z839" s="544"/>
      <c r="AA839" s="544"/>
      <c r="AB839" s="544"/>
    </row>
    <row r="840" spans="1:28" x14ac:dyDescent="0.2">
      <c r="A840" s="544"/>
      <c r="B840" s="544"/>
      <c r="C840" s="544"/>
      <c r="D840" s="544"/>
      <c r="E840" s="544"/>
      <c r="F840" s="569"/>
      <c r="G840" s="544"/>
      <c r="H840" s="544"/>
      <c r="I840" s="544"/>
      <c r="J840" s="544"/>
      <c r="K840" s="569"/>
      <c r="L840" s="544"/>
      <c r="M840" s="544"/>
      <c r="N840" s="544"/>
      <c r="O840" s="544"/>
      <c r="P840" s="544"/>
      <c r="Q840" s="544"/>
      <c r="R840" s="544"/>
      <c r="S840" s="544"/>
      <c r="T840" s="544"/>
      <c r="U840" s="544"/>
      <c r="V840" s="544"/>
      <c r="W840" s="544"/>
      <c r="X840" s="544"/>
      <c r="Y840" s="544"/>
      <c r="Z840" s="544"/>
      <c r="AA840" s="544"/>
      <c r="AB840" s="544"/>
    </row>
    <row r="841" spans="1:28" x14ac:dyDescent="0.2">
      <c r="A841" s="544"/>
      <c r="B841" s="544"/>
      <c r="C841" s="544"/>
      <c r="D841" s="544"/>
      <c r="E841" s="544"/>
      <c r="F841" s="569"/>
      <c r="G841" s="544"/>
      <c r="H841" s="544"/>
      <c r="I841" s="544"/>
      <c r="J841" s="544"/>
      <c r="K841" s="569"/>
      <c r="L841" s="544"/>
      <c r="M841" s="544"/>
      <c r="N841" s="544"/>
      <c r="O841" s="544"/>
      <c r="P841" s="544"/>
      <c r="Q841" s="544"/>
      <c r="R841" s="544"/>
      <c r="S841" s="544"/>
      <c r="T841" s="544"/>
      <c r="U841" s="544"/>
      <c r="V841" s="544"/>
      <c r="W841" s="544"/>
      <c r="X841" s="544"/>
      <c r="Y841" s="544"/>
      <c r="Z841" s="544"/>
      <c r="AA841" s="544"/>
      <c r="AB841" s="544"/>
    </row>
    <row r="842" spans="1:28" x14ac:dyDescent="0.2">
      <c r="A842" s="544"/>
      <c r="B842" s="544"/>
      <c r="C842" s="544"/>
      <c r="D842" s="544"/>
      <c r="E842" s="544"/>
      <c r="F842" s="569"/>
      <c r="G842" s="544"/>
      <c r="H842" s="544"/>
      <c r="I842" s="544"/>
      <c r="J842" s="544"/>
      <c r="K842" s="569"/>
      <c r="L842" s="544"/>
      <c r="M842" s="544"/>
      <c r="N842" s="544"/>
      <c r="O842" s="544"/>
      <c r="P842" s="544"/>
      <c r="Q842" s="544"/>
      <c r="R842" s="544"/>
      <c r="S842" s="544"/>
      <c r="T842" s="544"/>
      <c r="U842" s="544"/>
      <c r="V842" s="544"/>
      <c r="W842" s="544"/>
      <c r="X842" s="544"/>
      <c r="Y842" s="544"/>
      <c r="Z842" s="544"/>
      <c r="AA842" s="544"/>
      <c r="AB842" s="544"/>
    </row>
    <row r="843" spans="1:28" x14ac:dyDescent="0.2">
      <c r="A843" s="544"/>
      <c r="B843" s="544"/>
      <c r="C843" s="544"/>
      <c r="D843" s="544"/>
      <c r="E843" s="544"/>
      <c r="F843" s="569"/>
      <c r="G843" s="544"/>
      <c r="H843" s="544"/>
      <c r="I843" s="544"/>
      <c r="J843" s="544"/>
      <c r="K843" s="569"/>
      <c r="L843" s="544"/>
      <c r="M843" s="544"/>
      <c r="N843" s="544"/>
      <c r="O843" s="544"/>
      <c r="P843" s="544"/>
      <c r="Q843" s="544"/>
      <c r="R843" s="544"/>
      <c r="S843" s="544"/>
      <c r="T843" s="544"/>
      <c r="U843" s="544"/>
      <c r="V843" s="544"/>
      <c r="W843" s="544"/>
      <c r="X843" s="544"/>
      <c r="Y843" s="544"/>
      <c r="Z843" s="544"/>
      <c r="AA843" s="544"/>
      <c r="AB843" s="544"/>
    </row>
    <row r="844" spans="1:28" x14ac:dyDescent="0.2">
      <c r="A844" s="544"/>
      <c r="B844" s="544"/>
      <c r="C844" s="544"/>
      <c r="D844" s="544"/>
      <c r="E844" s="544"/>
      <c r="F844" s="569"/>
      <c r="G844" s="544"/>
      <c r="H844" s="544"/>
      <c r="I844" s="544"/>
      <c r="J844" s="544"/>
      <c r="K844" s="569"/>
      <c r="L844" s="544"/>
      <c r="M844" s="544"/>
      <c r="N844" s="544"/>
      <c r="O844" s="544"/>
      <c r="P844" s="544"/>
      <c r="Q844" s="544"/>
      <c r="R844" s="544"/>
      <c r="S844" s="544"/>
      <c r="T844" s="544"/>
      <c r="U844" s="544"/>
      <c r="V844" s="544"/>
      <c r="W844" s="544"/>
      <c r="X844" s="544"/>
      <c r="Y844" s="544"/>
      <c r="Z844" s="544"/>
      <c r="AA844" s="544"/>
      <c r="AB844" s="544"/>
    </row>
    <row r="845" spans="1:28" x14ac:dyDescent="0.2">
      <c r="A845" s="544"/>
      <c r="B845" s="544"/>
      <c r="C845" s="544"/>
      <c r="D845" s="544"/>
      <c r="E845" s="544"/>
      <c r="F845" s="569"/>
      <c r="G845" s="544"/>
      <c r="H845" s="544"/>
      <c r="I845" s="544"/>
      <c r="J845" s="544"/>
      <c r="K845" s="569"/>
      <c r="L845" s="544"/>
      <c r="M845" s="544"/>
      <c r="N845" s="544"/>
      <c r="O845" s="544"/>
      <c r="P845" s="544"/>
      <c r="Q845" s="544"/>
      <c r="R845" s="544"/>
      <c r="S845" s="544"/>
      <c r="T845" s="544"/>
      <c r="U845" s="544"/>
      <c r="V845" s="544"/>
      <c r="W845" s="544"/>
      <c r="X845" s="544"/>
      <c r="Y845" s="544"/>
      <c r="Z845" s="544"/>
      <c r="AA845" s="544"/>
      <c r="AB845" s="544"/>
    </row>
    <row r="846" spans="1:28" x14ac:dyDescent="0.2">
      <c r="A846" s="544"/>
      <c r="B846" s="544"/>
      <c r="C846" s="544"/>
      <c r="D846" s="544"/>
      <c r="E846" s="544"/>
      <c r="F846" s="569"/>
      <c r="G846" s="544"/>
      <c r="H846" s="544"/>
      <c r="I846" s="544"/>
      <c r="J846" s="544"/>
      <c r="K846" s="569"/>
      <c r="L846" s="544"/>
      <c r="M846" s="544"/>
      <c r="N846" s="544"/>
      <c r="O846" s="544"/>
      <c r="P846" s="544"/>
      <c r="Q846" s="544"/>
      <c r="R846" s="544"/>
      <c r="S846" s="544"/>
      <c r="T846" s="544"/>
      <c r="U846" s="544"/>
      <c r="V846" s="544"/>
      <c r="W846" s="544"/>
      <c r="X846" s="544"/>
      <c r="Y846" s="544"/>
      <c r="Z846" s="544"/>
      <c r="AA846" s="544"/>
      <c r="AB846" s="544"/>
    </row>
    <row r="847" spans="1:28" x14ac:dyDescent="0.2">
      <c r="A847" s="544"/>
      <c r="B847" s="544"/>
      <c r="C847" s="544"/>
      <c r="D847" s="544"/>
      <c r="E847" s="544"/>
      <c r="F847" s="569"/>
      <c r="G847" s="544"/>
      <c r="H847" s="544"/>
      <c r="I847" s="544"/>
      <c r="J847" s="544"/>
      <c r="K847" s="569"/>
      <c r="L847" s="544"/>
      <c r="M847" s="544"/>
      <c r="N847" s="544"/>
      <c r="O847" s="544"/>
      <c r="P847" s="544"/>
      <c r="Q847" s="544"/>
      <c r="R847" s="544"/>
      <c r="S847" s="544"/>
      <c r="T847" s="544"/>
      <c r="U847" s="544"/>
      <c r="V847" s="544"/>
      <c r="W847" s="544"/>
      <c r="X847" s="544"/>
      <c r="Y847" s="544"/>
      <c r="Z847" s="544"/>
      <c r="AA847" s="544"/>
      <c r="AB847" s="544"/>
    </row>
    <row r="848" spans="1:28" x14ac:dyDescent="0.2">
      <c r="A848" s="544"/>
      <c r="B848" s="544"/>
      <c r="C848" s="544"/>
      <c r="D848" s="544"/>
      <c r="E848" s="544"/>
      <c r="F848" s="569"/>
      <c r="G848" s="544"/>
      <c r="H848" s="544"/>
      <c r="I848" s="544"/>
      <c r="J848" s="544"/>
      <c r="K848" s="569"/>
      <c r="L848" s="544"/>
      <c r="M848" s="544"/>
      <c r="N848" s="544"/>
      <c r="O848" s="544"/>
      <c r="P848" s="544"/>
      <c r="Q848" s="544"/>
      <c r="R848" s="544"/>
      <c r="S848" s="544"/>
      <c r="T848" s="544"/>
      <c r="U848" s="544"/>
      <c r="V848" s="544"/>
      <c r="W848" s="544"/>
      <c r="X848" s="544"/>
      <c r="Y848" s="544"/>
      <c r="Z848" s="544"/>
      <c r="AA848" s="544"/>
      <c r="AB848" s="544"/>
    </row>
    <row r="849" spans="1:28" x14ac:dyDescent="0.2">
      <c r="A849" s="544"/>
      <c r="B849" s="544"/>
      <c r="C849" s="544"/>
      <c r="D849" s="544"/>
      <c r="E849" s="544"/>
      <c r="F849" s="569"/>
      <c r="G849" s="544"/>
      <c r="H849" s="544"/>
      <c r="I849" s="544"/>
      <c r="J849" s="544"/>
      <c r="K849" s="569"/>
      <c r="L849" s="544"/>
      <c r="M849" s="544"/>
      <c r="N849" s="544"/>
      <c r="O849" s="544"/>
      <c r="P849" s="544"/>
      <c r="Q849" s="544"/>
      <c r="R849" s="544"/>
      <c r="S849" s="544"/>
      <c r="T849" s="544"/>
      <c r="U849" s="544"/>
      <c r="V849" s="544"/>
      <c r="W849" s="544"/>
      <c r="X849" s="544"/>
      <c r="Y849" s="544"/>
      <c r="Z849" s="544"/>
      <c r="AA849" s="544"/>
      <c r="AB849" s="544"/>
    </row>
    <row r="850" spans="1:28" x14ac:dyDescent="0.2">
      <c r="A850" s="544"/>
      <c r="B850" s="544"/>
      <c r="C850" s="544"/>
      <c r="D850" s="544"/>
      <c r="E850" s="544"/>
      <c r="F850" s="569"/>
      <c r="G850" s="544"/>
      <c r="H850" s="544"/>
      <c r="I850" s="544"/>
      <c r="J850" s="544"/>
      <c r="K850" s="569"/>
      <c r="L850" s="544"/>
      <c r="M850" s="544"/>
      <c r="N850" s="544"/>
      <c r="O850" s="544"/>
      <c r="P850" s="544"/>
      <c r="Q850" s="544"/>
      <c r="R850" s="544"/>
      <c r="S850" s="544"/>
      <c r="T850" s="544"/>
      <c r="U850" s="544"/>
      <c r="V850" s="544"/>
      <c r="W850" s="544"/>
      <c r="X850" s="544"/>
      <c r="Y850" s="544"/>
      <c r="Z850" s="544"/>
      <c r="AA850" s="544"/>
      <c r="AB850" s="544"/>
    </row>
    <row r="851" spans="1:28" x14ac:dyDescent="0.2">
      <c r="A851" s="544"/>
      <c r="B851" s="544"/>
      <c r="C851" s="544"/>
      <c r="D851" s="544"/>
      <c r="E851" s="544"/>
      <c r="F851" s="569"/>
      <c r="G851" s="544"/>
      <c r="H851" s="544"/>
      <c r="I851" s="544"/>
      <c r="J851" s="544"/>
      <c r="K851" s="569"/>
      <c r="L851" s="544"/>
      <c r="M851" s="544"/>
      <c r="N851" s="544"/>
      <c r="O851" s="544"/>
      <c r="P851" s="544"/>
      <c r="Q851" s="544"/>
      <c r="R851" s="544"/>
      <c r="S851" s="544"/>
      <c r="T851" s="544"/>
      <c r="U851" s="544"/>
      <c r="V851" s="544"/>
      <c r="W851" s="544"/>
      <c r="X851" s="544"/>
      <c r="Y851" s="544"/>
      <c r="Z851" s="544"/>
      <c r="AA851" s="544"/>
      <c r="AB851" s="544"/>
    </row>
    <row r="852" spans="1:28" x14ac:dyDescent="0.2">
      <c r="A852" s="544"/>
      <c r="B852" s="544"/>
      <c r="C852" s="544"/>
      <c r="D852" s="544"/>
      <c r="E852" s="544"/>
      <c r="F852" s="569"/>
      <c r="G852" s="544"/>
      <c r="H852" s="544"/>
      <c r="I852" s="544"/>
      <c r="J852" s="544"/>
      <c r="K852" s="569"/>
      <c r="L852" s="544"/>
      <c r="M852" s="544"/>
      <c r="N852" s="544"/>
      <c r="O852" s="544"/>
      <c r="P852" s="544"/>
      <c r="Q852" s="544"/>
      <c r="R852" s="544"/>
      <c r="S852" s="544"/>
      <c r="T852" s="544"/>
      <c r="U852" s="544"/>
      <c r="V852" s="544"/>
      <c r="W852" s="544"/>
      <c r="X852" s="544"/>
      <c r="Y852" s="544"/>
      <c r="Z852" s="544"/>
      <c r="AA852" s="544"/>
      <c r="AB852" s="544"/>
    </row>
    <row r="853" spans="1:28" x14ac:dyDescent="0.2">
      <c r="A853" s="544"/>
      <c r="B853" s="544"/>
      <c r="C853" s="544"/>
      <c r="D853" s="544"/>
      <c r="E853" s="544"/>
      <c r="F853" s="569"/>
      <c r="G853" s="544"/>
      <c r="H853" s="544"/>
      <c r="I853" s="544"/>
      <c r="J853" s="544"/>
      <c r="K853" s="569"/>
      <c r="L853" s="544"/>
      <c r="M853" s="544"/>
      <c r="N853" s="544"/>
      <c r="O853" s="544"/>
      <c r="P853" s="544"/>
      <c r="Q853" s="544"/>
      <c r="R853" s="544"/>
      <c r="S853" s="544"/>
      <c r="T853" s="544"/>
      <c r="U853" s="544"/>
      <c r="V853" s="544"/>
      <c r="W853" s="544"/>
      <c r="X853" s="544"/>
      <c r="Y853" s="544"/>
      <c r="Z853" s="544"/>
      <c r="AA853" s="544"/>
      <c r="AB853" s="544"/>
    </row>
    <row r="854" spans="1:28" x14ac:dyDescent="0.2">
      <c r="A854" s="544"/>
      <c r="B854" s="544"/>
      <c r="C854" s="544"/>
      <c r="D854" s="544"/>
      <c r="E854" s="544"/>
      <c r="F854" s="569"/>
      <c r="G854" s="544"/>
      <c r="H854" s="544"/>
      <c r="I854" s="544"/>
      <c r="J854" s="544"/>
      <c r="K854" s="569"/>
      <c r="L854" s="544"/>
      <c r="M854" s="544"/>
      <c r="N854" s="544"/>
      <c r="O854" s="544"/>
      <c r="P854" s="544"/>
      <c r="Q854" s="544"/>
      <c r="R854" s="544"/>
      <c r="S854" s="544"/>
      <c r="T854" s="544"/>
      <c r="U854" s="544"/>
      <c r="V854" s="544"/>
      <c r="W854" s="544"/>
      <c r="X854" s="544"/>
      <c r="Y854" s="544"/>
      <c r="Z854" s="544"/>
      <c r="AA854" s="544"/>
      <c r="AB854" s="544"/>
    </row>
    <row r="855" spans="1:28" x14ac:dyDescent="0.2">
      <c r="A855" s="544"/>
      <c r="B855" s="544"/>
      <c r="C855" s="544"/>
      <c r="D855" s="544"/>
      <c r="E855" s="544"/>
      <c r="F855" s="569"/>
      <c r="G855" s="544"/>
      <c r="H855" s="544"/>
      <c r="I855" s="544"/>
      <c r="J855" s="544"/>
      <c r="K855" s="569"/>
      <c r="L855" s="544"/>
      <c r="M855" s="544"/>
      <c r="N855" s="544"/>
      <c r="O855" s="544"/>
      <c r="P855" s="544"/>
      <c r="Q855" s="544"/>
      <c r="R855" s="544"/>
      <c r="S855" s="544"/>
      <c r="T855" s="544"/>
      <c r="U855" s="544"/>
      <c r="V855" s="544"/>
      <c r="W855" s="544"/>
      <c r="X855" s="544"/>
      <c r="Y855" s="544"/>
      <c r="Z855" s="544"/>
      <c r="AA855" s="544"/>
      <c r="AB855" s="544"/>
    </row>
    <row r="856" spans="1:28" x14ac:dyDescent="0.2">
      <c r="A856" s="544"/>
      <c r="B856" s="544"/>
      <c r="C856" s="544"/>
      <c r="D856" s="544"/>
      <c r="E856" s="544"/>
      <c r="F856" s="569"/>
      <c r="G856" s="544"/>
      <c r="H856" s="544"/>
      <c r="I856" s="544"/>
      <c r="J856" s="544"/>
      <c r="K856" s="569"/>
      <c r="L856" s="544"/>
      <c r="M856" s="544"/>
      <c r="N856" s="544"/>
      <c r="O856" s="544"/>
      <c r="P856" s="544"/>
      <c r="Q856" s="544"/>
      <c r="R856" s="544"/>
      <c r="S856" s="544"/>
      <c r="T856" s="544"/>
      <c r="U856" s="544"/>
      <c r="V856" s="544"/>
      <c r="W856" s="544"/>
      <c r="X856" s="544"/>
      <c r="Y856" s="544"/>
      <c r="Z856" s="544"/>
      <c r="AA856" s="544"/>
      <c r="AB856" s="544"/>
    </row>
    <row r="857" spans="1:28" x14ac:dyDescent="0.2">
      <c r="A857" s="544"/>
      <c r="B857" s="544"/>
      <c r="C857" s="544"/>
      <c r="D857" s="544"/>
      <c r="E857" s="544"/>
      <c r="F857" s="569"/>
      <c r="G857" s="544"/>
      <c r="H857" s="544"/>
      <c r="I857" s="544"/>
      <c r="J857" s="544"/>
      <c r="K857" s="569"/>
      <c r="L857" s="544"/>
      <c r="M857" s="544"/>
      <c r="N857" s="544"/>
      <c r="O857" s="544"/>
      <c r="P857" s="544"/>
      <c r="Q857" s="544"/>
      <c r="R857" s="544"/>
      <c r="S857" s="544"/>
      <c r="T857" s="544"/>
      <c r="U857" s="544"/>
      <c r="V857" s="544"/>
      <c r="W857" s="544"/>
      <c r="X857" s="544"/>
      <c r="Y857" s="544"/>
      <c r="Z857" s="544"/>
      <c r="AA857" s="544"/>
      <c r="AB857" s="544"/>
    </row>
    <row r="858" spans="1:28" x14ac:dyDescent="0.2">
      <c r="A858" s="544"/>
      <c r="B858" s="544"/>
      <c r="C858" s="544"/>
      <c r="D858" s="544"/>
      <c r="E858" s="544"/>
      <c r="F858" s="569"/>
      <c r="G858" s="544"/>
      <c r="H858" s="544"/>
      <c r="I858" s="544"/>
      <c r="J858" s="544"/>
      <c r="K858" s="569"/>
      <c r="L858" s="544"/>
      <c r="M858" s="544"/>
      <c r="N858" s="544"/>
      <c r="O858" s="544"/>
      <c r="P858" s="544"/>
      <c r="Q858" s="544"/>
      <c r="R858" s="544"/>
      <c r="S858" s="544"/>
      <c r="T858" s="544"/>
      <c r="U858" s="544"/>
      <c r="V858" s="544"/>
      <c r="W858" s="544"/>
      <c r="X858" s="544"/>
      <c r="Y858" s="544"/>
      <c r="Z858" s="544"/>
      <c r="AA858" s="544"/>
      <c r="AB858" s="544"/>
    </row>
    <row r="859" spans="1:28" x14ac:dyDescent="0.2">
      <c r="A859" s="544"/>
      <c r="B859" s="544"/>
      <c r="C859" s="544"/>
      <c r="D859" s="544"/>
      <c r="E859" s="544"/>
      <c r="F859" s="569"/>
      <c r="G859" s="544"/>
      <c r="H859" s="544"/>
      <c r="I859" s="544"/>
      <c r="J859" s="544"/>
      <c r="K859" s="569"/>
      <c r="L859" s="544"/>
      <c r="M859" s="544"/>
      <c r="N859" s="544"/>
      <c r="O859" s="544"/>
      <c r="P859" s="544"/>
      <c r="Q859" s="544"/>
      <c r="R859" s="544"/>
      <c r="S859" s="544"/>
      <c r="T859" s="544"/>
      <c r="U859" s="544"/>
      <c r="V859" s="544"/>
      <c r="W859" s="544"/>
      <c r="X859" s="544"/>
      <c r="Y859" s="544"/>
      <c r="Z859" s="544"/>
      <c r="AA859" s="544"/>
      <c r="AB859" s="544"/>
    </row>
    <row r="860" spans="1:28" x14ac:dyDescent="0.2">
      <c r="A860" s="544"/>
      <c r="B860" s="544"/>
      <c r="C860" s="544"/>
      <c r="D860" s="544"/>
      <c r="E860" s="544"/>
      <c r="F860" s="569"/>
      <c r="G860" s="544"/>
      <c r="H860" s="544"/>
      <c r="I860" s="544"/>
      <c r="J860" s="544"/>
      <c r="K860" s="569"/>
      <c r="L860" s="544"/>
      <c r="M860" s="544"/>
      <c r="N860" s="544"/>
      <c r="O860" s="544"/>
      <c r="P860" s="544"/>
      <c r="Q860" s="544"/>
      <c r="R860" s="544"/>
      <c r="S860" s="544"/>
      <c r="T860" s="544"/>
      <c r="U860" s="544"/>
      <c r="V860" s="544"/>
      <c r="W860" s="544"/>
      <c r="X860" s="544"/>
      <c r="Y860" s="544"/>
      <c r="Z860" s="544"/>
      <c r="AA860" s="544"/>
      <c r="AB860" s="544"/>
    </row>
    <row r="861" spans="1:28" x14ac:dyDescent="0.2">
      <c r="A861" s="544"/>
      <c r="B861" s="544"/>
      <c r="C861" s="544"/>
      <c r="D861" s="544"/>
      <c r="E861" s="544"/>
      <c r="F861" s="569"/>
      <c r="G861" s="544"/>
      <c r="H861" s="544"/>
      <c r="I861" s="544"/>
      <c r="J861" s="544"/>
      <c r="K861" s="569"/>
      <c r="L861" s="544"/>
      <c r="M861" s="544"/>
      <c r="N861" s="544"/>
      <c r="O861" s="544"/>
      <c r="P861" s="544"/>
      <c r="Q861" s="544"/>
      <c r="R861" s="544"/>
      <c r="S861" s="544"/>
      <c r="T861" s="544"/>
      <c r="U861" s="544"/>
      <c r="V861" s="544"/>
      <c r="W861" s="544"/>
      <c r="X861" s="544"/>
      <c r="Y861" s="544"/>
      <c r="Z861" s="544"/>
      <c r="AA861" s="544"/>
      <c r="AB861" s="544"/>
    </row>
    <row r="862" spans="1:28" x14ac:dyDescent="0.2">
      <c r="A862" s="544"/>
      <c r="B862" s="544"/>
      <c r="C862" s="544"/>
      <c r="D862" s="544"/>
      <c r="E862" s="544"/>
      <c r="F862" s="569"/>
      <c r="G862" s="544"/>
      <c r="H862" s="544"/>
      <c r="I862" s="544"/>
      <c r="J862" s="544"/>
      <c r="K862" s="569"/>
      <c r="L862" s="544"/>
      <c r="M862" s="544"/>
      <c r="N862" s="544"/>
      <c r="O862" s="544"/>
      <c r="P862" s="544"/>
      <c r="Q862" s="544"/>
      <c r="R862" s="544"/>
      <c r="S862" s="544"/>
      <c r="T862" s="544"/>
      <c r="U862" s="544"/>
      <c r="V862" s="544"/>
      <c r="W862" s="544"/>
      <c r="X862" s="544"/>
      <c r="Y862" s="544"/>
      <c r="Z862" s="544"/>
      <c r="AA862" s="544"/>
      <c r="AB862" s="544"/>
    </row>
    <row r="863" spans="1:28" x14ac:dyDescent="0.2">
      <c r="A863" s="544"/>
      <c r="B863" s="544"/>
      <c r="C863" s="544"/>
      <c r="D863" s="544"/>
      <c r="E863" s="544"/>
      <c r="F863" s="569"/>
      <c r="G863" s="544"/>
      <c r="H863" s="544"/>
      <c r="I863" s="544"/>
      <c r="J863" s="544"/>
      <c r="K863" s="569"/>
      <c r="L863" s="544"/>
      <c r="M863" s="544"/>
      <c r="N863" s="544"/>
      <c r="O863" s="544"/>
      <c r="P863" s="544"/>
      <c r="Q863" s="544"/>
      <c r="R863" s="544"/>
      <c r="S863" s="544"/>
      <c r="T863" s="544"/>
      <c r="U863" s="544"/>
      <c r="V863" s="544"/>
      <c r="W863" s="544"/>
      <c r="X863" s="544"/>
      <c r="Y863" s="544"/>
      <c r="Z863" s="544"/>
      <c r="AA863" s="544"/>
      <c r="AB863" s="544"/>
    </row>
    <row r="864" spans="1:28" x14ac:dyDescent="0.2">
      <c r="A864" s="544"/>
      <c r="B864" s="544"/>
      <c r="C864" s="544"/>
      <c r="D864" s="544"/>
      <c r="E864" s="544"/>
      <c r="F864" s="569"/>
      <c r="G864" s="544"/>
      <c r="H864" s="544"/>
      <c r="I864" s="544"/>
      <c r="J864" s="544"/>
      <c r="K864" s="569"/>
      <c r="L864" s="544"/>
      <c r="M864" s="544"/>
      <c r="N864" s="544"/>
      <c r="O864" s="544"/>
      <c r="P864" s="544"/>
      <c r="Q864" s="544"/>
      <c r="R864" s="544"/>
      <c r="S864" s="544"/>
      <c r="T864" s="544"/>
      <c r="U864" s="544"/>
      <c r="V864" s="544"/>
      <c r="W864" s="544"/>
      <c r="X864" s="544"/>
      <c r="Y864" s="544"/>
      <c r="Z864" s="544"/>
      <c r="AA864" s="544"/>
      <c r="AB864" s="544"/>
    </row>
    <row r="865" spans="1:28" x14ac:dyDescent="0.2">
      <c r="A865" s="544"/>
      <c r="B865" s="544"/>
      <c r="C865" s="544"/>
      <c r="D865" s="544"/>
      <c r="E865" s="544"/>
      <c r="F865" s="569"/>
      <c r="G865" s="544"/>
      <c r="H865" s="544"/>
      <c r="I865" s="544"/>
      <c r="J865" s="544"/>
      <c r="K865" s="569"/>
      <c r="L865" s="544"/>
      <c r="M865" s="544"/>
      <c r="N865" s="544"/>
      <c r="O865" s="544"/>
      <c r="P865" s="544"/>
      <c r="Q865" s="544"/>
      <c r="R865" s="544"/>
      <c r="S865" s="544"/>
      <c r="T865" s="544"/>
      <c r="U865" s="544"/>
      <c r="V865" s="544"/>
      <c r="W865" s="544"/>
      <c r="X865" s="544"/>
      <c r="Y865" s="544"/>
      <c r="Z865" s="544"/>
      <c r="AA865" s="544"/>
      <c r="AB865" s="544"/>
    </row>
    <row r="866" spans="1:28" x14ac:dyDescent="0.2">
      <c r="A866" s="544"/>
      <c r="B866" s="544"/>
      <c r="C866" s="544"/>
      <c r="D866" s="544"/>
      <c r="E866" s="544"/>
      <c r="F866" s="569"/>
      <c r="G866" s="544"/>
      <c r="H866" s="544"/>
      <c r="I866" s="544"/>
      <c r="J866" s="544"/>
      <c r="K866" s="569"/>
      <c r="L866" s="544"/>
      <c r="M866" s="544"/>
      <c r="N866" s="544"/>
      <c r="O866" s="544"/>
      <c r="P866" s="544"/>
      <c r="Q866" s="544"/>
      <c r="R866" s="544"/>
      <c r="S866" s="544"/>
      <c r="T866" s="544"/>
      <c r="U866" s="544"/>
      <c r="V866" s="544"/>
      <c r="W866" s="544"/>
      <c r="X866" s="544"/>
      <c r="Y866" s="544"/>
      <c r="Z866" s="544"/>
      <c r="AA866" s="544"/>
      <c r="AB866" s="544"/>
    </row>
    <row r="867" spans="1:28" x14ac:dyDescent="0.2">
      <c r="A867" s="544"/>
      <c r="B867" s="544"/>
      <c r="C867" s="544"/>
      <c r="D867" s="544"/>
      <c r="E867" s="544"/>
      <c r="F867" s="569"/>
      <c r="G867" s="544"/>
      <c r="H867" s="544"/>
      <c r="I867" s="544"/>
      <c r="J867" s="544"/>
      <c r="K867" s="569"/>
      <c r="L867" s="544"/>
      <c r="M867" s="544"/>
      <c r="N867" s="544"/>
      <c r="O867" s="544"/>
      <c r="P867" s="544"/>
      <c r="Q867" s="544"/>
      <c r="R867" s="544"/>
      <c r="S867" s="544"/>
      <c r="T867" s="544"/>
      <c r="U867" s="544"/>
      <c r="V867" s="544"/>
      <c r="W867" s="544"/>
      <c r="X867" s="544"/>
      <c r="Y867" s="544"/>
      <c r="Z867" s="544"/>
      <c r="AA867" s="544"/>
      <c r="AB867" s="544"/>
    </row>
    <row r="868" spans="1:28" x14ac:dyDescent="0.2">
      <c r="A868" s="544"/>
      <c r="B868" s="544"/>
      <c r="C868" s="544"/>
      <c r="D868" s="544"/>
      <c r="E868" s="544"/>
      <c r="F868" s="569"/>
      <c r="G868" s="544"/>
      <c r="H868" s="544"/>
      <c r="I868" s="544"/>
      <c r="J868" s="544"/>
      <c r="K868" s="569"/>
      <c r="L868" s="544"/>
      <c r="M868" s="544"/>
      <c r="N868" s="544"/>
      <c r="O868" s="544"/>
      <c r="P868" s="544"/>
      <c r="Q868" s="544"/>
      <c r="R868" s="544"/>
      <c r="S868" s="544"/>
      <c r="T868" s="544"/>
      <c r="U868" s="544"/>
      <c r="V868" s="544"/>
      <c r="W868" s="544"/>
      <c r="X868" s="544"/>
      <c r="Y868" s="544"/>
      <c r="Z868" s="544"/>
      <c r="AA868" s="544"/>
      <c r="AB868" s="544"/>
    </row>
    <row r="869" spans="1:28" x14ac:dyDescent="0.2">
      <c r="A869" s="544"/>
      <c r="B869" s="544"/>
      <c r="C869" s="544"/>
      <c r="D869" s="544"/>
      <c r="E869" s="544"/>
      <c r="F869" s="569"/>
      <c r="G869" s="544"/>
      <c r="H869" s="544"/>
      <c r="I869" s="544"/>
      <c r="J869" s="544"/>
      <c r="K869" s="569"/>
      <c r="L869" s="544"/>
      <c r="M869" s="544"/>
      <c r="N869" s="544"/>
      <c r="O869" s="544"/>
      <c r="P869" s="544"/>
      <c r="Q869" s="544"/>
      <c r="R869" s="544"/>
      <c r="S869" s="544"/>
      <c r="T869" s="544"/>
      <c r="U869" s="544"/>
      <c r="V869" s="544"/>
      <c r="W869" s="544"/>
      <c r="X869" s="544"/>
      <c r="Y869" s="544"/>
      <c r="Z869" s="544"/>
      <c r="AA869" s="544"/>
      <c r="AB869" s="544"/>
    </row>
    <row r="870" spans="1:28" x14ac:dyDescent="0.2">
      <c r="A870" s="544"/>
      <c r="B870" s="544"/>
      <c r="C870" s="544"/>
      <c r="D870" s="544"/>
      <c r="E870" s="544"/>
      <c r="F870" s="569"/>
      <c r="G870" s="544"/>
      <c r="H870" s="544"/>
      <c r="I870" s="544"/>
      <c r="J870" s="544"/>
      <c r="K870" s="569"/>
      <c r="L870" s="544"/>
      <c r="M870" s="544"/>
      <c r="N870" s="544"/>
      <c r="O870" s="544"/>
      <c r="P870" s="544"/>
      <c r="Q870" s="544"/>
      <c r="R870" s="544"/>
      <c r="S870" s="544"/>
      <c r="T870" s="544"/>
      <c r="U870" s="544"/>
      <c r="V870" s="544"/>
      <c r="W870" s="544"/>
      <c r="X870" s="544"/>
      <c r="Y870" s="544"/>
      <c r="Z870" s="544"/>
      <c r="AA870" s="544"/>
      <c r="AB870" s="544"/>
    </row>
    <row r="871" spans="1:28" x14ac:dyDescent="0.2">
      <c r="A871" s="544"/>
      <c r="B871" s="544"/>
      <c r="C871" s="544"/>
      <c r="D871" s="544"/>
      <c r="E871" s="544"/>
      <c r="F871" s="569"/>
      <c r="G871" s="544"/>
      <c r="H871" s="544"/>
      <c r="I871" s="544"/>
      <c r="J871" s="544"/>
      <c r="K871" s="569"/>
      <c r="L871" s="544"/>
      <c r="M871" s="544"/>
      <c r="N871" s="544"/>
      <c r="O871" s="544"/>
      <c r="P871" s="544"/>
      <c r="Q871" s="544"/>
      <c r="R871" s="544"/>
      <c r="S871" s="544"/>
      <c r="T871" s="544"/>
      <c r="U871" s="544"/>
      <c r="V871" s="544"/>
      <c r="W871" s="544"/>
      <c r="X871" s="544"/>
      <c r="Y871" s="544"/>
      <c r="Z871" s="544"/>
      <c r="AA871" s="544"/>
      <c r="AB871" s="544"/>
    </row>
    <row r="872" spans="1:28" x14ac:dyDescent="0.2">
      <c r="A872" s="544"/>
      <c r="B872" s="544"/>
      <c r="C872" s="544"/>
      <c r="D872" s="544"/>
      <c r="E872" s="544"/>
      <c r="F872" s="569"/>
      <c r="G872" s="544"/>
      <c r="H872" s="544"/>
      <c r="I872" s="544"/>
      <c r="J872" s="544"/>
      <c r="K872" s="569"/>
      <c r="L872" s="544"/>
      <c r="M872" s="544"/>
      <c r="N872" s="544"/>
      <c r="O872" s="544"/>
      <c r="P872" s="544"/>
      <c r="Q872" s="544"/>
      <c r="R872" s="544"/>
      <c r="S872" s="544"/>
      <c r="T872" s="544"/>
      <c r="U872" s="544"/>
      <c r="V872" s="544"/>
      <c r="W872" s="544"/>
      <c r="X872" s="544"/>
      <c r="Y872" s="544"/>
      <c r="Z872" s="544"/>
      <c r="AA872" s="544"/>
      <c r="AB872" s="544"/>
    </row>
    <row r="873" spans="1:28" x14ac:dyDescent="0.2">
      <c r="A873" s="544"/>
      <c r="B873" s="544"/>
      <c r="C873" s="544"/>
      <c r="D873" s="544"/>
      <c r="E873" s="544"/>
      <c r="F873" s="569"/>
      <c r="G873" s="544"/>
      <c r="H873" s="544"/>
      <c r="I873" s="544"/>
      <c r="J873" s="544"/>
      <c r="K873" s="569"/>
      <c r="L873" s="544"/>
      <c r="M873" s="544"/>
      <c r="N873" s="544"/>
      <c r="O873" s="544"/>
      <c r="P873" s="544"/>
      <c r="Q873" s="544"/>
      <c r="R873" s="544"/>
      <c r="S873" s="544"/>
      <c r="T873" s="544"/>
      <c r="U873" s="544"/>
      <c r="V873" s="544"/>
      <c r="W873" s="544"/>
      <c r="X873" s="544"/>
      <c r="Y873" s="544"/>
      <c r="Z873" s="544"/>
      <c r="AA873" s="544"/>
      <c r="AB873" s="544"/>
    </row>
    <row r="874" spans="1:28" x14ac:dyDescent="0.2">
      <c r="A874" s="544"/>
      <c r="B874" s="544"/>
      <c r="C874" s="544"/>
      <c r="D874" s="544"/>
      <c r="E874" s="544"/>
      <c r="F874" s="569"/>
      <c r="G874" s="544"/>
      <c r="H874" s="544"/>
      <c r="I874" s="544"/>
      <c r="J874" s="544"/>
      <c r="K874" s="569"/>
      <c r="L874" s="544"/>
      <c r="M874" s="544"/>
      <c r="N874" s="544"/>
      <c r="O874" s="544"/>
      <c r="P874" s="544"/>
      <c r="Q874" s="544"/>
      <c r="R874" s="544"/>
      <c r="S874" s="544"/>
      <c r="T874" s="544"/>
      <c r="U874" s="544"/>
      <c r="V874" s="544"/>
      <c r="W874" s="544"/>
      <c r="X874" s="544"/>
      <c r="Y874" s="544"/>
      <c r="Z874" s="544"/>
      <c r="AA874" s="544"/>
      <c r="AB874" s="544"/>
    </row>
    <row r="875" spans="1:28" x14ac:dyDescent="0.2">
      <c r="A875" s="544"/>
      <c r="B875" s="544"/>
      <c r="C875" s="544"/>
      <c r="D875" s="544"/>
      <c r="E875" s="544"/>
      <c r="F875" s="569"/>
      <c r="G875" s="544"/>
      <c r="H875" s="544"/>
      <c r="I875" s="544"/>
      <c r="J875" s="544"/>
      <c r="K875" s="569"/>
      <c r="L875" s="544"/>
      <c r="M875" s="544"/>
      <c r="N875" s="544"/>
      <c r="O875" s="544"/>
      <c r="P875" s="544"/>
      <c r="Q875" s="544"/>
      <c r="R875" s="544"/>
      <c r="S875" s="544"/>
      <c r="T875" s="544"/>
      <c r="U875" s="544"/>
      <c r="V875" s="544"/>
      <c r="W875" s="544"/>
      <c r="X875" s="544"/>
      <c r="Y875" s="544"/>
      <c r="Z875" s="544"/>
      <c r="AA875" s="544"/>
      <c r="AB875" s="544"/>
    </row>
    <row r="876" spans="1:28" x14ac:dyDescent="0.2">
      <c r="A876" s="544"/>
      <c r="B876" s="544"/>
      <c r="C876" s="544"/>
      <c r="D876" s="544"/>
      <c r="E876" s="544"/>
      <c r="F876" s="569"/>
      <c r="G876" s="544"/>
      <c r="H876" s="544"/>
      <c r="I876" s="544"/>
      <c r="J876" s="544"/>
      <c r="K876" s="569"/>
      <c r="L876" s="544"/>
      <c r="M876" s="544"/>
      <c r="N876" s="544"/>
      <c r="O876" s="544"/>
      <c r="P876" s="544"/>
      <c r="Q876" s="544"/>
      <c r="R876" s="544"/>
      <c r="S876" s="544"/>
      <c r="T876" s="544"/>
      <c r="U876" s="544"/>
      <c r="V876" s="544"/>
      <c r="W876" s="544"/>
      <c r="X876" s="544"/>
      <c r="Y876" s="544"/>
      <c r="Z876" s="544"/>
      <c r="AA876" s="544"/>
      <c r="AB876" s="544"/>
    </row>
    <row r="877" spans="1:28" x14ac:dyDescent="0.2">
      <c r="A877" s="544"/>
      <c r="B877" s="544"/>
      <c r="C877" s="544"/>
      <c r="D877" s="544"/>
      <c r="E877" s="544"/>
      <c r="F877" s="569"/>
      <c r="G877" s="544"/>
      <c r="H877" s="544"/>
      <c r="I877" s="544"/>
      <c r="J877" s="544"/>
      <c r="K877" s="569"/>
      <c r="L877" s="544"/>
      <c r="M877" s="544"/>
      <c r="N877" s="544"/>
      <c r="O877" s="544"/>
      <c r="P877" s="544"/>
      <c r="Q877" s="544"/>
      <c r="R877" s="544"/>
      <c r="S877" s="544"/>
      <c r="T877" s="544"/>
      <c r="U877" s="544"/>
      <c r="V877" s="544"/>
      <c r="W877" s="544"/>
      <c r="X877" s="544"/>
      <c r="Y877" s="544"/>
      <c r="Z877" s="544"/>
      <c r="AA877" s="544"/>
      <c r="AB877" s="544"/>
    </row>
    <row r="878" spans="1:28" x14ac:dyDescent="0.2">
      <c r="A878" s="544"/>
      <c r="B878" s="544"/>
      <c r="C878" s="544"/>
      <c r="D878" s="544"/>
      <c r="E878" s="544"/>
      <c r="F878" s="569"/>
      <c r="G878" s="544"/>
      <c r="H878" s="544"/>
      <c r="I878" s="544"/>
      <c r="J878" s="544"/>
      <c r="K878" s="569"/>
      <c r="L878" s="544"/>
      <c r="M878" s="544"/>
      <c r="N878" s="544"/>
      <c r="O878" s="544"/>
      <c r="P878" s="544"/>
      <c r="Q878" s="544"/>
      <c r="R878" s="544"/>
      <c r="S878" s="544"/>
      <c r="T878" s="544"/>
      <c r="U878" s="544"/>
      <c r="V878" s="544"/>
      <c r="W878" s="544"/>
      <c r="X878" s="544"/>
      <c r="Y878" s="544"/>
      <c r="Z878" s="544"/>
      <c r="AA878" s="544"/>
      <c r="AB878" s="544"/>
    </row>
    <row r="879" spans="1:28" x14ac:dyDescent="0.2">
      <c r="A879" s="544"/>
      <c r="B879" s="544"/>
      <c r="C879" s="544"/>
      <c r="D879" s="544"/>
      <c r="E879" s="544"/>
      <c r="F879" s="569"/>
      <c r="G879" s="544"/>
      <c r="H879" s="544"/>
      <c r="I879" s="544"/>
      <c r="J879" s="544"/>
      <c r="K879" s="569"/>
      <c r="L879" s="544"/>
      <c r="M879" s="544"/>
      <c r="N879" s="544"/>
      <c r="O879" s="544"/>
      <c r="P879" s="544"/>
      <c r="Q879" s="544"/>
      <c r="R879" s="544"/>
      <c r="S879" s="544"/>
      <c r="T879" s="544"/>
      <c r="U879" s="544"/>
      <c r="V879" s="544"/>
      <c r="W879" s="544"/>
      <c r="X879" s="544"/>
      <c r="Y879" s="544"/>
      <c r="Z879" s="544"/>
      <c r="AA879" s="544"/>
      <c r="AB879" s="544"/>
    </row>
    <row r="880" spans="1:28" x14ac:dyDescent="0.2">
      <c r="A880" s="544"/>
      <c r="B880" s="544"/>
      <c r="C880" s="544"/>
      <c r="D880" s="544"/>
      <c r="E880" s="544"/>
      <c r="F880" s="569"/>
      <c r="G880" s="544"/>
      <c r="H880" s="544"/>
      <c r="I880" s="544"/>
      <c r="J880" s="544"/>
      <c r="K880" s="569"/>
      <c r="L880" s="544"/>
      <c r="M880" s="544"/>
      <c r="N880" s="544"/>
      <c r="O880" s="544"/>
      <c r="P880" s="544"/>
      <c r="Q880" s="544"/>
      <c r="R880" s="544"/>
      <c r="S880" s="544"/>
      <c r="T880" s="544"/>
      <c r="U880" s="544"/>
      <c r="V880" s="544"/>
      <c r="W880" s="544"/>
      <c r="X880" s="544"/>
      <c r="Y880" s="544"/>
      <c r="Z880" s="544"/>
      <c r="AA880" s="544"/>
      <c r="AB880" s="544"/>
    </row>
    <row r="881" spans="1:28" x14ac:dyDescent="0.2">
      <c r="A881" s="544"/>
      <c r="B881" s="544"/>
      <c r="C881" s="544"/>
      <c r="D881" s="544"/>
      <c r="E881" s="544"/>
      <c r="F881" s="569"/>
      <c r="G881" s="544"/>
      <c r="H881" s="544"/>
      <c r="I881" s="544"/>
      <c r="J881" s="544"/>
      <c r="K881" s="569"/>
      <c r="L881" s="544"/>
      <c r="M881" s="544"/>
      <c r="N881" s="544"/>
      <c r="O881" s="544"/>
      <c r="P881" s="544"/>
      <c r="Q881" s="544"/>
      <c r="R881" s="544"/>
      <c r="S881" s="544"/>
      <c r="T881" s="544"/>
      <c r="U881" s="544"/>
      <c r="V881" s="544"/>
      <c r="W881" s="544"/>
      <c r="X881" s="544"/>
      <c r="Y881" s="544"/>
      <c r="Z881" s="544"/>
      <c r="AA881" s="544"/>
      <c r="AB881" s="544"/>
    </row>
    <row r="882" spans="1:28" x14ac:dyDescent="0.2">
      <c r="A882" s="544"/>
      <c r="B882" s="544"/>
      <c r="C882" s="544"/>
      <c r="D882" s="544"/>
      <c r="E882" s="544"/>
      <c r="F882" s="569"/>
      <c r="G882" s="544"/>
      <c r="H882" s="544"/>
      <c r="I882" s="544"/>
      <c r="J882" s="544"/>
      <c r="K882" s="569"/>
      <c r="L882" s="544"/>
      <c r="M882" s="544"/>
      <c r="N882" s="544"/>
      <c r="O882" s="544"/>
      <c r="P882" s="544"/>
      <c r="Q882" s="544"/>
      <c r="R882" s="544"/>
      <c r="S882" s="544"/>
      <c r="T882" s="544"/>
      <c r="U882" s="544"/>
      <c r="V882" s="544"/>
      <c r="W882" s="544"/>
      <c r="X882" s="544"/>
      <c r="Y882" s="544"/>
      <c r="Z882" s="544"/>
      <c r="AA882" s="544"/>
      <c r="AB882" s="544"/>
    </row>
    <row r="883" spans="1:28" x14ac:dyDescent="0.2">
      <c r="A883" s="544"/>
      <c r="B883" s="544"/>
      <c r="C883" s="544"/>
      <c r="D883" s="544"/>
      <c r="E883" s="544"/>
      <c r="F883" s="569"/>
      <c r="G883" s="544"/>
      <c r="H883" s="544"/>
      <c r="I883" s="544"/>
      <c r="J883" s="544"/>
      <c r="K883" s="569"/>
      <c r="L883" s="544"/>
      <c r="M883" s="544"/>
      <c r="N883" s="544"/>
      <c r="O883" s="544"/>
      <c r="P883" s="544"/>
      <c r="Q883" s="544"/>
      <c r="R883" s="544"/>
      <c r="S883" s="544"/>
      <c r="T883" s="544"/>
      <c r="U883" s="544"/>
      <c r="V883" s="544"/>
      <c r="W883" s="544"/>
      <c r="X883" s="544"/>
      <c r="Y883" s="544"/>
      <c r="Z883" s="544"/>
      <c r="AA883" s="544"/>
      <c r="AB883" s="544"/>
    </row>
    <row r="884" spans="1:28" x14ac:dyDescent="0.2">
      <c r="A884" s="544"/>
      <c r="B884" s="544"/>
      <c r="C884" s="544"/>
      <c r="D884" s="544"/>
      <c r="E884" s="544"/>
      <c r="F884" s="569"/>
      <c r="G884" s="544"/>
      <c r="H884" s="544"/>
      <c r="I884" s="544"/>
      <c r="J884" s="544"/>
      <c r="K884" s="569"/>
      <c r="L884" s="544"/>
      <c r="M884" s="544"/>
      <c r="N884" s="544"/>
      <c r="O884" s="544"/>
      <c r="P884" s="544"/>
      <c r="Q884" s="544"/>
      <c r="R884" s="544"/>
      <c r="S884" s="544"/>
      <c r="T884" s="544"/>
      <c r="U884" s="544"/>
      <c r="V884" s="544"/>
      <c r="W884" s="544"/>
      <c r="X884" s="544"/>
      <c r="Y884" s="544"/>
      <c r="Z884" s="544"/>
      <c r="AA884" s="544"/>
      <c r="AB884" s="544"/>
    </row>
    <row r="885" spans="1:28" x14ac:dyDescent="0.2">
      <c r="A885" s="544"/>
      <c r="B885" s="544"/>
      <c r="C885" s="544"/>
      <c r="D885" s="544"/>
      <c r="E885" s="544"/>
      <c r="F885" s="569"/>
      <c r="G885" s="544"/>
      <c r="H885" s="544"/>
      <c r="I885" s="544"/>
      <c r="J885" s="544"/>
      <c r="K885" s="569"/>
      <c r="L885" s="544"/>
      <c r="M885" s="544"/>
      <c r="N885" s="544"/>
      <c r="O885" s="544"/>
      <c r="P885" s="544"/>
      <c r="Q885" s="544"/>
      <c r="R885" s="544"/>
      <c r="S885" s="544"/>
      <c r="T885" s="544"/>
      <c r="U885" s="544"/>
      <c r="V885" s="544"/>
      <c r="W885" s="544"/>
      <c r="X885" s="544"/>
      <c r="Y885" s="544"/>
      <c r="Z885" s="544"/>
      <c r="AA885" s="544"/>
      <c r="AB885" s="544"/>
    </row>
    <row r="886" spans="1:28" x14ac:dyDescent="0.2">
      <c r="A886" s="544"/>
      <c r="B886" s="544"/>
      <c r="C886" s="544"/>
      <c r="D886" s="544"/>
      <c r="E886" s="544"/>
      <c r="F886" s="569"/>
      <c r="G886" s="544"/>
      <c r="H886" s="544"/>
      <c r="I886" s="544"/>
      <c r="J886" s="544"/>
      <c r="K886" s="569"/>
      <c r="L886" s="544"/>
      <c r="M886" s="544"/>
      <c r="N886" s="544"/>
      <c r="O886" s="544"/>
      <c r="P886" s="544"/>
      <c r="Q886" s="544"/>
      <c r="R886" s="544"/>
      <c r="S886" s="544"/>
      <c r="T886" s="544"/>
      <c r="U886" s="544"/>
      <c r="V886" s="544"/>
      <c r="W886" s="544"/>
      <c r="X886" s="544"/>
      <c r="Y886" s="544"/>
      <c r="Z886" s="544"/>
      <c r="AA886" s="544"/>
      <c r="AB886" s="544"/>
    </row>
    <row r="887" spans="1:28" x14ac:dyDescent="0.2">
      <c r="A887" s="544"/>
      <c r="B887" s="544"/>
      <c r="C887" s="544"/>
      <c r="D887" s="544"/>
      <c r="E887" s="544"/>
      <c r="F887" s="569"/>
      <c r="G887" s="544"/>
      <c r="H887" s="544"/>
      <c r="I887" s="544"/>
      <c r="J887" s="544"/>
      <c r="K887" s="569"/>
      <c r="L887" s="544"/>
      <c r="M887" s="544"/>
      <c r="N887" s="544"/>
      <c r="O887" s="544"/>
      <c r="P887" s="544"/>
      <c r="Q887" s="544"/>
      <c r="R887" s="544"/>
      <c r="S887" s="544"/>
      <c r="T887" s="544"/>
      <c r="U887" s="544"/>
      <c r="V887" s="544"/>
      <c r="W887" s="544"/>
      <c r="X887" s="544"/>
      <c r="Y887" s="544"/>
      <c r="Z887" s="544"/>
      <c r="AA887" s="544"/>
      <c r="AB887" s="544"/>
    </row>
    <row r="888" spans="1:28" x14ac:dyDescent="0.2">
      <c r="A888" s="544"/>
      <c r="B888" s="544"/>
      <c r="C888" s="544"/>
      <c r="D888" s="544"/>
      <c r="E888" s="544"/>
      <c r="F888" s="569"/>
      <c r="G888" s="544"/>
      <c r="H888" s="544"/>
      <c r="I888" s="544"/>
      <c r="J888" s="544"/>
      <c r="K888" s="569"/>
      <c r="L888" s="544"/>
      <c r="M888" s="544"/>
      <c r="N888" s="544"/>
      <c r="O888" s="544"/>
      <c r="P888" s="544"/>
      <c r="Q888" s="544"/>
      <c r="R888" s="544"/>
      <c r="S888" s="544"/>
      <c r="T888" s="544"/>
      <c r="U888" s="544"/>
      <c r="V888" s="544"/>
      <c r="W888" s="544"/>
      <c r="X888" s="544"/>
      <c r="Y888" s="544"/>
      <c r="Z888" s="544"/>
      <c r="AA888" s="544"/>
      <c r="AB888" s="544"/>
    </row>
    <row r="889" spans="1:28" x14ac:dyDescent="0.2">
      <c r="A889" s="544"/>
      <c r="B889" s="544"/>
      <c r="C889" s="544"/>
      <c r="D889" s="544"/>
      <c r="E889" s="544"/>
      <c r="F889" s="569"/>
      <c r="G889" s="544"/>
      <c r="H889" s="544"/>
      <c r="I889" s="544"/>
      <c r="J889" s="544"/>
      <c r="K889" s="569"/>
      <c r="L889" s="544"/>
      <c r="M889" s="544"/>
      <c r="N889" s="544"/>
      <c r="O889" s="544"/>
      <c r="P889" s="544"/>
      <c r="Q889" s="544"/>
      <c r="R889" s="544"/>
      <c r="S889" s="544"/>
      <c r="T889" s="544"/>
      <c r="U889" s="544"/>
      <c r="V889" s="544"/>
      <c r="W889" s="544"/>
      <c r="X889" s="544"/>
      <c r="Y889" s="544"/>
      <c r="Z889" s="544"/>
      <c r="AA889" s="544"/>
      <c r="AB889" s="544"/>
    </row>
    <row r="890" spans="1:28" x14ac:dyDescent="0.2">
      <c r="A890" s="544"/>
      <c r="B890" s="544"/>
      <c r="C890" s="544"/>
      <c r="D890" s="544"/>
      <c r="E890" s="544"/>
      <c r="F890" s="569"/>
      <c r="G890" s="544"/>
      <c r="H890" s="544"/>
      <c r="I890" s="544"/>
      <c r="J890" s="544"/>
      <c r="K890" s="569"/>
      <c r="L890" s="544"/>
      <c r="M890" s="544"/>
      <c r="N890" s="544"/>
      <c r="O890" s="544"/>
      <c r="P890" s="544"/>
      <c r="Q890" s="544"/>
      <c r="R890" s="544"/>
      <c r="S890" s="544"/>
      <c r="T890" s="544"/>
      <c r="U890" s="544"/>
      <c r="V890" s="544"/>
      <c r="W890" s="544"/>
      <c r="X890" s="544"/>
      <c r="Y890" s="544"/>
      <c r="Z890" s="544"/>
      <c r="AA890" s="544"/>
      <c r="AB890" s="544"/>
    </row>
    <row r="891" spans="1:28" x14ac:dyDescent="0.2">
      <c r="A891" s="544"/>
      <c r="B891" s="544"/>
      <c r="C891" s="544"/>
      <c r="D891" s="544"/>
      <c r="E891" s="544"/>
      <c r="F891" s="569"/>
      <c r="G891" s="544"/>
      <c r="H891" s="544"/>
      <c r="I891" s="544"/>
      <c r="J891" s="544"/>
      <c r="K891" s="569"/>
      <c r="L891" s="544"/>
      <c r="M891" s="544"/>
      <c r="N891" s="544"/>
      <c r="O891" s="544"/>
      <c r="P891" s="544"/>
      <c r="Q891" s="544"/>
      <c r="R891" s="544"/>
      <c r="S891" s="544"/>
      <c r="T891" s="544"/>
      <c r="U891" s="544"/>
      <c r="V891" s="544"/>
      <c r="W891" s="544"/>
      <c r="X891" s="544"/>
      <c r="Y891" s="544"/>
      <c r="Z891" s="544"/>
      <c r="AA891" s="544"/>
      <c r="AB891" s="544"/>
    </row>
    <row r="892" spans="1:28" x14ac:dyDescent="0.2">
      <c r="A892" s="544"/>
      <c r="B892" s="544"/>
      <c r="C892" s="544"/>
      <c r="D892" s="544"/>
      <c r="E892" s="544"/>
      <c r="F892" s="569"/>
      <c r="G892" s="544"/>
      <c r="H892" s="544"/>
      <c r="I892" s="544"/>
      <c r="J892" s="544"/>
      <c r="K892" s="569"/>
      <c r="L892" s="544"/>
      <c r="M892" s="544"/>
      <c r="N892" s="544"/>
      <c r="O892" s="544"/>
      <c r="P892" s="544"/>
      <c r="Q892" s="544"/>
      <c r="R892" s="544"/>
      <c r="S892" s="544"/>
      <c r="T892" s="544"/>
      <c r="U892" s="544"/>
      <c r="V892" s="544"/>
      <c r="W892" s="544"/>
      <c r="X892" s="544"/>
      <c r="Y892" s="544"/>
      <c r="Z892" s="544"/>
      <c r="AA892" s="544"/>
      <c r="AB892" s="544"/>
    </row>
    <row r="893" spans="1:28" x14ac:dyDescent="0.2">
      <c r="A893" s="544"/>
      <c r="B893" s="544"/>
      <c r="C893" s="544"/>
      <c r="D893" s="544"/>
      <c r="E893" s="544"/>
      <c r="F893" s="569"/>
      <c r="G893" s="544"/>
      <c r="H893" s="544"/>
      <c r="I893" s="544"/>
      <c r="J893" s="544"/>
      <c r="K893" s="569"/>
      <c r="L893" s="544"/>
      <c r="M893" s="544"/>
      <c r="N893" s="544"/>
      <c r="O893" s="544"/>
      <c r="P893" s="544"/>
      <c r="Q893" s="544"/>
      <c r="R893" s="544"/>
      <c r="S893" s="544"/>
      <c r="T893" s="544"/>
      <c r="U893" s="544"/>
      <c r="V893" s="544"/>
      <c r="W893" s="544"/>
      <c r="X893" s="544"/>
      <c r="Y893" s="544"/>
      <c r="Z893" s="544"/>
      <c r="AA893" s="544"/>
      <c r="AB893" s="544"/>
    </row>
    <row r="894" spans="1:28" x14ac:dyDescent="0.2">
      <c r="A894" s="544"/>
      <c r="B894" s="544"/>
      <c r="C894" s="544"/>
      <c r="D894" s="544"/>
      <c r="E894" s="544"/>
      <c r="F894" s="569"/>
      <c r="G894" s="544"/>
      <c r="H894" s="544"/>
      <c r="I894" s="544"/>
      <c r="J894" s="544"/>
      <c r="K894" s="569"/>
      <c r="L894" s="544"/>
      <c r="M894" s="544"/>
      <c r="N894" s="544"/>
      <c r="O894" s="544"/>
      <c r="P894" s="544"/>
      <c r="Q894" s="544"/>
      <c r="R894" s="544"/>
      <c r="S894" s="544"/>
      <c r="T894" s="544"/>
      <c r="U894" s="544"/>
      <c r="V894" s="544"/>
      <c r="W894" s="544"/>
      <c r="X894" s="544"/>
      <c r="Y894" s="544"/>
      <c r="Z894" s="544"/>
      <c r="AA894" s="544"/>
      <c r="AB894" s="544"/>
    </row>
    <row r="895" spans="1:28" x14ac:dyDescent="0.2">
      <c r="A895" s="544"/>
      <c r="B895" s="544"/>
      <c r="C895" s="544"/>
      <c r="D895" s="544"/>
      <c r="E895" s="544"/>
      <c r="F895" s="569"/>
      <c r="G895" s="544"/>
      <c r="H895" s="544"/>
      <c r="I895" s="544"/>
      <c r="J895" s="544"/>
      <c r="K895" s="569"/>
      <c r="L895" s="544"/>
      <c r="M895" s="544"/>
      <c r="N895" s="544"/>
      <c r="O895" s="544"/>
      <c r="P895" s="544"/>
      <c r="Q895" s="544"/>
      <c r="R895" s="544"/>
      <c r="S895" s="544"/>
      <c r="T895" s="544"/>
      <c r="U895" s="544"/>
      <c r="V895" s="544"/>
      <c r="W895" s="544"/>
      <c r="X895" s="544"/>
      <c r="Y895" s="544"/>
      <c r="Z895" s="544"/>
      <c r="AA895" s="544"/>
      <c r="AB895" s="544"/>
    </row>
    <row r="896" spans="1:28" x14ac:dyDescent="0.2">
      <c r="A896" s="544"/>
      <c r="B896" s="544"/>
      <c r="C896" s="544"/>
      <c r="D896" s="544"/>
      <c r="E896" s="544"/>
      <c r="F896" s="569"/>
      <c r="G896" s="544"/>
      <c r="H896" s="544"/>
      <c r="I896" s="544"/>
      <c r="J896" s="544"/>
      <c r="K896" s="569"/>
      <c r="L896" s="544"/>
      <c r="M896" s="544"/>
      <c r="N896" s="544"/>
      <c r="O896" s="544"/>
      <c r="P896" s="544"/>
      <c r="Q896" s="544"/>
      <c r="R896" s="544"/>
      <c r="S896" s="544"/>
      <c r="T896" s="544"/>
      <c r="U896" s="544"/>
      <c r="V896" s="544"/>
      <c r="W896" s="544"/>
      <c r="X896" s="544"/>
      <c r="Y896" s="544"/>
      <c r="Z896" s="544"/>
      <c r="AA896" s="544"/>
      <c r="AB896" s="544"/>
    </row>
    <row r="897" spans="1:28" x14ac:dyDescent="0.2">
      <c r="A897" s="544"/>
      <c r="B897" s="544"/>
      <c r="C897" s="544"/>
      <c r="D897" s="544"/>
      <c r="E897" s="544"/>
      <c r="F897" s="569"/>
      <c r="G897" s="544"/>
      <c r="H897" s="544"/>
      <c r="I897" s="544"/>
      <c r="J897" s="544"/>
      <c r="K897" s="569"/>
      <c r="L897" s="544"/>
      <c r="M897" s="544"/>
      <c r="N897" s="544"/>
      <c r="O897" s="544"/>
      <c r="P897" s="544"/>
      <c r="Q897" s="544"/>
      <c r="R897" s="544"/>
      <c r="S897" s="544"/>
      <c r="T897" s="544"/>
      <c r="U897" s="544"/>
      <c r="V897" s="544"/>
      <c r="W897" s="544"/>
      <c r="X897" s="544"/>
      <c r="Y897" s="544"/>
      <c r="Z897" s="544"/>
      <c r="AA897" s="544"/>
      <c r="AB897" s="544"/>
    </row>
    <row r="898" spans="1:28" x14ac:dyDescent="0.2">
      <c r="A898" s="544"/>
      <c r="B898" s="544"/>
      <c r="C898" s="544"/>
      <c r="D898" s="544"/>
      <c r="E898" s="544"/>
      <c r="F898" s="569"/>
      <c r="G898" s="544"/>
      <c r="H898" s="544"/>
      <c r="I898" s="544"/>
      <c r="J898" s="544"/>
      <c r="K898" s="569"/>
      <c r="L898" s="544"/>
      <c r="M898" s="544"/>
      <c r="N898" s="544"/>
      <c r="O898" s="544"/>
      <c r="P898" s="544"/>
      <c r="Q898" s="544"/>
      <c r="R898" s="544"/>
      <c r="S898" s="544"/>
      <c r="T898" s="544"/>
      <c r="U898" s="544"/>
      <c r="V898" s="544"/>
      <c r="W898" s="544"/>
      <c r="X898" s="544"/>
      <c r="Y898" s="544"/>
      <c r="Z898" s="544"/>
      <c r="AA898" s="544"/>
      <c r="AB898" s="544"/>
    </row>
    <row r="899" spans="1:28" x14ac:dyDescent="0.2">
      <c r="A899" s="544"/>
      <c r="B899" s="544"/>
      <c r="C899" s="544"/>
      <c r="D899" s="544"/>
      <c r="E899" s="544"/>
      <c r="F899" s="569"/>
      <c r="G899" s="544"/>
      <c r="H899" s="544"/>
      <c r="I899" s="544"/>
      <c r="J899" s="544"/>
      <c r="K899" s="569"/>
      <c r="L899" s="544"/>
      <c r="M899" s="544"/>
      <c r="N899" s="544"/>
      <c r="O899" s="544"/>
      <c r="P899" s="544"/>
      <c r="Q899" s="544"/>
      <c r="R899" s="544"/>
      <c r="S899" s="544"/>
      <c r="T899" s="544"/>
      <c r="U899" s="544"/>
      <c r="V899" s="544"/>
      <c r="W899" s="544"/>
      <c r="X899" s="544"/>
      <c r="Y899" s="544"/>
      <c r="Z899" s="544"/>
      <c r="AA899" s="544"/>
      <c r="AB899" s="544"/>
    </row>
    <row r="900" spans="1:28" x14ac:dyDescent="0.2">
      <c r="A900" s="544"/>
      <c r="B900" s="544"/>
      <c r="C900" s="544"/>
      <c r="D900" s="544"/>
      <c r="E900" s="544"/>
      <c r="F900" s="569"/>
      <c r="G900" s="544"/>
      <c r="H900" s="544"/>
      <c r="I900" s="544"/>
      <c r="J900" s="544"/>
      <c r="K900" s="569"/>
      <c r="L900" s="544"/>
      <c r="M900" s="544"/>
      <c r="N900" s="544"/>
      <c r="O900" s="544"/>
      <c r="P900" s="544"/>
      <c r="Q900" s="544"/>
      <c r="R900" s="544"/>
      <c r="S900" s="544"/>
      <c r="T900" s="544"/>
      <c r="U900" s="544"/>
      <c r="V900" s="544"/>
      <c r="W900" s="544"/>
      <c r="X900" s="544"/>
      <c r="Y900" s="544"/>
      <c r="Z900" s="544"/>
      <c r="AA900" s="544"/>
      <c r="AB900" s="544"/>
    </row>
    <row r="901" spans="1:28" x14ac:dyDescent="0.2">
      <c r="A901" s="544"/>
      <c r="B901" s="544"/>
      <c r="C901" s="544"/>
      <c r="D901" s="544"/>
      <c r="E901" s="544"/>
      <c r="F901" s="569"/>
      <c r="G901" s="544"/>
      <c r="H901" s="544"/>
      <c r="I901" s="544"/>
      <c r="J901" s="544"/>
      <c r="K901" s="569"/>
      <c r="L901" s="544"/>
      <c r="M901" s="544"/>
      <c r="N901" s="544"/>
      <c r="O901" s="544"/>
      <c r="P901" s="544"/>
      <c r="Q901" s="544"/>
      <c r="R901" s="544"/>
      <c r="S901" s="544"/>
      <c r="T901" s="544"/>
      <c r="U901" s="544"/>
      <c r="V901" s="544"/>
      <c r="W901" s="544"/>
      <c r="X901" s="544"/>
      <c r="Y901" s="544"/>
      <c r="Z901" s="544"/>
      <c r="AA901" s="544"/>
      <c r="AB901" s="544"/>
    </row>
    <row r="902" spans="1:28" x14ac:dyDescent="0.2">
      <c r="A902" s="544"/>
      <c r="B902" s="544"/>
      <c r="C902" s="544"/>
      <c r="D902" s="544"/>
      <c r="E902" s="544"/>
      <c r="F902" s="569"/>
      <c r="G902" s="544"/>
      <c r="H902" s="544"/>
      <c r="I902" s="544"/>
      <c r="J902" s="544"/>
      <c r="K902" s="569"/>
      <c r="L902" s="544"/>
      <c r="M902" s="544"/>
      <c r="N902" s="544"/>
      <c r="O902" s="544"/>
      <c r="P902" s="544"/>
      <c r="Q902" s="544"/>
      <c r="R902" s="544"/>
      <c r="S902" s="544"/>
      <c r="T902" s="544"/>
      <c r="U902" s="544"/>
      <c r="V902" s="544"/>
      <c r="W902" s="544"/>
      <c r="X902" s="544"/>
      <c r="Y902" s="544"/>
      <c r="Z902" s="544"/>
      <c r="AA902" s="544"/>
      <c r="AB902" s="544"/>
    </row>
    <row r="903" spans="1:28" x14ac:dyDescent="0.2">
      <c r="A903" s="544"/>
      <c r="B903" s="544"/>
      <c r="C903" s="544"/>
      <c r="D903" s="544"/>
      <c r="E903" s="544"/>
      <c r="F903" s="569"/>
      <c r="G903" s="544"/>
      <c r="H903" s="544"/>
      <c r="I903" s="544"/>
      <c r="J903" s="544"/>
      <c r="K903" s="569"/>
      <c r="L903" s="544"/>
      <c r="M903" s="544"/>
      <c r="N903" s="544"/>
      <c r="O903" s="544"/>
      <c r="P903" s="544"/>
      <c r="Q903" s="544"/>
      <c r="R903" s="544"/>
      <c r="S903" s="544"/>
      <c r="T903" s="544"/>
      <c r="U903" s="544"/>
      <c r="V903" s="544"/>
      <c r="W903" s="544"/>
      <c r="X903" s="544"/>
      <c r="Y903" s="544"/>
      <c r="Z903" s="544"/>
      <c r="AA903" s="544"/>
      <c r="AB903" s="544"/>
    </row>
    <row r="904" spans="1:28" x14ac:dyDescent="0.2">
      <c r="A904" s="544"/>
      <c r="B904" s="544"/>
      <c r="C904" s="544"/>
      <c r="D904" s="544"/>
      <c r="E904" s="544"/>
      <c r="F904" s="569"/>
      <c r="G904" s="544"/>
      <c r="H904" s="544"/>
      <c r="I904" s="544"/>
      <c r="J904" s="544"/>
      <c r="K904" s="569"/>
      <c r="L904" s="544"/>
      <c r="M904" s="544"/>
      <c r="N904" s="544"/>
      <c r="O904" s="544"/>
      <c r="P904" s="544"/>
      <c r="Q904" s="544"/>
      <c r="R904" s="544"/>
      <c r="S904" s="544"/>
      <c r="T904" s="544"/>
      <c r="U904" s="544"/>
      <c r="V904" s="544"/>
      <c r="W904" s="544"/>
      <c r="X904" s="544"/>
      <c r="Y904" s="544"/>
      <c r="Z904" s="544"/>
      <c r="AA904" s="544"/>
      <c r="AB904" s="544"/>
    </row>
    <row r="905" spans="1:28" x14ac:dyDescent="0.2">
      <c r="A905" s="544"/>
      <c r="B905" s="544"/>
      <c r="C905" s="544"/>
      <c r="D905" s="544"/>
      <c r="E905" s="544"/>
      <c r="F905" s="569"/>
      <c r="G905" s="544"/>
      <c r="H905" s="544"/>
      <c r="I905" s="544"/>
      <c r="J905" s="544"/>
      <c r="K905" s="569"/>
      <c r="L905" s="544"/>
      <c r="M905" s="544"/>
      <c r="N905" s="544"/>
      <c r="O905" s="544"/>
      <c r="P905" s="544"/>
      <c r="Q905" s="544"/>
      <c r="R905" s="544"/>
      <c r="S905" s="544"/>
      <c r="T905" s="544"/>
      <c r="U905" s="544"/>
      <c r="V905" s="544"/>
      <c r="W905" s="544"/>
      <c r="X905" s="544"/>
      <c r="Y905" s="544"/>
      <c r="Z905" s="544"/>
      <c r="AA905" s="544"/>
      <c r="AB905" s="544"/>
    </row>
    <row r="906" spans="1:28" x14ac:dyDescent="0.2">
      <c r="A906" s="544"/>
      <c r="B906" s="544"/>
      <c r="C906" s="544"/>
      <c r="D906" s="544"/>
      <c r="E906" s="544"/>
      <c r="F906" s="569"/>
      <c r="G906" s="544"/>
      <c r="H906" s="544"/>
      <c r="I906" s="544"/>
      <c r="J906" s="544"/>
      <c r="K906" s="569"/>
      <c r="L906" s="544"/>
      <c r="M906" s="544"/>
      <c r="N906" s="544"/>
      <c r="O906" s="544"/>
      <c r="P906" s="544"/>
      <c r="Q906" s="544"/>
      <c r="R906" s="544"/>
      <c r="S906" s="544"/>
      <c r="T906" s="544"/>
      <c r="U906" s="544"/>
      <c r="V906" s="544"/>
      <c r="W906" s="544"/>
      <c r="X906" s="544"/>
      <c r="Y906" s="544"/>
      <c r="Z906" s="544"/>
      <c r="AA906" s="544"/>
      <c r="AB906" s="544"/>
    </row>
    <row r="907" spans="1:28" x14ac:dyDescent="0.2">
      <c r="A907" s="544"/>
      <c r="B907" s="544"/>
      <c r="C907" s="544"/>
      <c r="D907" s="544"/>
      <c r="E907" s="544"/>
      <c r="F907" s="569"/>
      <c r="G907" s="544"/>
      <c r="H907" s="544"/>
      <c r="I907" s="544"/>
      <c r="J907" s="544"/>
      <c r="K907" s="569"/>
      <c r="L907" s="544"/>
      <c r="M907" s="544"/>
      <c r="N907" s="544"/>
      <c r="O907" s="544"/>
      <c r="P907" s="544"/>
      <c r="Q907" s="544"/>
      <c r="R907" s="544"/>
      <c r="S907" s="544"/>
      <c r="T907" s="544"/>
      <c r="U907" s="544"/>
      <c r="V907" s="544"/>
      <c r="W907" s="544"/>
      <c r="X907" s="544"/>
      <c r="Y907" s="544"/>
      <c r="Z907" s="544"/>
      <c r="AA907" s="544"/>
      <c r="AB907" s="544"/>
    </row>
    <row r="908" spans="1:28" x14ac:dyDescent="0.2">
      <c r="A908" s="544"/>
      <c r="B908" s="544"/>
      <c r="C908" s="544"/>
      <c r="D908" s="544"/>
      <c r="E908" s="544"/>
      <c r="F908" s="569"/>
      <c r="G908" s="544"/>
      <c r="H908" s="544"/>
      <c r="I908" s="544"/>
      <c r="J908" s="544"/>
      <c r="K908" s="569"/>
      <c r="L908" s="544"/>
      <c r="M908" s="544"/>
      <c r="N908" s="544"/>
      <c r="O908" s="544"/>
      <c r="P908" s="544"/>
      <c r="Q908" s="544"/>
      <c r="R908" s="544"/>
      <c r="S908" s="544"/>
      <c r="T908" s="544"/>
      <c r="U908" s="544"/>
      <c r="V908" s="544"/>
      <c r="W908" s="544"/>
      <c r="X908" s="544"/>
      <c r="Y908" s="544"/>
      <c r="Z908" s="544"/>
      <c r="AA908" s="544"/>
      <c r="AB908" s="544"/>
    </row>
    <row r="909" spans="1:28" x14ac:dyDescent="0.2">
      <c r="A909" s="544"/>
      <c r="B909" s="544"/>
      <c r="C909" s="544"/>
      <c r="D909" s="544"/>
      <c r="E909" s="544"/>
      <c r="F909" s="569"/>
      <c r="G909" s="544"/>
      <c r="H909" s="544"/>
      <c r="I909" s="544"/>
      <c r="J909" s="544"/>
      <c r="K909" s="569"/>
      <c r="L909" s="544"/>
      <c r="M909" s="544"/>
      <c r="N909" s="544"/>
      <c r="O909" s="544"/>
      <c r="P909" s="544"/>
      <c r="Q909" s="544"/>
      <c r="R909" s="544"/>
      <c r="S909" s="544"/>
      <c r="T909" s="544"/>
      <c r="U909" s="544"/>
      <c r="V909" s="544"/>
      <c r="W909" s="544"/>
      <c r="X909" s="544"/>
      <c r="Y909" s="544"/>
      <c r="Z909" s="544"/>
      <c r="AA909" s="544"/>
      <c r="AB909" s="544"/>
    </row>
    <row r="910" spans="1:28" x14ac:dyDescent="0.2">
      <c r="A910" s="544"/>
      <c r="B910" s="544"/>
      <c r="C910" s="544"/>
      <c r="D910" s="544"/>
      <c r="E910" s="544"/>
      <c r="F910" s="569"/>
      <c r="G910" s="544"/>
      <c r="H910" s="544"/>
      <c r="I910" s="544"/>
      <c r="J910" s="544"/>
      <c r="K910" s="569"/>
      <c r="L910" s="544"/>
      <c r="M910" s="544"/>
      <c r="N910" s="544"/>
      <c r="O910" s="544"/>
      <c r="P910" s="544"/>
      <c r="Q910" s="544"/>
      <c r="R910" s="544"/>
      <c r="S910" s="544"/>
      <c r="T910" s="544"/>
      <c r="U910" s="544"/>
      <c r="V910" s="544"/>
      <c r="W910" s="544"/>
      <c r="X910" s="544"/>
      <c r="Y910" s="544"/>
      <c r="Z910" s="544"/>
      <c r="AA910" s="544"/>
      <c r="AB910" s="544"/>
    </row>
    <row r="911" spans="1:28" x14ac:dyDescent="0.2">
      <c r="A911" s="544"/>
      <c r="B911" s="544"/>
      <c r="C911" s="544"/>
      <c r="D911" s="544"/>
      <c r="E911" s="544"/>
      <c r="F911" s="569"/>
      <c r="G911" s="544"/>
      <c r="H911" s="544"/>
      <c r="I911" s="544"/>
      <c r="J911" s="544"/>
      <c r="K911" s="569"/>
      <c r="L911" s="544"/>
      <c r="M911" s="544"/>
      <c r="N911" s="544"/>
      <c r="O911" s="544"/>
      <c r="P911" s="544"/>
      <c r="Q911" s="544"/>
      <c r="R911" s="544"/>
      <c r="S911" s="544"/>
      <c r="T911" s="544"/>
      <c r="U911" s="544"/>
      <c r="V911" s="544"/>
      <c r="W911" s="544"/>
      <c r="X911" s="544"/>
      <c r="Y911" s="544"/>
      <c r="Z911" s="544"/>
      <c r="AA911" s="544"/>
      <c r="AB911" s="544"/>
    </row>
    <row r="912" spans="1:28" x14ac:dyDescent="0.2">
      <c r="A912" s="544"/>
      <c r="B912" s="544"/>
      <c r="C912" s="544"/>
      <c r="D912" s="544"/>
      <c r="E912" s="544"/>
      <c r="F912" s="569"/>
      <c r="G912" s="544"/>
      <c r="H912" s="544"/>
      <c r="I912" s="544"/>
      <c r="J912" s="544"/>
      <c r="K912" s="569"/>
      <c r="L912" s="544"/>
      <c r="M912" s="544"/>
      <c r="N912" s="544"/>
      <c r="O912" s="544"/>
      <c r="P912" s="544"/>
      <c r="Q912" s="544"/>
      <c r="R912" s="544"/>
      <c r="S912" s="544"/>
      <c r="T912" s="544"/>
      <c r="U912" s="544"/>
      <c r="V912" s="544"/>
      <c r="W912" s="544"/>
      <c r="X912" s="544"/>
      <c r="Y912" s="544"/>
      <c r="Z912" s="544"/>
      <c r="AA912" s="544"/>
      <c r="AB912" s="544"/>
    </row>
    <row r="913" spans="1:28" x14ac:dyDescent="0.2">
      <c r="A913" s="544"/>
      <c r="B913" s="544"/>
      <c r="C913" s="544"/>
      <c r="D913" s="544"/>
      <c r="E913" s="544"/>
      <c r="F913" s="569"/>
      <c r="G913" s="544"/>
      <c r="H913" s="544"/>
      <c r="I913" s="544"/>
      <c r="J913" s="544"/>
      <c r="K913" s="569"/>
      <c r="L913" s="544"/>
      <c r="M913" s="544"/>
      <c r="N913" s="544"/>
      <c r="O913" s="544"/>
      <c r="P913" s="544"/>
      <c r="Q913" s="544"/>
      <c r="R913" s="544"/>
      <c r="S913" s="544"/>
      <c r="T913" s="544"/>
      <c r="U913" s="544"/>
      <c r="V913" s="544"/>
      <c r="W913" s="544"/>
      <c r="X913" s="544"/>
      <c r="Y913" s="544"/>
      <c r="Z913" s="544"/>
      <c r="AA913" s="544"/>
      <c r="AB913" s="544"/>
    </row>
    <row r="914" spans="1:28" x14ac:dyDescent="0.2">
      <c r="A914" s="544"/>
      <c r="B914" s="544"/>
      <c r="C914" s="544"/>
      <c r="D914" s="544"/>
      <c r="E914" s="544"/>
      <c r="F914" s="569"/>
      <c r="G914" s="544"/>
      <c r="H914" s="544"/>
      <c r="I914" s="544"/>
      <c r="J914" s="544"/>
      <c r="K914" s="569"/>
      <c r="L914" s="544"/>
      <c r="M914" s="544"/>
      <c r="N914" s="544"/>
      <c r="O914" s="544"/>
      <c r="P914" s="544"/>
      <c r="Q914" s="544"/>
      <c r="R914" s="544"/>
      <c r="S914" s="544"/>
      <c r="T914" s="544"/>
      <c r="U914" s="544"/>
      <c r="V914" s="544"/>
      <c r="W914" s="544"/>
      <c r="X914" s="544"/>
      <c r="Y914" s="544"/>
      <c r="Z914" s="544"/>
      <c r="AA914" s="544"/>
      <c r="AB914" s="544"/>
    </row>
    <row r="915" spans="1:28" x14ac:dyDescent="0.2">
      <c r="A915" s="544"/>
      <c r="B915" s="544"/>
      <c r="C915" s="544"/>
      <c r="D915" s="544"/>
      <c r="E915" s="544"/>
      <c r="F915" s="569"/>
      <c r="G915" s="544"/>
      <c r="H915" s="544"/>
      <c r="I915" s="544"/>
      <c r="J915" s="544"/>
      <c r="K915" s="569"/>
      <c r="L915" s="544"/>
      <c r="M915" s="544"/>
      <c r="N915" s="544"/>
      <c r="O915" s="544"/>
      <c r="P915" s="544"/>
      <c r="Q915" s="544"/>
      <c r="R915" s="544"/>
      <c r="S915" s="544"/>
      <c r="T915" s="544"/>
      <c r="U915" s="544"/>
      <c r="V915" s="544"/>
      <c r="W915" s="544"/>
      <c r="X915" s="544"/>
      <c r="Y915" s="544"/>
      <c r="Z915" s="544"/>
      <c r="AA915" s="544"/>
      <c r="AB915" s="544"/>
    </row>
    <row r="916" spans="1:28" x14ac:dyDescent="0.2">
      <c r="A916" s="544"/>
      <c r="B916" s="544"/>
      <c r="C916" s="544"/>
      <c r="D916" s="544"/>
      <c r="E916" s="544"/>
      <c r="F916" s="569"/>
      <c r="G916" s="544"/>
      <c r="H916" s="544"/>
      <c r="I916" s="544"/>
      <c r="J916" s="544"/>
      <c r="K916" s="569"/>
      <c r="L916" s="544"/>
      <c r="M916" s="544"/>
      <c r="N916" s="544"/>
      <c r="O916" s="544"/>
      <c r="P916" s="544"/>
      <c r="Q916" s="544"/>
      <c r="R916" s="544"/>
      <c r="S916" s="544"/>
      <c r="T916" s="544"/>
      <c r="U916" s="544"/>
      <c r="V916" s="544"/>
      <c r="W916" s="544"/>
      <c r="X916" s="544"/>
      <c r="Y916" s="544"/>
      <c r="Z916" s="544"/>
      <c r="AA916" s="544"/>
      <c r="AB916" s="544"/>
    </row>
    <row r="917" spans="1:28" x14ac:dyDescent="0.2">
      <c r="A917" s="544"/>
      <c r="B917" s="544"/>
      <c r="C917" s="544"/>
      <c r="D917" s="544"/>
      <c r="E917" s="544"/>
      <c r="F917" s="569"/>
      <c r="G917" s="544"/>
      <c r="H917" s="544"/>
      <c r="I917" s="544"/>
      <c r="J917" s="544"/>
      <c r="K917" s="569"/>
      <c r="L917" s="544"/>
      <c r="M917" s="544"/>
      <c r="N917" s="544"/>
      <c r="O917" s="544"/>
      <c r="P917" s="544"/>
      <c r="Q917" s="544"/>
      <c r="R917" s="544"/>
      <c r="S917" s="544"/>
      <c r="T917" s="544"/>
      <c r="U917" s="544"/>
      <c r="V917" s="544"/>
      <c r="W917" s="544"/>
      <c r="X917" s="544"/>
      <c r="Y917" s="544"/>
      <c r="Z917" s="544"/>
      <c r="AA917" s="544"/>
      <c r="AB917" s="544"/>
    </row>
    <row r="918" spans="1:28" x14ac:dyDescent="0.2">
      <c r="A918" s="544"/>
      <c r="B918" s="544"/>
      <c r="C918" s="544"/>
      <c r="D918" s="544"/>
      <c r="E918" s="544"/>
      <c r="F918" s="569"/>
      <c r="G918" s="544"/>
      <c r="H918" s="544"/>
      <c r="I918" s="544"/>
      <c r="J918" s="544"/>
      <c r="K918" s="569"/>
      <c r="L918" s="544"/>
      <c r="M918" s="544"/>
      <c r="N918" s="544"/>
      <c r="O918" s="544"/>
      <c r="P918" s="544"/>
      <c r="Q918" s="544"/>
      <c r="R918" s="544"/>
      <c r="S918" s="544"/>
      <c r="T918" s="544"/>
      <c r="U918" s="544"/>
      <c r="V918" s="544"/>
      <c r="W918" s="544"/>
      <c r="X918" s="544"/>
      <c r="Y918" s="544"/>
      <c r="Z918" s="544"/>
      <c r="AA918" s="544"/>
      <c r="AB918" s="544"/>
    </row>
    <row r="919" spans="1:28" x14ac:dyDescent="0.2">
      <c r="A919" s="544"/>
      <c r="B919" s="544"/>
      <c r="C919" s="544"/>
      <c r="D919" s="544"/>
      <c r="E919" s="544"/>
      <c r="F919" s="569"/>
      <c r="G919" s="544"/>
      <c r="H919" s="544"/>
      <c r="I919" s="544"/>
      <c r="J919" s="544"/>
      <c r="K919" s="569"/>
      <c r="L919" s="544"/>
      <c r="M919" s="544"/>
      <c r="N919" s="544"/>
      <c r="O919" s="544"/>
      <c r="P919" s="544"/>
      <c r="Q919" s="544"/>
      <c r="R919" s="544"/>
      <c r="S919" s="544"/>
      <c r="T919" s="544"/>
      <c r="U919" s="544"/>
      <c r="V919" s="544"/>
      <c r="W919" s="544"/>
      <c r="X919" s="544"/>
      <c r="Y919" s="544"/>
      <c r="Z919" s="544"/>
      <c r="AA919" s="544"/>
      <c r="AB919" s="544"/>
    </row>
    <row r="920" spans="1:28" x14ac:dyDescent="0.2">
      <c r="A920" s="544"/>
      <c r="B920" s="544"/>
      <c r="C920" s="544"/>
      <c r="D920" s="544"/>
      <c r="E920" s="544"/>
      <c r="F920" s="569"/>
      <c r="G920" s="544"/>
      <c r="H920" s="544"/>
      <c r="I920" s="544"/>
      <c r="J920" s="544"/>
      <c r="K920" s="569"/>
      <c r="L920" s="544"/>
      <c r="M920" s="544"/>
      <c r="N920" s="544"/>
      <c r="O920" s="544"/>
      <c r="P920" s="544"/>
      <c r="Q920" s="544"/>
      <c r="R920" s="544"/>
      <c r="S920" s="544"/>
      <c r="T920" s="544"/>
      <c r="U920" s="544"/>
      <c r="V920" s="544"/>
      <c r="W920" s="544"/>
      <c r="X920" s="544"/>
      <c r="Y920" s="544"/>
      <c r="Z920" s="544"/>
      <c r="AA920" s="544"/>
      <c r="AB920" s="544"/>
    </row>
    <row r="921" spans="1:28" x14ac:dyDescent="0.2">
      <c r="A921" s="544"/>
      <c r="B921" s="544"/>
      <c r="C921" s="544"/>
      <c r="D921" s="544"/>
      <c r="E921" s="544"/>
      <c r="F921" s="569"/>
      <c r="G921" s="544"/>
      <c r="H921" s="544"/>
      <c r="I921" s="544"/>
      <c r="J921" s="544"/>
      <c r="K921" s="569"/>
      <c r="L921" s="544"/>
      <c r="M921" s="544"/>
      <c r="N921" s="544"/>
      <c r="O921" s="544"/>
      <c r="P921" s="544"/>
      <c r="Q921" s="544"/>
      <c r="R921" s="544"/>
      <c r="S921" s="544"/>
      <c r="T921" s="544"/>
      <c r="U921" s="544"/>
      <c r="V921" s="544"/>
      <c r="W921" s="544"/>
      <c r="X921" s="544"/>
      <c r="Y921" s="544"/>
      <c r="Z921" s="544"/>
      <c r="AA921" s="544"/>
      <c r="AB921" s="544"/>
    </row>
    <row r="922" spans="1:28" x14ac:dyDescent="0.2">
      <c r="A922" s="544"/>
      <c r="B922" s="544"/>
      <c r="C922" s="544"/>
      <c r="D922" s="544"/>
      <c r="E922" s="544"/>
      <c r="F922" s="569"/>
      <c r="G922" s="544"/>
      <c r="H922" s="544"/>
      <c r="I922" s="544"/>
      <c r="J922" s="544"/>
      <c r="K922" s="569"/>
      <c r="L922" s="544"/>
      <c r="M922" s="544"/>
      <c r="N922" s="544"/>
      <c r="O922" s="544"/>
      <c r="P922" s="544"/>
      <c r="Q922" s="544"/>
      <c r="R922" s="544"/>
      <c r="S922" s="544"/>
      <c r="T922" s="544"/>
      <c r="U922" s="544"/>
      <c r="V922" s="544"/>
      <c r="W922" s="544"/>
      <c r="X922" s="544"/>
      <c r="Y922" s="544"/>
      <c r="Z922" s="544"/>
      <c r="AA922" s="544"/>
      <c r="AB922" s="544"/>
    </row>
    <row r="923" spans="1:28" x14ac:dyDescent="0.2">
      <c r="A923" s="544"/>
      <c r="B923" s="544"/>
      <c r="C923" s="544"/>
      <c r="D923" s="544"/>
      <c r="E923" s="544"/>
      <c r="F923" s="569"/>
      <c r="G923" s="544"/>
      <c r="H923" s="544"/>
      <c r="I923" s="544"/>
      <c r="J923" s="544"/>
      <c r="K923" s="569"/>
      <c r="L923" s="544"/>
      <c r="M923" s="544"/>
      <c r="N923" s="544"/>
      <c r="O923" s="544"/>
      <c r="P923" s="544"/>
      <c r="Q923" s="544"/>
      <c r="R923" s="544"/>
      <c r="S923" s="544"/>
      <c r="T923" s="544"/>
      <c r="U923" s="544"/>
      <c r="V923" s="544"/>
      <c r="W923" s="544"/>
      <c r="X923" s="544"/>
      <c r="Y923" s="544"/>
      <c r="Z923" s="544"/>
      <c r="AA923" s="544"/>
      <c r="AB923" s="544"/>
    </row>
    <row r="924" spans="1:28" x14ac:dyDescent="0.2">
      <c r="A924" s="544"/>
      <c r="B924" s="544"/>
      <c r="C924" s="544"/>
      <c r="D924" s="544"/>
      <c r="E924" s="544"/>
      <c r="F924" s="569"/>
      <c r="G924" s="544"/>
      <c r="H924" s="544"/>
      <c r="I924" s="544"/>
      <c r="J924" s="544"/>
      <c r="K924" s="569"/>
      <c r="L924" s="544"/>
      <c r="M924" s="544"/>
      <c r="N924" s="544"/>
      <c r="O924" s="544"/>
      <c r="P924" s="544"/>
      <c r="Q924" s="544"/>
      <c r="R924" s="544"/>
      <c r="S924" s="544"/>
      <c r="T924" s="544"/>
      <c r="U924" s="544"/>
      <c r="V924" s="544"/>
      <c r="W924" s="544"/>
      <c r="X924" s="544"/>
      <c r="Y924" s="544"/>
      <c r="Z924" s="544"/>
      <c r="AA924" s="544"/>
      <c r="AB924" s="544"/>
    </row>
    <row r="925" spans="1:28" x14ac:dyDescent="0.2">
      <c r="A925" s="544"/>
      <c r="B925" s="544"/>
      <c r="C925" s="544"/>
      <c r="D925" s="544"/>
      <c r="E925" s="544"/>
      <c r="F925" s="569"/>
      <c r="G925" s="544"/>
      <c r="H925" s="544"/>
      <c r="I925" s="544"/>
      <c r="J925" s="544"/>
      <c r="K925" s="569"/>
      <c r="L925" s="544"/>
      <c r="M925" s="544"/>
      <c r="N925" s="544"/>
      <c r="O925" s="544"/>
      <c r="P925" s="544"/>
      <c r="Q925" s="544"/>
      <c r="R925" s="544"/>
      <c r="S925" s="544"/>
      <c r="T925" s="544"/>
      <c r="U925" s="544"/>
      <c r="V925" s="544"/>
      <c r="W925" s="544"/>
      <c r="X925" s="544"/>
      <c r="Y925" s="544"/>
      <c r="Z925" s="544"/>
      <c r="AA925" s="544"/>
      <c r="AB925" s="544"/>
    </row>
    <row r="926" spans="1:28" x14ac:dyDescent="0.2">
      <c r="A926" s="544"/>
      <c r="B926" s="544"/>
      <c r="C926" s="544"/>
      <c r="D926" s="544"/>
      <c r="E926" s="544"/>
      <c r="F926" s="569"/>
      <c r="G926" s="544"/>
      <c r="H926" s="544"/>
      <c r="I926" s="544"/>
      <c r="J926" s="544"/>
      <c r="K926" s="569"/>
      <c r="L926" s="544"/>
      <c r="M926" s="544"/>
      <c r="N926" s="544"/>
      <c r="O926" s="544"/>
      <c r="P926" s="544"/>
      <c r="Q926" s="544"/>
      <c r="R926" s="544"/>
      <c r="S926" s="544"/>
      <c r="T926" s="544"/>
      <c r="U926" s="544"/>
      <c r="V926" s="544"/>
      <c r="W926" s="544"/>
      <c r="X926" s="544"/>
      <c r="Y926" s="544"/>
      <c r="Z926" s="544"/>
      <c r="AA926" s="544"/>
      <c r="AB926" s="544"/>
    </row>
    <row r="927" spans="1:28" x14ac:dyDescent="0.2">
      <c r="A927" s="544"/>
      <c r="B927" s="544"/>
      <c r="C927" s="544"/>
      <c r="D927" s="544"/>
      <c r="E927" s="544"/>
      <c r="F927" s="569"/>
      <c r="G927" s="544"/>
      <c r="H927" s="544"/>
      <c r="I927" s="544"/>
      <c r="J927" s="544"/>
      <c r="K927" s="569"/>
      <c r="L927" s="544"/>
      <c r="M927" s="544"/>
      <c r="N927" s="544"/>
      <c r="O927" s="544"/>
      <c r="P927" s="544"/>
      <c r="Q927" s="544"/>
      <c r="R927" s="544"/>
      <c r="S927" s="544"/>
      <c r="T927" s="544"/>
      <c r="U927" s="544"/>
      <c r="V927" s="544"/>
      <c r="W927" s="544"/>
      <c r="X927" s="544"/>
      <c r="Y927" s="544"/>
      <c r="Z927" s="544"/>
      <c r="AA927" s="544"/>
      <c r="AB927" s="544"/>
    </row>
    <row r="928" spans="1:28" x14ac:dyDescent="0.2">
      <c r="A928" s="544"/>
      <c r="B928" s="544"/>
      <c r="C928" s="544"/>
      <c r="D928" s="544"/>
      <c r="E928" s="544"/>
      <c r="F928" s="569"/>
      <c r="G928" s="544"/>
      <c r="H928" s="544"/>
      <c r="I928" s="544"/>
      <c r="J928" s="544"/>
      <c r="K928" s="569"/>
      <c r="L928" s="544"/>
      <c r="M928" s="544"/>
      <c r="N928" s="544"/>
      <c r="O928" s="544"/>
      <c r="P928" s="544"/>
      <c r="Q928" s="544"/>
      <c r="R928" s="544"/>
      <c r="S928" s="544"/>
      <c r="T928" s="544"/>
      <c r="U928" s="544"/>
      <c r="V928" s="544"/>
      <c r="W928" s="544"/>
      <c r="X928" s="544"/>
      <c r="Y928" s="544"/>
      <c r="Z928" s="544"/>
      <c r="AA928" s="544"/>
      <c r="AB928" s="544"/>
    </row>
    <row r="929" spans="1:28" x14ac:dyDescent="0.2">
      <c r="A929" s="544"/>
      <c r="B929" s="544"/>
      <c r="C929" s="544"/>
      <c r="D929" s="544"/>
      <c r="E929" s="544"/>
      <c r="F929" s="569"/>
      <c r="G929" s="544"/>
      <c r="H929" s="544"/>
      <c r="I929" s="544"/>
      <c r="J929" s="544"/>
      <c r="K929" s="569"/>
      <c r="L929" s="544"/>
      <c r="M929" s="544"/>
      <c r="N929" s="544"/>
      <c r="O929" s="544"/>
      <c r="P929" s="544"/>
      <c r="Q929" s="544"/>
      <c r="R929" s="544"/>
      <c r="S929" s="544"/>
      <c r="T929" s="544"/>
      <c r="U929" s="544"/>
      <c r="V929" s="544"/>
      <c r="W929" s="544"/>
      <c r="X929" s="544"/>
      <c r="Y929" s="544"/>
      <c r="Z929" s="544"/>
      <c r="AA929" s="544"/>
      <c r="AB929" s="544"/>
    </row>
    <row r="930" spans="1:28" x14ac:dyDescent="0.2">
      <c r="A930" s="544"/>
      <c r="B930" s="544"/>
      <c r="C930" s="544"/>
      <c r="D930" s="544"/>
      <c r="E930" s="544"/>
      <c r="F930" s="569"/>
      <c r="G930" s="544"/>
      <c r="H930" s="544"/>
      <c r="I930" s="544"/>
      <c r="J930" s="544"/>
      <c r="K930" s="569"/>
      <c r="L930" s="544"/>
      <c r="M930" s="544"/>
      <c r="N930" s="544"/>
      <c r="O930" s="544"/>
      <c r="P930" s="544"/>
      <c r="Q930" s="544"/>
      <c r="R930" s="544"/>
      <c r="S930" s="544"/>
      <c r="T930" s="544"/>
      <c r="U930" s="544"/>
      <c r="V930" s="544"/>
      <c r="W930" s="544"/>
      <c r="X930" s="544"/>
      <c r="Y930" s="544"/>
      <c r="Z930" s="544"/>
      <c r="AA930" s="544"/>
      <c r="AB930" s="544"/>
    </row>
    <row r="931" spans="1:28" x14ac:dyDescent="0.2">
      <c r="A931" s="544"/>
      <c r="B931" s="544"/>
      <c r="C931" s="544"/>
      <c r="D931" s="544"/>
      <c r="E931" s="544"/>
      <c r="F931" s="569"/>
      <c r="G931" s="544"/>
      <c r="H931" s="544"/>
      <c r="I931" s="544"/>
      <c r="J931" s="544"/>
      <c r="K931" s="569"/>
      <c r="L931" s="544"/>
      <c r="M931" s="544"/>
      <c r="N931" s="544"/>
      <c r="O931" s="544"/>
      <c r="P931" s="544"/>
      <c r="Q931" s="544"/>
      <c r="R931" s="544"/>
      <c r="S931" s="544"/>
      <c r="T931" s="544"/>
      <c r="U931" s="544"/>
      <c r="V931" s="544"/>
      <c r="W931" s="544"/>
      <c r="X931" s="544"/>
      <c r="Y931" s="544"/>
      <c r="Z931" s="544"/>
      <c r="AA931" s="544"/>
      <c r="AB931" s="544"/>
    </row>
    <row r="932" spans="1:28" x14ac:dyDescent="0.2">
      <c r="A932" s="544"/>
      <c r="B932" s="544"/>
      <c r="C932" s="544"/>
      <c r="D932" s="544"/>
      <c r="E932" s="544"/>
      <c r="F932" s="569"/>
      <c r="G932" s="544"/>
      <c r="H932" s="544"/>
      <c r="I932" s="544"/>
      <c r="J932" s="544"/>
      <c r="K932" s="569"/>
      <c r="L932" s="544"/>
      <c r="M932" s="544"/>
      <c r="N932" s="544"/>
      <c r="O932" s="544"/>
      <c r="P932" s="544"/>
      <c r="Q932" s="544"/>
      <c r="R932" s="544"/>
      <c r="S932" s="544"/>
      <c r="T932" s="544"/>
      <c r="U932" s="544"/>
      <c r="V932" s="544"/>
      <c r="W932" s="544"/>
      <c r="X932" s="544"/>
      <c r="Y932" s="544"/>
      <c r="Z932" s="544"/>
      <c r="AA932" s="544"/>
      <c r="AB932" s="544"/>
    </row>
    <row r="933" spans="1:28" x14ac:dyDescent="0.2">
      <c r="A933" s="544"/>
      <c r="B933" s="544"/>
      <c r="C933" s="544"/>
      <c r="D933" s="544"/>
      <c r="E933" s="544"/>
      <c r="F933" s="569"/>
      <c r="G933" s="544"/>
      <c r="H933" s="544"/>
      <c r="I933" s="544"/>
      <c r="J933" s="544"/>
      <c r="K933" s="569"/>
      <c r="L933" s="544"/>
      <c r="M933" s="544"/>
      <c r="N933" s="544"/>
      <c r="O933" s="544"/>
      <c r="P933" s="544"/>
      <c r="Q933" s="544"/>
      <c r="R933" s="544"/>
      <c r="S933" s="544"/>
      <c r="T933" s="544"/>
      <c r="U933" s="544"/>
      <c r="V933" s="544"/>
      <c r="W933" s="544"/>
      <c r="X933" s="544"/>
      <c r="Y933" s="544"/>
      <c r="Z933" s="544"/>
      <c r="AA933" s="544"/>
      <c r="AB933" s="544"/>
    </row>
    <row r="934" spans="1:28" x14ac:dyDescent="0.2">
      <c r="A934" s="544"/>
      <c r="B934" s="544"/>
      <c r="C934" s="544"/>
      <c r="D934" s="544"/>
      <c r="E934" s="544"/>
      <c r="F934" s="569"/>
      <c r="G934" s="544"/>
      <c r="H934" s="544"/>
      <c r="I934" s="544"/>
      <c r="J934" s="544"/>
      <c r="K934" s="569"/>
      <c r="L934" s="544"/>
      <c r="M934" s="544"/>
      <c r="N934" s="544"/>
      <c r="O934" s="544"/>
      <c r="P934" s="544"/>
      <c r="Q934" s="544"/>
      <c r="R934" s="544"/>
      <c r="S934" s="544"/>
      <c r="T934" s="544"/>
      <c r="U934" s="544"/>
      <c r="V934" s="544"/>
      <c r="W934" s="544"/>
      <c r="X934" s="544"/>
      <c r="Y934" s="544"/>
      <c r="Z934" s="544"/>
      <c r="AA934" s="544"/>
      <c r="AB934" s="544"/>
    </row>
    <row r="935" spans="1:28" x14ac:dyDescent="0.2">
      <c r="A935" s="544"/>
      <c r="B935" s="544"/>
      <c r="C935" s="544"/>
      <c r="D935" s="544"/>
      <c r="E935" s="544"/>
      <c r="F935" s="569"/>
      <c r="G935" s="544"/>
      <c r="H935" s="544"/>
      <c r="I935" s="544"/>
      <c r="J935" s="544"/>
      <c r="K935" s="569"/>
      <c r="L935" s="544"/>
      <c r="M935" s="544"/>
      <c r="N935" s="544"/>
      <c r="O935" s="544"/>
      <c r="P935" s="544"/>
      <c r="Q935" s="544"/>
      <c r="R935" s="544"/>
      <c r="S935" s="544"/>
      <c r="T935" s="544"/>
      <c r="U935" s="544"/>
      <c r="V935" s="544"/>
      <c r="W935" s="544"/>
      <c r="X935" s="544"/>
      <c r="Y935" s="544"/>
      <c r="Z935" s="544"/>
      <c r="AA935" s="544"/>
      <c r="AB935" s="544"/>
    </row>
    <row r="936" spans="1:28" x14ac:dyDescent="0.2">
      <c r="A936" s="544"/>
      <c r="B936" s="544"/>
      <c r="C936" s="544"/>
      <c r="D936" s="544"/>
      <c r="E936" s="544"/>
      <c r="F936" s="569"/>
      <c r="G936" s="544"/>
      <c r="H936" s="544"/>
      <c r="I936" s="544"/>
      <c r="J936" s="544"/>
      <c r="K936" s="569"/>
      <c r="L936" s="544"/>
      <c r="M936" s="544"/>
      <c r="N936" s="544"/>
      <c r="O936" s="544"/>
      <c r="P936" s="544"/>
      <c r="Q936" s="544"/>
      <c r="R936" s="544"/>
      <c r="S936" s="544"/>
      <c r="T936" s="544"/>
      <c r="U936" s="544"/>
      <c r="V936" s="544"/>
      <c r="W936" s="544"/>
      <c r="X936" s="544"/>
      <c r="Y936" s="544"/>
      <c r="Z936" s="544"/>
      <c r="AA936" s="544"/>
      <c r="AB936" s="544"/>
    </row>
    <row r="937" spans="1:28" x14ac:dyDescent="0.2">
      <c r="A937" s="544"/>
      <c r="B937" s="544"/>
      <c r="C937" s="544"/>
      <c r="D937" s="544"/>
      <c r="E937" s="544"/>
      <c r="F937" s="569"/>
      <c r="G937" s="544"/>
      <c r="H937" s="544"/>
      <c r="I937" s="544"/>
      <c r="J937" s="544"/>
      <c r="K937" s="569"/>
      <c r="L937" s="544"/>
      <c r="M937" s="544"/>
      <c r="N937" s="544"/>
      <c r="O937" s="544"/>
      <c r="P937" s="544"/>
      <c r="Q937" s="544"/>
      <c r="R937" s="544"/>
      <c r="S937" s="544"/>
      <c r="T937" s="544"/>
      <c r="U937" s="544"/>
      <c r="V937" s="544"/>
      <c r="W937" s="544"/>
      <c r="X937" s="544"/>
      <c r="Y937" s="544"/>
      <c r="Z937" s="544"/>
      <c r="AA937" s="544"/>
      <c r="AB937" s="544"/>
    </row>
    <row r="938" spans="1:28" x14ac:dyDescent="0.2">
      <c r="A938" s="544"/>
      <c r="B938" s="544"/>
      <c r="C938" s="544"/>
      <c r="D938" s="544"/>
      <c r="E938" s="544"/>
      <c r="F938" s="569"/>
      <c r="G938" s="544"/>
      <c r="H938" s="544"/>
      <c r="I938" s="544"/>
      <c r="J938" s="544"/>
      <c r="K938" s="569"/>
      <c r="L938" s="544"/>
      <c r="M938" s="544"/>
      <c r="N938" s="544"/>
      <c r="O938" s="544"/>
      <c r="P938" s="544"/>
      <c r="Q938" s="544"/>
      <c r="R938" s="544"/>
      <c r="S938" s="544"/>
      <c r="T938" s="544"/>
      <c r="U938" s="544"/>
      <c r="V938" s="544"/>
      <c r="W938" s="544"/>
      <c r="X938" s="544"/>
      <c r="Y938" s="544"/>
      <c r="Z938" s="544"/>
      <c r="AA938" s="544"/>
      <c r="AB938" s="544"/>
    </row>
    <row r="939" spans="1:28" x14ac:dyDescent="0.2">
      <c r="A939" s="544"/>
      <c r="B939" s="544"/>
      <c r="C939" s="544"/>
      <c r="D939" s="544"/>
      <c r="E939" s="544"/>
      <c r="F939" s="569"/>
      <c r="G939" s="544"/>
      <c r="H939" s="544"/>
      <c r="I939" s="544"/>
      <c r="J939" s="544"/>
      <c r="K939" s="569"/>
      <c r="L939" s="544"/>
      <c r="M939" s="544"/>
      <c r="N939" s="544"/>
      <c r="O939" s="544"/>
      <c r="P939" s="544"/>
      <c r="Q939" s="544"/>
      <c r="R939" s="544"/>
      <c r="S939" s="544"/>
      <c r="T939" s="544"/>
      <c r="U939" s="544"/>
      <c r="V939" s="544"/>
      <c r="W939" s="544"/>
      <c r="X939" s="544"/>
      <c r="Y939" s="544"/>
      <c r="Z939" s="544"/>
      <c r="AA939" s="544"/>
      <c r="AB939" s="544"/>
    </row>
    <row r="940" spans="1:28" x14ac:dyDescent="0.2">
      <c r="A940" s="544"/>
      <c r="B940" s="544"/>
      <c r="C940" s="544"/>
      <c r="D940" s="544"/>
      <c r="E940" s="544"/>
      <c r="F940" s="569"/>
      <c r="G940" s="544"/>
      <c r="H940" s="544"/>
      <c r="I940" s="544"/>
      <c r="J940" s="544"/>
      <c r="K940" s="569"/>
      <c r="L940" s="544"/>
      <c r="M940" s="544"/>
      <c r="N940" s="544"/>
      <c r="O940" s="544"/>
      <c r="P940" s="544"/>
      <c r="Q940" s="544"/>
      <c r="R940" s="544"/>
      <c r="S940" s="544"/>
      <c r="T940" s="544"/>
      <c r="U940" s="544"/>
      <c r="V940" s="544"/>
      <c r="W940" s="544"/>
      <c r="X940" s="544"/>
      <c r="Y940" s="544"/>
      <c r="Z940" s="544"/>
      <c r="AA940" s="544"/>
      <c r="AB940" s="544"/>
    </row>
    <row r="941" spans="1:28" x14ac:dyDescent="0.2">
      <c r="A941" s="544"/>
      <c r="B941" s="544"/>
      <c r="C941" s="544"/>
      <c r="D941" s="544"/>
      <c r="E941" s="544"/>
      <c r="F941" s="569"/>
      <c r="G941" s="544"/>
      <c r="H941" s="544"/>
      <c r="I941" s="544"/>
      <c r="J941" s="544"/>
      <c r="K941" s="569"/>
      <c r="L941" s="544"/>
      <c r="M941" s="544"/>
      <c r="N941" s="544"/>
      <c r="O941" s="544"/>
      <c r="P941" s="544"/>
      <c r="Q941" s="544"/>
      <c r="R941" s="544"/>
      <c r="S941" s="544"/>
      <c r="T941" s="544"/>
      <c r="U941" s="544"/>
      <c r="V941" s="544"/>
      <c r="W941" s="544"/>
      <c r="X941" s="544"/>
      <c r="Y941" s="544"/>
      <c r="Z941" s="544"/>
      <c r="AA941" s="544"/>
      <c r="AB941" s="544"/>
    </row>
    <row r="942" spans="1:28" x14ac:dyDescent="0.2">
      <c r="A942" s="544"/>
      <c r="B942" s="544"/>
      <c r="C942" s="544"/>
      <c r="D942" s="544"/>
      <c r="E942" s="544"/>
      <c r="F942" s="569"/>
      <c r="G942" s="544"/>
      <c r="H942" s="544"/>
      <c r="I942" s="544"/>
      <c r="J942" s="544"/>
      <c r="K942" s="569"/>
      <c r="L942" s="544"/>
      <c r="M942" s="544"/>
      <c r="N942" s="544"/>
      <c r="O942" s="544"/>
      <c r="P942" s="544"/>
      <c r="Q942" s="544"/>
      <c r="R942" s="544"/>
      <c r="S942" s="544"/>
      <c r="T942" s="544"/>
      <c r="U942" s="544"/>
      <c r="V942" s="544"/>
      <c r="W942" s="544"/>
      <c r="X942" s="544"/>
      <c r="Y942" s="544"/>
      <c r="Z942" s="544"/>
      <c r="AA942" s="544"/>
      <c r="AB942" s="544"/>
    </row>
    <row r="943" spans="1:28" x14ac:dyDescent="0.2">
      <c r="A943" s="544"/>
      <c r="B943" s="544"/>
      <c r="C943" s="544"/>
      <c r="D943" s="544"/>
      <c r="E943" s="544"/>
      <c r="F943" s="569"/>
      <c r="G943" s="544"/>
      <c r="H943" s="544"/>
      <c r="I943" s="544"/>
      <c r="J943" s="544"/>
      <c r="K943" s="569"/>
      <c r="L943" s="544"/>
      <c r="M943" s="544"/>
      <c r="N943" s="544"/>
      <c r="O943" s="544"/>
      <c r="P943" s="544"/>
      <c r="Q943" s="544"/>
      <c r="R943" s="544"/>
      <c r="S943" s="544"/>
      <c r="T943" s="544"/>
      <c r="U943" s="544"/>
      <c r="V943" s="544"/>
      <c r="W943" s="544"/>
      <c r="X943" s="544"/>
      <c r="Y943" s="544"/>
      <c r="Z943" s="544"/>
      <c r="AA943" s="544"/>
      <c r="AB943" s="544"/>
    </row>
    <row r="944" spans="1:28" x14ac:dyDescent="0.2">
      <c r="A944" s="544"/>
      <c r="B944" s="544"/>
      <c r="C944" s="544"/>
      <c r="D944" s="544"/>
      <c r="E944" s="544"/>
      <c r="F944" s="569"/>
      <c r="G944" s="544"/>
      <c r="H944" s="544"/>
      <c r="I944" s="544"/>
      <c r="J944" s="544"/>
      <c r="K944" s="569"/>
      <c r="L944" s="544"/>
      <c r="M944" s="544"/>
      <c r="N944" s="544"/>
      <c r="O944" s="544"/>
      <c r="P944" s="544"/>
      <c r="Q944" s="544"/>
      <c r="R944" s="544"/>
      <c r="S944" s="544"/>
      <c r="T944" s="544"/>
      <c r="U944" s="544"/>
      <c r="V944" s="544"/>
      <c r="W944" s="544"/>
      <c r="X944" s="544"/>
      <c r="Y944" s="544"/>
      <c r="Z944" s="544"/>
      <c r="AA944" s="544"/>
      <c r="AB944" s="544"/>
    </row>
    <row r="945" spans="1:28" x14ac:dyDescent="0.2">
      <c r="A945" s="544"/>
      <c r="B945" s="544"/>
      <c r="C945" s="544"/>
      <c r="D945" s="544"/>
      <c r="E945" s="544"/>
      <c r="F945" s="569"/>
      <c r="G945" s="544"/>
      <c r="H945" s="544"/>
      <c r="I945" s="544"/>
      <c r="J945" s="544"/>
      <c r="K945" s="569"/>
      <c r="L945" s="544"/>
      <c r="M945" s="544"/>
      <c r="N945" s="544"/>
      <c r="O945" s="544"/>
      <c r="P945" s="544"/>
      <c r="Q945" s="544"/>
      <c r="R945" s="544"/>
      <c r="S945" s="544"/>
      <c r="T945" s="544"/>
      <c r="U945" s="544"/>
      <c r="V945" s="544"/>
      <c r="W945" s="544"/>
      <c r="X945" s="544"/>
      <c r="Y945" s="544"/>
      <c r="Z945" s="544"/>
      <c r="AA945" s="544"/>
      <c r="AB945" s="544"/>
    </row>
    <row r="946" spans="1:28" x14ac:dyDescent="0.2">
      <c r="A946" s="544"/>
      <c r="B946" s="544"/>
      <c r="C946" s="544"/>
      <c r="D946" s="544"/>
      <c r="E946" s="544"/>
      <c r="F946" s="569"/>
      <c r="G946" s="544"/>
      <c r="H946" s="544"/>
      <c r="I946" s="544"/>
      <c r="J946" s="544"/>
      <c r="K946" s="569"/>
      <c r="L946" s="544"/>
      <c r="M946" s="544"/>
      <c r="N946" s="544"/>
      <c r="O946" s="544"/>
      <c r="P946" s="544"/>
      <c r="Q946" s="544"/>
      <c r="R946" s="544"/>
      <c r="S946" s="544"/>
      <c r="T946" s="544"/>
      <c r="U946" s="544"/>
      <c r="V946" s="544"/>
      <c r="W946" s="544"/>
      <c r="X946" s="544"/>
      <c r="Y946" s="544"/>
      <c r="Z946" s="544"/>
      <c r="AA946" s="544"/>
      <c r="AB946" s="544"/>
    </row>
    <row r="947" spans="1:28" x14ac:dyDescent="0.2">
      <c r="A947" s="544"/>
      <c r="B947" s="544"/>
      <c r="C947" s="544"/>
      <c r="D947" s="544"/>
      <c r="E947" s="544"/>
      <c r="F947" s="569"/>
      <c r="G947" s="544"/>
      <c r="H947" s="544"/>
      <c r="I947" s="544"/>
      <c r="J947" s="544"/>
      <c r="K947" s="569"/>
      <c r="L947" s="544"/>
      <c r="M947" s="544"/>
      <c r="N947" s="544"/>
      <c r="O947" s="544"/>
      <c r="P947" s="544"/>
      <c r="Q947" s="544"/>
      <c r="R947" s="544"/>
      <c r="S947" s="544"/>
      <c r="T947" s="544"/>
      <c r="U947" s="544"/>
      <c r="V947" s="544"/>
      <c r="W947" s="544"/>
      <c r="X947" s="544"/>
      <c r="Y947" s="544"/>
      <c r="Z947" s="544"/>
      <c r="AA947" s="544"/>
      <c r="AB947" s="544"/>
    </row>
    <row r="948" spans="1:28" x14ac:dyDescent="0.2">
      <c r="A948" s="544"/>
      <c r="B948" s="544"/>
      <c r="C948" s="544"/>
      <c r="D948" s="544"/>
      <c r="E948" s="544"/>
      <c r="F948" s="569"/>
      <c r="G948" s="544"/>
      <c r="H948" s="544"/>
      <c r="I948" s="544"/>
      <c r="J948" s="544"/>
      <c r="K948" s="569"/>
      <c r="L948" s="544"/>
      <c r="M948" s="544"/>
      <c r="N948" s="544"/>
      <c r="O948" s="544"/>
      <c r="P948" s="544"/>
      <c r="Q948" s="544"/>
      <c r="R948" s="544"/>
      <c r="S948" s="544"/>
      <c r="T948" s="544"/>
      <c r="U948" s="544"/>
      <c r="V948" s="544"/>
      <c r="W948" s="544"/>
      <c r="X948" s="544"/>
      <c r="Y948" s="544"/>
      <c r="Z948" s="544"/>
      <c r="AA948" s="544"/>
      <c r="AB948" s="544"/>
    </row>
    <row r="949" spans="1:28" x14ac:dyDescent="0.2">
      <c r="A949" s="544"/>
      <c r="B949" s="544"/>
      <c r="C949" s="544"/>
      <c r="D949" s="544"/>
      <c r="E949" s="544"/>
      <c r="F949" s="569"/>
      <c r="G949" s="544"/>
      <c r="H949" s="544"/>
      <c r="I949" s="544"/>
      <c r="J949" s="544"/>
      <c r="K949" s="569"/>
      <c r="L949" s="544"/>
      <c r="M949" s="544"/>
      <c r="N949" s="544"/>
      <c r="O949" s="544"/>
      <c r="P949" s="544"/>
      <c r="Q949" s="544"/>
      <c r="R949" s="544"/>
      <c r="S949" s="544"/>
      <c r="T949" s="544"/>
      <c r="U949" s="544"/>
      <c r="V949" s="544"/>
      <c r="W949" s="544"/>
      <c r="X949" s="544"/>
      <c r="Y949" s="544"/>
      <c r="Z949" s="544"/>
      <c r="AA949" s="544"/>
      <c r="AB949" s="544"/>
    </row>
    <row r="950" spans="1:28" x14ac:dyDescent="0.2">
      <c r="A950" s="544"/>
      <c r="B950" s="544"/>
      <c r="C950" s="544"/>
      <c r="D950" s="544"/>
      <c r="E950" s="544"/>
      <c r="F950" s="569"/>
      <c r="G950" s="544"/>
      <c r="H950" s="544"/>
      <c r="I950" s="544"/>
      <c r="J950" s="544"/>
      <c r="K950" s="569"/>
      <c r="L950" s="544"/>
      <c r="M950" s="544"/>
      <c r="N950" s="544"/>
      <c r="O950" s="544"/>
      <c r="P950" s="544"/>
      <c r="Q950" s="544"/>
      <c r="R950" s="544"/>
      <c r="S950" s="544"/>
      <c r="T950" s="544"/>
      <c r="U950" s="544"/>
      <c r="V950" s="544"/>
      <c r="W950" s="544"/>
      <c r="X950" s="544"/>
      <c r="Y950" s="544"/>
      <c r="Z950" s="544"/>
      <c r="AA950" s="544"/>
      <c r="AB950" s="544"/>
    </row>
    <row r="951" spans="1:28" x14ac:dyDescent="0.2">
      <c r="A951" s="544"/>
      <c r="B951" s="544"/>
      <c r="C951" s="544"/>
      <c r="D951" s="544"/>
      <c r="E951" s="544"/>
      <c r="F951" s="569"/>
      <c r="G951" s="544"/>
      <c r="H951" s="544"/>
      <c r="I951" s="544"/>
      <c r="J951" s="544"/>
      <c r="K951" s="569"/>
      <c r="L951" s="544"/>
      <c r="M951" s="544"/>
      <c r="N951" s="544"/>
      <c r="O951" s="544"/>
      <c r="P951" s="544"/>
      <c r="Q951" s="544"/>
      <c r="R951" s="544"/>
      <c r="S951" s="544"/>
      <c r="T951" s="544"/>
      <c r="U951" s="544"/>
      <c r="V951" s="544"/>
      <c r="W951" s="544"/>
      <c r="X951" s="544"/>
      <c r="Y951" s="544"/>
      <c r="Z951" s="544"/>
      <c r="AA951" s="544"/>
      <c r="AB951" s="544"/>
    </row>
    <row r="952" spans="1:28" x14ac:dyDescent="0.2">
      <c r="A952" s="544"/>
      <c r="B952" s="544"/>
      <c r="C952" s="544"/>
      <c r="D952" s="544"/>
      <c r="E952" s="544"/>
      <c r="F952" s="569"/>
      <c r="G952" s="544"/>
      <c r="H952" s="544"/>
      <c r="I952" s="544"/>
      <c r="J952" s="544"/>
      <c r="K952" s="569"/>
      <c r="L952" s="544"/>
      <c r="M952" s="544"/>
      <c r="N952" s="544"/>
      <c r="O952" s="544"/>
      <c r="P952" s="544"/>
      <c r="Q952" s="544"/>
      <c r="R952" s="544"/>
      <c r="S952" s="544"/>
      <c r="T952" s="544"/>
      <c r="U952" s="544"/>
      <c r="V952" s="544"/>
      <c r="W952" s="544"/>
      <c r="X952" s="544"/>
      <c r="Y952" s="544"/>
      <c r="Z952" s="544"/>
      <c r="AA952" s="544"/>
      <c r="AB952" s="544"/>
    </row>
    <row r="953" spans="1:28" x14ac:dyDescent="0.2">
      <c r="A953" s="544"/>
      <c r="B953" s="544"/>
      <c r="C953" s="544"/>
      <c r="D953" s="544"/>
      <c r="E953" s="544"/>
      <c r="F953" s="569"/>
      <c r="G953" s="544"/>
      <c r="H953" s="544"/>
      <c r="I953" s="544"/>
      <c r="J953" s="544"/>
      <c r="K953" s="569"/>
      <c r="L953" s="544"/>
      <c r="M953" s="544"/>
      <c r="N953" s="544"/>
      <c r="O953" s="544"/>
      <c r="P953" s="544"/>
      <c r="Q953" s="544"/>
      <c r="R953" s="544"/>
      <c r="S953" s="544"/>
      <c r="T953" s="544"/>
      <c r="U953" s="544"/>
      <c r="V953" s="544"/>
      <c r="W953" s="544"/>
      <c r="X953" s="544"/>
      <c r="Y953" s="544"/>
      <c r="Z953" s="544"/>
      <c r="AA953" s="544"/>
      <c r="AB953" s="544"/>
    </row>
    <row r="954" spans="1:28" x14ac:dyDescent="0.2">
      <c r="A954" s="544"/>
      <c r="B954" s="544"/>
      <c r="C954" s="544"/>
      <c r="D954" s="544"/>
      <c r="E954" s="544"/>
      <c r="F954" s="569"/>
      <c r="G954" s="544"/>
      <c r="H954" s="544"/>
      <c r="I954" s="544"/>
      <c r="J954" s="544"/>
      <c r="K954" s="569"/>
      <c r="L954" s="544"/>
      <c r="M954" s="544"/>
      <c r="N954" s="544"/>
      <c r="O954" s="544"/>
      <c r="P954" s="544"/>
      <c r="Q954" s="544"/>
      <c r="R954" s="544"/>
      <c r="S954" s="544"/>
      <c r="T954" s="544"/>
      <c r="U954" s="544"/>
      <c r="V954" s="544"/>
      <c r="W954" s="544"/>
      <c r="X954" s="544"/>
      <c r="Y954" s="544"/>
      <c r="Z954" s="544"/>
      <c r="AA954" s="544"/>
      <c r="AB954" s="544"/>
    </row>
    <row r="955" spans="1:28" x14ac:dyDescent="0.2">
      <c r="A955" s="544"/>
      <c r="B955" s="544"/>
      <c r="C955" s="544"/>
      <c r="D955" s="544"/>
      <c r="E955" s="544"/>
      <c r="F955" s="569"/>
      <c r="G955" s="544"/>
      <c r="H955" s="544"/>
      <c r="I955" s="544"/>
      <c r="J955" s="544"/>
      <c r="K955" s="569"/>
      <c r="L955" s="544"/>
      <c r="M955" s="544"/>
      <c r="N955" s="544"/>
      <c r="O955" s="544"/>
      <c r="P955" s="544"/>
      <c r="Q955" s="544"/>
      <c r="R955" s="544"/>
      <c r="S955" s="544"/>
      <c r="T955" s="544"/>
      <c r="U955" s="544"/>
      <c r="V955" s="544"/>
      <c r="W955" s="544"/>
      <c r="X955" s="544"/>
      <c r="Y955" s="544"/>
      <c r="Z955" s="544"/>
      <c r="AA955" s="544"/>
      <c r="AB955" s="544"/>
    </row>
    <row r="956" spans="1:28" x14ac:dyDescent="0.2">
      <c r="A956" s="544"/>
      <c r="B956" s="544"/>
      <c r="C956" s="544"/>
      <c r="D956" s="544"/>
      <c r="E956" s="544"/>
      <c r="F956" s="569"/>
      <c r="G956" s="544"/>
      <c r="H956" s="544"/>
      <c r="I956" s="544"/>
      <c r="J956" s="544"/>
      <c r="K956" s="569"/>
      <c r="L956" s="544"/>
      <c r="M956" s="544"/>
      <c r="N956" s="544"/>
      <c r="O956" s="544"/>
      <c r="P956" s="544"/>
      <c r="Q956" s="544"/>
      <c r="R956" s="544"/>
      <c r="S956" s="544"/>
      <c r="T956" s="544"/>
      <c r="U956" s="544"/>
      <c r="V956" s="544"/>
      <c r="W956" s="544"/>
      <c r="X956" s="544"/>
      <c r="Y956" s="544"/>
      <c r="Z956" s="544"/>
      <c r="AA956" s="544"/>
      <c r="AB956" s="544"/>
    </row>
    <row r="957" spans="1:28" x14ac:dyDescent="0.2">
      <c r="A957" s="544"/>
      <c r="B957" s="544"/>
      <c r="C957" s="544"/>
      <c r="D957" s="544"/>
      <c r="E957" s="544"/>
      <c r="F957" s="569"/>
      <c r="G957" s="544"/>
      <c r="H957" s="544"/>
      <c r="I957" s="544"/>
      <c r="J957" s="544"/>
      <c r="K957" s="569"/>
      <c r="L957" s="544"/>
      <c r="M957" s="544"/>
      <c r="N957" s="544"/>
      <c r="O957" s="544"/>
      <c r="P957" s="544"/>
      <c r="Q957" s="544"/>
      <c r="R957" s="544"/>
      <c r="S957" s="544"/>
      <c r="T957" s="544"/>
      <c r="U957" s="544"/>
      <c r="V957" s="544"/>
      <c r="W957" s="544"/>
      <c r="X957" s="544"/>
      <c r="Y957" s="544"/>
      <c r="Z957" s="544"/>
      <c r="AA957" s="544"/>
      <c r="AB957" s="544"/>
    </row>
    <row r="958" spans="1:28" x14ac:dyDescent="0.2">
      <c r="A958" s="544"/>
      <c r="B958" s="544"/>
      <c r="C958" s="544"/>
      <c r="D958" s="544"/>
      <c r="E958" s="544"/>
      <c r="F958" s="569"/>
      <c r="G958" s="544"/>
      <c r="H958" s="544"/>
      <c r="I958" s="544"/>
      <c r="J958" s="544"/>
      <c r="K958" s="569"/>
      <c r="L958" s="544"/>
      <c r="M958" s="544"/>
      <c r="N958" s="544"/>
      <c r="O958" s="544"/>
      <c r="P958" s="544"/>
      <c r="Q958" s="544"/>
      <c r="R958" s="544"/>
      <c r="S958" s="544"/>
      <c r="T958" s="544"/>
      <c r="U958" s="544"/>
      <c r="V958" s="544"/>
      <c r="W958" s="544"/>
      <c r="X958" s="544"/>
      <c r="Y958" s="544"/>
      <c r="Z958" s="544"/>
      <c r="AA958" s="544"/>
      <c r="AB958" s="544"/>
    </row>
    <row r="959" spans="1:28" x14ac:dyDescent="0.2">
      <c r="A959" s="544"/>
      <c r="B959" s="544"/>
      <c r="C959" s="544"/>
      <c r="D959" s="544"/>
      <c r="E959" s="544"/>
      <c r="F959" s="569"/>
      <c r="G959" s="544"/>
      <c r="H959" s="544"/>
      <c r="I959" s="544"/>
      <c r="J959" s="544"/>
      <c r="K959" s="569"/>
      <c r="L959" s="544"/>
      <c r="M959" s="544"/>
      <c r="N959" s="544"/>
      <c r="O959" s="544"/>
      <c r="P959" s="544"/>
      <c r="Q959" s="544"/>
      <c r="R959" s="544"/>
      <c r="S959" s="544"/>
      <c r="T959" s="544"/>
      <c r="U959" s="544"/>
      <c r="V959" s="544"/>
      <c r="W959" s="544"/>
      <c r="X959" s="544"/>
      <c r="Y959" s="544"/>
      <c r="Z959" s="544"/>
      <c r="AA959" s="544"/>
      <c r="AB959" s="544"/>
    </row>
    <row r="960" spans="1:28" x14ac:dyDescent="0.2">
      <c r="A960" s="544"/>
      <c r="B960" s="544"/>
      <c r="C960" s="544"/>
      <c r="D960" s="544"/>
      <c r="E960" s="544"/>
      <c r="F960" s="569"/>
      <c r="G960" s="544"/>
      <c r="H960" s="544"/>
      <c r="I960" s="544"/>
      <c r="J960" s="544"/>
      <c r="K960" s="569"/>
      <c r="L960" s="544"/>
      <c r="M960" s="544"/>
      <c r="N960" s="544"/>
      <c r="O960" s="544"/>
      <c r="P960" s="544"/>
      <c r="Q960" s="544"/>
      <c r="R960" s="544"/>
      <c r="S960" s="544"/>
      <c r="T960" s="544"/>
      <c r="U960" s="544"/>
      <c r="V960" s="544"/>
      <c r="W960" s="544"/>
      <c r="X960" s="544"/>
      <c r="Y960" s="544"/>
      <c r="Z960" s="544"/>
      <c r="AA960" s="544"/>
      <c r="AB960" s="544"/>
    </row>
    <row r="961" spans="1:28" x14ac:dyDescent="0.2">
      <c r="A961" s="544"/>
      <c r="B961" s="544"/>
      <c r="C961" s="544"/>
      <c r="D961" s="544"/>
      <c r="E961" s="544"/>
      <c r="F961" s="569"/>
      <c r="G961" s="544"/>
      <c r="H961" s="544"/>
      <c r="I961" s="544"/>
      <c r="J961" s="544"/>
      <c r="K961" s="569"/>
      <c r="L961" s="544"/>
      <c r="M961" s="544"/>
      <c r="N961" s="544"/>
      <c r="O961" s="544"/>
      <c r="P961" s="544"/>
      <c r="Q961" s="544"/>
      <c r="R961" s="544"/>
      <c r="S961" s="544"/>
      <c r="T961" s="544"/>
      <c r="U961" s="544"/>
      <c r="V961" s="544"/>
      <c r="W961" s="544"/>
      <c r="X961" s="544"/>
      <c r="Y961" s="544"/>
      <c r="Z961" s="544"/>
      <c r="AA961" s="544"/>
      <c r="AB961" s="544"/>
    </row>
    <row r="962" spans="1:28" x14ac:dyDescent="0.2">
      <c r="A962" s="544"/>
      <c r="B962" s="544"/>
      <c r="C962" s="544"/>
      <c r="D962" s="544"/>
      <c r="E962" s="544"/>
      <c r="F962" s="569"/>
      <c r="G962" s="544"/>
      <c r="H962" s="544"/>
      <c r="I962" s="544"/>
      <c r="J962" s="544"/>
      <c r="K962" s="569"/>
      <c r="L962" s="544"/>
      <c r="M962" s="544"/>
      <c r="N962" s="544"/>
      <c r="O962" s="544"/>
      <c r="P962" s="544"/>
      <c r="Q962" s="544"/>
      <c r="R962" s="544"/>
      <c r="S962" s="544"/>
      <c r="T962" s="544"/>
      <c r="U962" s="544"/>
      <c r="V962" s="544"/>
      <c r="W962" s="544"/>
      <c r="X962" s="544"/>
      <c r="Y962" s="544"/>
      <c r="Z962" s="544"/>
      <c r="AA962" s="544"/>
      <c r="AB962" s="544"/>
    </row>
    <row r="963" spans="1:28" x14ac:dyDescent="0.2">
      <c r="A963" s="544"/>
      <c r="B963" s="544"/>
      <c r="C963" s="544"/>
      <c r="D963" s="544"/>
      <c r="E963" s="544"/>
      <c r="F963" s="569"/>
      <c r="G963" s="544"/>
      <c r="H963" s="544"/>
      <c r="I963" s="544"/>
      <c r="J963" s="544"/>
      <c r="K963" s="569"/>
      <c r="L963" s="544"/>
      <c r="M963" s="544"/>
      <c r="N963" s="544"/>
      <c r="O963" s="544"/>
      <c r="P963" s="544"/>
      <c r="Q963" s="544"/>
      <c r="R963" s="544"/>
      <c r="S963" s="544"/>
      <c r="T963" s="544"/>
      <c r="U963" s="544"/>
      <c r="V963" s="544"/>
      <c r="W963" s="544"/>
      <c r="X963" s="544"/>
      <c r="Y963" s="544"/>
      <c r="Z963" s="544"/>
      <c r="AA963" s="544"/>
      <c r="AB963" s="544"/>
    </row>
    <row r="964" spans="1:28" x14ac:dyDescent="0.2">
      <c r="A964" s="544"/>
      <c r="B964" s="544"/>
      <c r="C964" s="544"/>
      <c r="D964" s="544"/>
      <c r="E964" s="544"/>
      <c r="F964" s="569"/>
      <c r="G964" s="544"/>
      <c r="H964" s="544"/>
      <c r="I964" s="544"/>
      <c r="J964" s="544"/>
      <c r="K964" s="569"/>
      <c r="L964" s="544"/>
      <c r="M964" s="544"/>
      <c r="N964" s="544"/>
      <c r="O964" s="544"/>
      <c r="P964" s="544"/>
      <c r="Q964" s="544"/>
      <c r="R964" s="544"/>
      <c r="S964" s="544"/>
      <c r="T964" s="544"/>
      <c r="U964" s="544"/>
      <c r="V964" s="544"/>
      <c r="W964" s="544"/>
      <c r="X964" s="544"/>
      <c r="Y964" s="544"/>
      <c r="Z964" s="544"/>
      <c r="AA964" s="544"/>
      <c r="AB964" s="544"/>
    </row>
    <row r="965" spans="1:28" x14ac:dyDescent="0.2">
      <c r="A965" s="544"/>
      <c r="B965" s="544"/>
      <c r="C965" s="544"/>
      <c r="D965" s="544"/>
      <c r="E965" s="544"/>
      <c r="F965" s="569"/>
      <c r="G965" s="544"/>
      <c r="H965" s="544"/>
      <c r="I965" s="544"/>
      <c r="J965" s="544"/>
      <c r="K965" s="569"/>
      <c r="L965" s="544"/>
      <c r="M965" s="544"/>
      <c r="N965" s="544"/>
      <c r="O965" s="544"/>
      <c r="P965" s="544"/>
      <c r="Q965" s="544"/>
      <c r="R965" s="544"/>
      <c r="S965" s="544"/>
      <c r="T965" s="544"/>
      <c r="U965" s="544"/>
      <c r="V965" s="544"/>
      <c r="W965" s="544"/>
      <c r="X965" s="544"/>
      <c r="Y965" s="544"/>
      <c r="Z965" s="544"/>
      <c r="AA965" s="544"/>
      <c r="AB965" s="544"/>
    </row>
    <row r="966" spans="1:28" x14ac:dyDescent="0.2">
      <c r="A966" s="544"/>
      <c r="B966" s="544"/>
      <c r="C966" s="544"/>
      <c r="D966" s="544"/>
      <c r="E966" s="544"/>
      <c r="F966" s="569"/>
      <c r="G966" s="544"/>
      <c r="H966" s="544"/>
      <c r="I966" s="544"/>
      <c r="J966" s="544"/>
      <c r="K966" s="569"/>
      <c r="L966" s="544"/>
      <c r="M966" s="544"/>
      <c r="N966" s="544"/>
      <c r="O966" s="544"/>
      <c r="P966" s="544"/>
      <c r="Q966" s="544"/>
      <c r="R966" s="544"/>
      <c r="S966" s="544"/>
      <c r="T966" s="544"/>
      <c r="U966" s="544"/>
      <c r="V966" s="544"/>
      <c r="W966" s="544"/>
      <c r="X966" s="544"/>
      <c r="Y966" s="544"/>
      <c r="Z966" s="544"/>
      <c r="AA966" s="544"/>
      <c r="AB966" s="544"/>
    </row>
    <row r="967" spans="1:28" x14ac:dyDescent="0.2">
      <c r="A967" s="544"/>
      <c r="B967" s="544"/>
      <c r="C967" s="544"/>
      <c r="D967" s="544"/>
      <c r="E967" s="544"/>
      <c r="F967" s="569"/>
      <c r="G967" s="544"/>
      <c r="H967" s="544"/>
      <c r="I967" s="544"/>
      <c r="J967" s="544"/>
      <c r="K967" s="569"/>
      <c r="L967" s="544"/>
      <c r="M967" s="544"/>
      <c r="N967" s="544"/>
      <c r="O967" s="544"/>
      <c r="P967" s="544"/>
      <c r="Q967" s="544"/>
      <c r="R967" s="544"/>
      <c r="S967" s="544"/>
      <c r="T967" s="544"/>
      <c r="U967" s="544"/>
      <c r="V967" s="544"/>
      <c r="W967" s="544"/>
      <c r="X967" s="544"/>
      <c r="Y967" s="544"/>
      <c r="Z967" s="544"/>
      <c r="AA967" s="544"/>
      <c r="AB967" s="544"/>
    </row>
    <row r="968" spans="1:28" x14ac:dyDescent="0.2">
      <c r="A968" s="544"/>
      <c r="B968" s="544"/>
      <c r="C968" s="544"/>
      <c r="D968" s="544"/>
      <c r="E968" s="544"/>
      <c r="F968" s="569"/>
      <c r="G968" s="544"/>
      <c r="H968" s="544"/>
      <c r="I968" s="544"/>
      <c r="J968" s="544"/>
      <c r="K968" s="569"/>
      <c r="L968" s="544"/>
      <c r="M968" s="544"/>
      <c r="N968" s="544"/>
      <c r="O968" s="544"/>
      <c r="P968" s="544"/>
      <c r="Q968" s="544"/>
      <c r="R968" s="544"/>
      <c r="S968" s="544"/>
      <c r="T968" s="544"/>
      <c r="U968" s="544"/>
      <c r="V968" s="544"/>
      <c r="W968" s="544"/>
      <c r="X968" s="544"/>
      <c r="Y968" s="544"/>
      <c r="Z968" s="544"/>
      <c r="AA968" s="544"/>
      <c r="AB968" s="544"/>
    </row>
    <row r="969" spans="1:28" x14ac:dyDescent="0.2">
      <c r="A969" s="544"/>
      <c r="B969" s="544"/>
      <c r="C969" s="544"/>
      <c r="D969" s="544"/>
      <c r="E969" s="544"/>
      <c r="F969" s="569"/>
      <c r="G969" s="544"/>
      <c r="H969" s="544"/>
      <c r="I969" s="544"/>
      <c r="J969" s="544"/>
      <c r="K969" s="569"/>
      <c r="L969" s="544"/>
      <c r="M969" s="544"/>
      <c r="N969" s="544"/>
      <c r="O969" s="544"/>
      <c r="P969" s="544"/>
      <c r="Q969" s="544"/>
      <c r="R969" s="544"/>
      <c r="S969" s="544"/>
      <c r="T969" s="544"/>
      <c r="U969" s="544"/>
      <c r="V969" s="544"/>
      <c r="W969" s="544"/>
      <c r="X969" s="544"/>
      <c r="Y969" s="544"/>
      <c r="Z969" s="544"/>
      <c r="AA969" s="544"/>
      <c r="AB969" s="544"/>
    </row>
    <row r="970" spans="1:28" x14ac:dyDescent="0.2">
      <c r="A970" s="544"/>
      <c r="B970" s="544"/>
      <c r="C970" s="544"/>
      <c r="D970" s="544"/>
      <c r="E970" s="544"/>
      <c r="F970" s="569"/>
      <c r="G970" s="544"/>
      <c r="H970" s="544"/>
      <c r="I970" s="544"/>
      <c r="J970" s="544"/>
      <c r="K970" s="569"/>
      <c r="L970" s="544"/>
      <c r="M970" s="544"/>
      <c r="N970" s="544"/>
      <c r="O970" s="544"/>
      <c r="P970" s="544"/>
      <c r="Q970" s="544"/>
      <c r="R970" s="544"/>
      <c r="S970" s="544"/>
      <c r="T970" s="544"/>
      <c r="U970" s="544"/>
      <c r="V970" s="544"/>
      <c r="W970" s="544"/>
      <c r="X970" s="544"/>
      <c r="Y970" s="544"/>
      <c r="Z970" s="544"/>
      <c r="AA970" s="544"/>
      <c r="AB970" s="544"/>
    </row>
    <row r="971" spans="1:28" x14ac:dyDescent="0.2">
      <c r="A971" s="544"/>
      <c r="B971" s="544"/>
      <c r="C971" s="544"/>
      <c r="D971" s="544"/>
      <c r="E971" s="544"/>
      <c r="F971" s="569"/>
      <c r="G971" s="544"/>
      <c r="H971" s="544"/>
      <c r="I971" s="544"/>
      <c r="J971" s="544"/>
      <c r="K971" s="569"/>
      <c r="L971" s="544"/>
      <c r="M971" s="544"/>
      <c r="N971" s="544"/>
      <c r="O971" s="544"/>
      <c r="P971" s="544"/>
      <c r="Q971" s="544"/>
      <c r="R971" s="544"/>
      <c r="S971" s="544"/>
      <c r="T971" s="544"/>
      <c r="U971" s="544"/>
      <c r="V971" s="544"/>
      <c r="W971" s="544"/>
      <c r="X971" s="544"/>
      <c r="Y971" s="544"/>
      <c r="Z971" s="544"/>
      <c r="AA971" s="544"/>
      <c r="AB971" s="544"/>
    </row>
    <row r="972" spans="1:28" x14ac:dyDescent="0.2">
      <c r="A972" s="544"/>
      <c r="B972" s="544"/>
      <c r="C972" s="544"/>
      <c r="D972" s="544"/>
      <c r="E972" s="544"/>
      <c r="F972" s="569"/>
      <c r="G972" s="544"/>
      <c r="H972" s="544"/>
      <c r="I972" s="544"/>
      <c r="J972" s="544"/>
      <c r="K972" s="569"/>
      <c r="L972" s="544"/>
      <c r="M972" s="544"/>
      <c r="N972" s="544"/>
      <c r="O972" s="544"/>
      <c r="P972" s="544"/>
      <c r="Q972" s="544"/>
      <c r="R972" s="544"/>
      <c r="S972" s="544"/>
      <c r="T972" s="544"/>
      <c r="U972" s="544"/>
      <c r="V972" s="544"/>
      <c r="W972" s="544"/>
      <c r="X972" s="544"/>
      <c r="Y972" s="544"/>
      <c r="Z972" s="544"/>
      <c r="AA972" s="544"/>
      <c r="AB972" s="544"/>
    </row>
    <row r="973" spans="1:28" x14ac:dyDescent="0.2">
      <c r="A973" s="544"/>
      <c r="B973" s="544"/>
      <c r="C973" s="544"/>
      <c r="D973" s="544"/>
      <c r="E973" s="544"/>
      <c r="F973" s="569"/>
      <c r="G973" s="544"/>
      <c r="H973" s="544"/>
      <c r="I973" s="544"/>
      <c r="J973" s="544"/>
      <c r="K973" s="569"/>
      <c r="L973" s="544"/>
      <c r="M973" s="544"/>
      <c r="N973" s="544"/>
      <c r="O973" s="544"/>
      <c r="P973" s="544"/>
      <c r="Q973" s="544"/>
      <c r="R973" s="544"/>
      <c r="S973" s="544"/>
      <c r="T973" s="544"/>
      <c r="U973" s="544"/>
      <c r="V973" s="544"/>
      <c r="W973" s="544"/>
      <c r="X973" s="544"/>
      <c r="Y973" s="544"/>
      <c r="Z973" s="544"/>
      <c r="AA973" s="544"/>
      <c r="AB973" s="544"/>
    </row>
    <row r="974" spans="1:28" x14ac:dyDescent="0.2">
      <c r="A974" s="544"/>
      <c r="B974" s="544"/>
      <c r="C974" s="544"/>
      <c r="D974" s="544"/>
      <c r="E974" s="544"/>
      <c r="F974" s="569"/>
      <c r="G974" s="544"/>
      <c r="H974" s="544"/>
      <c r="I974" s="544"/>
      <c r="J974" s="544"/>
      <c r="K974" s="569"/>
      <c r="L974" s="544"/>
      <c r="M974" s="544"/>
      <c r="N974" s="544"/>
      <c r="O974" s="544"/>
      <c r="P974" s="544"/>
      <c r="Q974" s="544"/>
      <c r="R974" s="544"/>
      <c r="S974" s="544"/>
      <c r="T974" s="544"/>
      <c r="U974" s="544"/>
      <c r="V974" s="544"/>
      <c r="W974" s="544"/>
      <c r="X974" s="544"/>
      <c r="Y974" s="544"/>
      <c r="Z974" s="544"/>
      <c r="AA974" s="544"/>
      <c r="AB974" s="544"/>
    </row>
    <row r="975" spans="1:28" x14ac:dyDescent="0.2">
      <c r="A975" s="544"/>
      <c r="B975" s="544"/>
      <c r="C975" s="544"/>
      <c r="D975" s="544"/>
      <c r="E975" s="544"/>
      <c r="F975" s="569"/>
      <c r="G975" s="544"/>
      <c r="H975" s="544"/>
      <c r="I975" s="544"/>
      <c r="J975" s="544"/>
      <c r="K975" s="569"/>
      <c r="L975" s="544"/>
      <c r="M975" s="544"/>
      <c r="N975" s="544"/>
      <c r="O975" s="544"/>
      <c r="P975" s="544"/>
      <c r="Q975" s="544"/>
      <c r="R975" s="544"/>
      <c r="S975" s="544"/>
      <c r="T975" s="544"/>
      <c r="U975" s="544"/>
      <c r="V975" s="544"/>
      <c r="W975" s="544"/>
      <c r="X975" s="544"/>
      <c r="Y975" s="544"/>
      <c r="Z975" s="544"/>
      <c r="AA975" s="544"/>
      <c r="AB975" s="544"/>
    </row>
    <row r="976" spans="1:28" x14ac:dyDescent="0.2">
      <c r="A976" s="544"/>
      <c r="B976" s="544"/>
      <c r="C976" s="544"/>
      <c r="D976" s="544"/>
      <c r="E976" s="544"/>
      <c r="F976" s="569"/>
      <c r="G976" s="544"/>
      <c r="H976" s="544"/>
      <c r="I976" s="544"/>
      <c r="J976" s="544"/>
      <c r="K976" s="569"/>
      <c r="L976" s="544"/>
      <c r="M976" s="544"/>
      <c r="N976" s="544"/>
      <c r="O976" s="544"/>
      <c r="P976" s="544"/>
      <c r="Q976" s="544"/>
      <c r="R976" s="544"/>
      <c r="S976" s="544"/>
      <c r="T976" s="544"/>
      <c r="U976" s="544"/>
      <c r="V976" s="544"/>
      <c r="W976" s="544"/>
      <c r="X976" s="544"/>
      <c r="Y976" s="544"/>
      <c r="Z976" s="544"/>
      <c r="AA976" s="544"/>
      <c r="AB976" s="544"/>
    </row>
    <row r="977" spans="1:28" x14ac:dyDescent="0.2">
      <c r="A977" s="544"/>
      <c r="B977" s="544"/>
      <c r="C977" s="544"/>
      <c r="D977" s="544"/>
      <c r="E977" s="544"/>
      <c r="F977" s="569"/>
      <c r="G977" s="544"/>
      <c r="H977" s="544"/>
      <c r="I977" s="544"/>
      <c r="J977" s="544"/>
      <c r="K977" s="569"/>
      <c r="L977" s="544"/>
      <c r="M977" s="544"/>
      <c r="N977" s="544"/>
      <c r="O977" s="544"/>
      <c r="P977" s="544"/>
      <c r="Q977" s="544"/>
      <c r="R977" s="544"/>
      <c r="S977" s="544"/>
      <c r="T977" s="544"/>
      <c r="U977" s="544"/>
      <c r="V977" s="544"/>
      <c r="W977" s="544"/>
      <c r="X977" s="544"/>
      <c r="Y977" s="544"/>
      <c r="Z977" s="544"/>
      <c r="AA977" s="544"/>
      <c r="AB977" s="544"/>
    </row>
    <row r="978" spans="1:28" x14ac:dyDescent="0.2">
      <c r="A978" s="544"/>
      <c r="B978" s="544"/>
      <c r="C978" s="544"/>
      <c r="D978" s="544"/>
      <c r="E978" s="544"/>
      <c r="F978" s="569"/>
      <c r="G978" s="544"/>
      <c r="H978" s="544"/>
      <c r="I978" s="544"/>
      <c r="J978" s="544"/>
      <c r="K978" s="569"/>
      <c r="L978" s="544"/>
      <c r="M978" s="544"/>
      <c r="N978" s="544"/>
      <c r="O978" s="544"/>
      <c r="P978" s="544"/>
      <c r="Q978" s="544"/>
      <c r="R978" s="544"/>
      <c r="S978" s="544"/>
      <c r="T978" s="544"/>
      <c r="U978" s="544"/>
      <c r="V978" s="544"/>
      <c r="W978" s="544"/>
      <c r="X978" s="544"/>
      <c r="Y978" s="544"/>
      <c r="Z978" s="544"/>
      <c r="AA978" s="544"/>
      <c r="AB978" s="544"/>
    </row>
    <row r="979" spans="1:28" x14ac:dyDescent="0.2">
      <c r="A979" s="544"/>
      <c r="B979" s="544"/>
      <c r="C979" s="544"/>
      <c r="D979" s="544"/>
      <c r="E979" s="544"/>
      <c r="F979" s="569"/>
      <c r="G979" s="544"/>
      <c r="H979" s="544"/>
      <c r="I979" s="544"/>
      <c r="J979" s="544"/>
      <c r="K979" s="569"/>
      <c r="L979" s="544"/>
      <c r="M979" s="544"/>
      <c r="N979" s="544"/>
      <c r="O979" s="544"/>
      <c r="P979" s="544"/>
      <c r="Q979" s="544"/>
      <c r="R979" s="544"/>
      <c r="S979" s="544"/>
      <c r="T979" s="544"/>
      <c r="U979" s="544"/>
      <c r="V979" s="544"/>
      <c r="W979" s="544"/>
      <c r="X979" s="544"/>
      <c r="Y979" s="544"/>
      <c r="Z979" s="544"/>
      <c r="AA979" s="544"/>
      <c r="AB979" s="544"/>
    </row>
    <row r="980" spans="1:28" x14ac:dyDescent="0.2">
      <c r="A980" s="544"/>
      <c r="B980" s="544"/>
      <c r="C980" s="544"/>
      <c r="D980" s="544"/>
      <c r="E980" s="544"/>
      <c r="F980" s="569"/>
      <c r="G980" s="544"/>
      <c r="H980" s="544"/>
      <c r="I980" s="544"/>
      <c r="J980" s="544"/>
      <c r="K980" s="569"/>
      <c r="L980" s="544"/>
      <c r="M980" s="544"/>
      <c r="N980" s="544"/>
      <c r="O980" s="544"/>
      <c r="P980" s="544"/>
      <c r="Q980" s="544"/>
      <c r="R980" s="544"/>
      <c r="S980" s="544"/>
      <c r="T980" s="544"/>
      <c r="U980" s="544"/>
      <c r="V980" s="544"/>
      <c r="W980" s="544"/>
      <c r="X980" s="544"/>
      <c r="Y980" s="544"/>
      <c r="Z980" s="544"/>
      <c r="AA980" s="544"/>
      <c r="AB980" s="544"/>
    </row>
    <row r="981" spans="1:28" x14ac:dyDescent="0.2">
      <c r="A981" s="544"/>
      <c r="B981" s="544"/>
      <c r="C981" s="544"/>
      <c r="D981" s="544"/>
      <c r="E981" s="544"/>
      <c r="F981" s="569"/>
      <c r="G981" s="544"/>
      <c r="H981" s="544"/>
      <c r="I981" s="544"/>
      <c r="J981" s="544"/>
      <c r="K981" s="569"/>
      <c r="L981" s="544"/>
      <c r="M981" s="544"/>
      <c r="N981" s="544"/>
      <c r="O981" s="544"/>
      <c r="P981" s="544"/>
      <c r="Q981" s="544"/>
      <c r="R981" s="544"/>
      <c r="S981" s="544"/>
      <c r="T981" s="544"/>
      <c r="U981" s="544"/>
      <c r="V981" s="544"/>
      <c r="W981" s="544"/>
      <c r="X981" s="544"/>
      <c r="Y981" s="544"/>
      <c r="Z981" s="544"/>
      <c r="AA981" s="544"/>
      <c r="AB981" s="544"/>
    </row>
    <row r="982" spans="1:28" x14ac:dyDescent="0.2">
      <c r="A982" s="544"/>
      <c r="B982" s="544"/>
      <c r="C982" s="544"/>
      <c r="D982" s="544"/>
      <c r="E982" s="544"/>
      <c r="F982" s="569"/>
      <c r="G982" s="544"/>
      <c r="H982" s="544"/>
      <c r="I982" s="544"/>
      <c r="J982" s="544"/>
      <c r="K982" s="569"/>
      <c r="L982" s="544"/>
      <c r="M982" s="544"/>
      <c r="N982" s="544"/>
      <c r="O982" s="544"/>
      <c r="P982" s="544"/>
      <c r="Q982" s="544"/>
      <c r="R982" s="544"/>
      <c r="S982" s="544"/>
      <c r="T982" s="544"/>
      <c r="U982" s="544"/>
      <c r="V982" s="544"/>
      <c r="W982" s="544"/>
      <c r="X982" s="544"/>
      <c r="Y982" s="544"/>
      <c r="Z982" s="544"/>
      <c r="AA982" s="544"/>
      <c r="AB982" s="544"/>
    </row>
    <row r="983" spans="1:28" x14ac:dyDescent="0.2">
      <c r="A983" s="544"/>
      <c r="B983" s="544"/>
      <c r="C983" s="544"/>
      <c r="D983" s="544"/>
      <c r="E983" s="544"/>
      <c r="F983" s="569"/>
      <c r="G983" s="544"/>
      <c r="H983" s="544"/>
      <c r="I983" s="544"/>
      <c r="J983" s="544"/>
      <c r="K983" s="569"/>
      <c r="L983" s="544"/>
      <c r="M983" s="544"/>
      <c r="N983" s="544"/>
      <c r="O983" s="544"/>
      <c r="P983" s="544"/>
      <c r="Q983" s="544"/>
      <c r="R983" s="544"/>
      <c r="S983" s="544"/>
      <c r="T983" s="544"/>
      <c r="U983" s="544"/>
      <c r="V983" s="544"/>
      <c r="W983" s="544"/>
      <c r="X983" s="544"/>
      <c r="Y983" s="544"/>
      <c r="Z983" s="544"/>
      <c r="AA983" s="544"/>
      <c r="AB983" s="544"/>
    </row>
    <row r="984" spans="1:28" x14ac:dyDescent="0.2">
      <c r="A984" s="544"/>
      <c r="B984" s="544"/>
      <c r="C984" s="544"/>
      <c r="D984" s="544"/>
      <c r="E984" s="544"/>
      <c r="F984" s="569"/>
      <c r="G984" s="544"/>
      <c r="H984" s="544"/>
      <c r="I984" s="544"/>
      <c r="J984" s="544"/>
      <c r="K984" s="569"/>
      <c r="L984" s="544"/>
      <c r="M984" s="544"/>
      <c r="N984" s="544"/>
      <c r="O984" s="544"/>
      <c r="P984" s="544"/>
      <c r="Q984" s="544"/>
      <c r="R984" s="544"/>
      <c r="S984" s="544"/>
      <c r="T984" s="544"/>
      <c r="U984" s="544"/>
      <c r="V984" s="544"/>
      <c r="W984" s="544"/>
      <c r="X984" s="544"/>
      <c r="Y984" s="544"/>
      <c r="Z984" s="544"/>
      <c r="AA984" s="544"/>
      <c r="AB984" s="544"/>
    </row>
    <row r="985" spans="1:28" x14ac:dyDescent="0.2">
      <c r="A985" s="544"/>
      <c r="B985" s="544"/>
      <c r="C985" s="544"/>
      <c r="D985" s="544"/>
      <c r="E985" s="544"/>
      <c r="F985" s="569"/>
      <c r="G985" s="544"/>
      <c r="H985" s="544"/>
      <c r="I985" s="544"/>
      <c r="J985" s="544"/>
      <c r="K985" s="569"/>
      <c r="L985" s="544"/>
      <c r="M985" s="544"/>
      <c r="N985" s="544"/>
      <c r="O985" s="544"/>
      <c r="P985" s="544"/>
      <c r="Q985" s="544"/>
      <c r="R985" s="544"/>
      <c r="S985" s="544"/>
      <c r="T985" s="544"/>
      <c r="U985" s="544"/>
      <c r="V985" s="544"/>
      <c r="W985" s="544"/>
      <c r="X985" s="544"/>
      <c r="Y985" s="544"/>
      <c r="Z985" s="544"/>
      <c r="AA985" s="544"/>
      <c r="AB985" s="544"/>
    </row>
    <row r="986" spans="1:28" x14ac:dyDescent="0.2">
      <c r="A986" s="544"/>
      <c r="B986" s="544"/>
      <c r="C986" s="544"/>
      <c r="D986" s="544"/>
      <c r="E986" s="544"/>
      <c r="F986" s="569"/>
      <c r="G986" s="544"/>
      <c r="H986" s="544"/>
      <c r="I986" s="544"/>
      <c r="J986" s="544"/>
      <c r="K986" s="569"/>
      <c r="L986" s="544"/>
      <c r="M986" s="544"/>
      <c r="N986" s="544"/>
      <c r="O986" s="544"/>
      <c r="P986" s="544"/>
      <c r="Q986" s="544"/>
      <c r="R986" s="544"/>
      <c r="S986" s="544"/>
      <c r="T986" s="544"/>
      <c r="U986" s="544"/>
      <c r="V986" s="544"/>
      <c r="W986" s="544"/>
      <c r="X986" s="544"/>
      <c r="Y986" s="544"/>
      <c r="Z986" s="544"/>
      <c r="AA986" s="544"/>
      <c r="AB986" s="544"/>
    </row>
    <row r="987" spans="1:28" x14ac:dyDescent="0.2">
      <c r="A987" s="544"/>
      <c r="B987" s="544"/>
      <c r="C987" s="544"/>
      <c r="D987" s="544"/>
      <c r="E987" s="544"/>
      <c r="F987" s="569"/>
      <c r="G987" s="544"/>
      <c r="H987" s="544"/>
      <c r="I987" s="544"/>
      <c r="J987" s="544"/>
      <c r="K987" s="569"/>
      <c r="L987" s="544"/>
      <c r="M987" s="544"/>
      <c r="N987" s="544"/>
      <c r="O987" s="544"/>
      <c r="P987" s="544"/>
      <c r="Q987" s="544"/>
      <c r="R987" s="544"/>
      <c r="S987" s="544"/>
      <c r="T987" s="544"/>
      <c r="U987" s="544"/>
      <c r="V987" s="544"/>
      <c r="W987" s="544"/>
      <c r="X987" s="544"/>
      <c r="Y987" s="544"/>
      <c r="Z987" s="544"/>
      <c r="AA987" s="544"/>
      <c r="AB987" s="544"/>
    </row>
    <row r="988" spans="1:28" x14ac:dyDescent="0.2">
      <c r="A988" s="544"/>
      <c r="B988" s="544"/>
      <c r="C988" s="544"/>
      <c r="D988" s="544"/>
      <c r="E988" s="544"/>
      <c r="F988" s="569"/>
      <c r="G988" s="544"/>
      <c r="H988" s="544"/>
      <c r="I988" s="544"/>
      <c r="J988" s="544"/>
      <c r="K988" s="569"/>
      <c r="L988" s="544"/>
      <c r="M988" s="544"/>
      <c r="N988" s="544"/>
      <c r="O988" s="544"/>
      <c r="P988" s="544"/>
      <c r="Q988" s="544"/>
      <c r="R988" s="544"/>
      <c r="S988" s="544"/>
      <c r="T988" s="544"/>
      <c r="U988" s="544"/>
      <c r="V988" s="544"/>
      <c r="W988" s="544"/>
      <c r="X988" s="544"/>
      <c r="Y988" s="544"/>
      <c r="Z988" s="544"/>
      <c r="AA988" s="544"/>
      <c r="AB988" s="544"/>
    </row>
    <row r="989" spans="1:28" x14ac:dyDescent="0.2">
      <c r="A989" s="544"/>
      <c r="B989" s="544"/>
      <c r="C989" s="544"/>
      <c r="D989" s="544"/>
      <c r="E989" s="544"/>
      <c r="F989" s="569"/>
      <c r="G989" s="544"/>
      <c r="H989" s="544"/>
      <c r="I989" s="544"/>
      <c r="J989" s="544"/>
      <c r="K989" s="569"/>
      <c r="L989" s="544"/>
      <c r="M989" s="544"/>
      <c r="N989" s="544"/>
      <c r="O989" s="544"/>
      <c r="P989" s="544"/>
      <c r="Q989" s="544"/>
      <c r="R989" s="544"/>
      <c r="S989" s="544"/>
      <c r="T989" s="544"/>
      <c r="U989" s="544"/>
      <c r="V989" s="544"/>
      <c r="W989" s="544"/>
      <c r="X989" s="544"/>
      <c r="Y989" s="544"/>
      <c r="Z989" s="544"/>
      <c r="AA989" s="544"/>
      <c r="AB989" s="544"/>
    </row>
    <row r="990" spans="1:28" x14ac:dyDescent="0.2">
      <c r="A990" s="544"/>
      <c r="B990" s="544"/>
      <c r="C990" s="544"/>
      <c r="D990" s="544"/>
      <c r="E990" s="544"/>
      <c r="F990" s="569"/>
      <c r="G990" s="544"/>
      <c r="H990" s="544"/>
      <c r="I990" s="544"/>
      <c r="J990" s="544"/>
      <c r="K990" s="569"/>
      <c r="L990" s="544"/>
      <c r="M990" s="544"/>
      <c r="N990" s="544"/>
      <c r="O990" s="544"/>
      <c r="P990" s="544"/>
      <c r="Q990" s="544"/>
      <c r="R990" s="544"/>
      <c r="S990" s="544"/>
      <c r="T990" s="544"/>
      <c r="U990" s="544"/>
      <c r="V990" s="544"/>
      <c r="W990" s="544"/>
      <c r="X990" s="544"/>
      <c r="Y990" s="544"/>
      <c r="Z990" s="544"/>
      <c r="AA990" s="544"/>
      <c r="AB990" s="544"/>
    </row>
    <row r="991" spans="1:28" x14ac:dyDescent="0.2">
      <c r="A991" s="544"/>
      <c r="B991" s="544"/>
      <c r="C991" s="544"/>
      <c r="D991" s="544"/>
      <c r="E991" s="544"/>
      <c r="F991" s="569"/>
      <c r="G991" s="544"/>
      <c r="H991" s="544"/>
      <c r="I991" s="544"/>
      <c r="J991" s="544"/>
      <c r="K991" s="569"/>
      <c r="L991" s="544"/>
      <c r="M991" s="544"/>
      <c r="N991" s="544"/>
      <c r="O991" s="544"/>
      <c r="P991" s="544"/>
      <c r="Q991" s="544"/>
      <c r="R991" s="544"/>
      <c r="S991" s="544"/>
      <c r="T991" s="544"/>
      <c r="U991" s="544"/>
      <c r="V991" s="544"/>
      <c r="W991" s="544"/>
      <c r="X991" s="544"/>
      <c r="Y991" s="544"/>
      <c r="Z991" s="544"/>
      <c r="AA991" s="544"/>
      <c r="AB991" s="544"/>
    </row>
  </sheetData>
  <conditionalFormatting sqref="G1:H991">
    <cfRule type="timePeriod" dxfId="5" priority="1" timePeriod="today">
      <formula>FLOOR(G1,1)=TODAY()</formula>
    </cfRule>
  </conditionalFormatting>
  <conditionalFormatting sqref="G1:H991">
    <cfRule type="expression" dxfId="4" priority="2">
      <formula>AND(ISNUMBER(G1),TRUNC(G1)&gt;TODAY())</formula>
    </cfRule>
  </conditionalFormatting>
  <conditionalFormatting sqref="J1:J991">
    <cfRule type="cellIs" dxfId="3" priority="3" operator="equal">
      <formula>"висит"</formula>
    </cfRule>
  </conditionalFormatting>
  <conditionalFormatting sqref="J1:J991">
    <cfRule type="cellIs" dxfId="2" priority="4" operator="equal">
      <formula>"вернул"</formula>
    </cfRule>
  </conditionalFormatting>
  <conditionalFormatting sqref="C3:C991">
    <cfRule type="notContainsBlanks" dxfId="1" priority="5">
      <formula>LEN(TRIM(C3))&gt;0</formula>
    </cfRule>
  </conditionalFormatting>
  <conditionalFormatting sqref="J1:J991">
    <cfRule type="cellIs" dxfId="0" priority="6" operator="equal">
      <formula>"отпустил"</formula>
    </cfRule>
  </conditionalFormatting>
  <dataValidations count="4">
    <dataValidation type="list" allowBlank="1" sqref="G3:G16" xr:uid="{00000000-0002-0000-0700-000000000000}">
      <formula1>"BYN,RUB,USD"</formula1>
    </dataValidation>
    <dataValidation type="list" allowBlank="1" sqref="J3:J16" xr:uid="{00000000-0002-0000-0700-000001000000}">
      <formula1>"вернул,висит,отпустил"</formula1>
    </dataValidation>
    <dataValidation type="list" allowBlank="1" sqref="I3:I16" xr:uid="{00000000-0002-0000-0700-000002000000}">
      <formula1>"с карты,нал,оплатил"</formula1>
    </dataValidation>
    <dataValidation type="custom" allowBlank="1" showDropDown="1" sqref="F3:F16" xr:uid="{00000000-0002-0000-0700-000003000000}">
      <formula1>AND(ISNUMBER(F3),(NOT(OR(NOT(ISERROR(DATEVALUE(F3))), AND(ISNUMBER(F3), LEFT(CELL("format", F3))="D")))))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F12"/>
  <sheetViews>
    <sheetView tabSelected="1" workbookViewId="0"/>
  </sheetViews>
  <sheetFormatPr defaultColWidth="12.5703125" defaultRowHeight="15.75" customHeight="1" x14ac:dyDescent="0.2"/>
  <cols>
    <col min="2" max="2" width="70.42578125" customWidth="1"/>
    <col min="3" max="3" width="39" customWidth="1"/>
    <col min="4" max="4" width="21.42578125" customWidth="1"/>
    <col min="5" max="5" width="51.42578125" customWidth="1"/>
    <col min="6" max="6" width="40" customWidth="1"/>
  </cols>
  <sheetData>
    <row r="2" spans="2:6" ht="15.75" customHeight="1" x14ac:dyDescent="0.25">
      <c r="B2" s="570" t="s">
        <v>140</v>
      </c>
      <c r="C2" s="570" t="s">
        <v>141</v>
      </c>
      <c r="D2" s="570" t="s">
        <v>142</v>
      </c>
    </row>
    <row r="3" spans="2:6" ht="15.75" customHeight="1" x14ac:dyDescent="0.25">
      <c r="B3" s="571" t="s">
        <v>143</v>
      </c>
      <c r="C3" s="572" t="s">
        <v>144</v>
      </c>
      <c r="D3" s="572" t="s">
        <v>145</v>
      </c>
      <c r="E3" s="1" t="s">
        <v>146</v>
      </c>
      <c r="F3" s="1" t="s">
        <v>147</v>
      </c>
    </row>
    <row r="4" spans="2:6" ht="15.75" customHeight="1" x14ac:dyDescent="0.25">
      <c r="B4" s="571" t="s">
        <v>148</v>
      </c>
      <c r="C4" s="572" t="s">
        <v>149</v>
      </c>
      <c r="D4" s="572" t="s">
        <v>150</v>
      </c>
      <c r="E4" s="1" t="s">
        <v>151</v>
      </c>
      <c r="F4" s="1" t="s">
        <v>152</v>
      </c>
    </row>
    <row r="5" spans="2:6" ht="15.75" customHeight="1" x14ac:dyDescent="0.25">
      <c r="B5" s="573" t="s">
        <v>153</v>
      </c>
      <c r="C5" s="574" t="s">
        <v>154</v>
      </c>
      <c r="D5" s="574" t="s">
        <v>155</v>
      </c>
      <c r="E5" s="1" t="s">
        <v>156</v>
      </c>
    </row>
    <row r="6" spans="2:6" ht="15.75" customHeight="1" x14ac:dyDescent="0.25">
      <c r="B6" s="573" t="s">
        <v>157</v>
      </c>
      <c r="C6" s="574" t="s">
        <v>158</v>
      </c>
      <c r="D6" s="574" t="s">
        <v>159</v>
      </c>
    </row>
    <row r="7" spans="2:6" x14ac:dyDescent="0.2">
      <c r="B7" s="573" t="s">
        <v>160</v>
      </c>
      <c r="C7" s="574" t="s">
        <v>161</v>
      </c>
      <c r="D7" s="574" t="s">
        <v>162</v>
      </c>
    </row>
    <row r="8" spans="2:6" x14ac:dyDescent="0.2">
      <c r="B8" s="575" t="s">
        <v>163</v>
      </c>
      <c r="C8" s="574"/>
      <c r="D8" s="574" t="s">
        <v>164</v>
      </c>
    </row>
    <row r="9" spans="2:6" x14ac:dyDescent="0.2">
      <c r="B9" s="575" t="s">
        <v>165</v>
      </c>
      <c r="C9" s="574"/>
      <c r="D9" s="574" t="s">
        <v>166</v>
      </c>
    </row>
    <row r="10" spans="2:6" x14ac:dyDescent="0.2">
      <c r="B10" s="575" t="s">
        <v>167</v>
      </c>
      <c r="C10" s="574"/>
      <c r="D10" s="574" t="s">
        <v>168</v>
      </c>
    </row>
    <row r="11" spans="2:6" x14ac:dyDescent="0.2">
      <c r="B11" s="575" t="s">
        <v>169</v>
      </c>
      <c r="C11" s="574" t="s">
        <v>170</v>
      </c>
      <c r="D11" s="574" t="s">
        <v>171</v>
      </c>
    </row>
    <row r="12" spans="2:6" x14ac:dyDescent="0.2">
      <c r="B12" s="575" t="s">
        <v>172</v>
      </c>
      <c r="C12" s="574"/>
      <c r="D12" s="574" t="s">
        <v>173</v>
      </c>
    </row>
  </sheetData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6" r:id="rId4" xr:uid="{00000000-0004-0000-0800-000003000000}"/>
    <hyperlink ref="B7" r:id="rId5" xr:uid="{00000000-0004-0000-08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Финансы</vt:lpstr>
      <vt:lpstr>Бюджет</vt:lpstr>
      <vt:lpstr>Долги</vt:lpstr>
      <vt:lpstr>Подписки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Drews Sche</dc:creator>
  <cp:lastModifiedBy>Drews Sche</cp:lastModifiedBy>
  <dcterms:created xsi:type="dcterms:W3CDTF">2026-03-02T00:00:00Z</dcterms:created>
  <dcterms:modified xsi:type="dcterms:W3CDTF">2026-03-02T00:00:00Z</dcterms:modified>
</cp:coreProperties>
</file>